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Gurutech\Documents\Personal_Repository\금과장님 요청\"/>
    </mc:Choice>
  </mc:AlternateContent>
  <xr:revisionPtr revIDLastSave="0" documentId="13_ncr:1_{A3B0A036-84A6-466C-8FBE-9F5DF2992CA4}" xr6:coauthVersionLast="47" xr6:coauthVersionMax="47" xr10:uidLastSave="{00000000-0000-0000-0000-000000000000}"/>
  <bookViews>
    <workbookView xWindow="-28920" yWindow="-120" windowWidth="29040" windowHeight="15720" xr2:uid="{167C87C5-2B63-4B9B-8AD2-16DC5E73E31B}"/>
  </bookViews>
  <sheets>
    <sheet name="매크로시트" sheetId="1" r:id="rId1"/>
    <sheet name="데이터 (2)" sheetId="3" r:id="rId2"/>
    <sheet name="유션확인" sheetId="4" r:id="rId3"/>
    <sheet name="유형별대표사례" sheetId="5" r:id="rId4"/>
    <sheet name="전체통계" sheetId="2" r:id="rId5"/>
  </sheets>
  <definedNames>
    <definedName name="_xlnm._FilterDatabase" localSheetId="1" hidden="1">'데이터 (2)'!$A$1:$AA$131</definedName>
    <definedName name="_xlnm._FilterDatabase" localSheetId="2" hidden="1">유션확인!$A$1:$N$131</definedName>
    <definedName name="_xlnm._FilterDatabase" localSheetId="3" hidden="1">유형별대표사례!$A$1:$N$131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" i="3" l="1"/>
  <c r="S3" i="3"/>
  <c r="S4" i="3" s="1"/>
  <c r="T3" i="3"/>
  <c r="T4" i="3" s="1"/>
  <c r="U3" i="3"/>
  <c r="U4" i="3" s="1"/>
  <c r="V3" i="3"/>
  <c r="V4" i="3" s="1"/>
  <c r="W3" i="3"/>
  <c r="W4" i="3" s="1"/>
  <c r="X3" i="3"/>
  <c r="X4" i="3" s="1"/>
  <c r="Y3" i="3"/>
  <c r="Z3" i="3"/>
  <c r="D8" i="2"/>
  <c r="AA3" i="3" l="1"/>
</calcChain>
</file>

<file path=xl/sharedStrings.xml><?xml version="1.0" encoding="utf-8"?>
<sst xmlns="http://schemas.openxmlformats.org/spreadsheetml/2006/main" count="4230" uniqueCount="809">
  <si>
    <t>신청 기관(DB) 수 (6.22 기준)</t>
    <phoneticPr fontId="2" type="noConversion"/>
  </si>
  <si>
    <t>문서DB 수</t>
    <phoneticPr fontId="2" type="noConversion"/>
  </si>
  <si>
    <t>텍스트 DB 수</t>
    <phoneticPr fontId="2" type="noConversion"/>
  </si>
  <si>
    <t>이미지DB 수</t>
    <phoneticPr fontId="2" type="noConversion"/>
  </si>
  <si>
    <t>영상DB 수</t>
    <phoneticPr fontId="2" type="noConversion"/>
  </si>
  <si>
    <t>음성DB 수</t>
    <phoneticPr fontId="2" type="noConversion"/>
  </si>
  <si>
    <t>센서DB 수</t>
    <phoneticPr fontId="2" type="noConversion"/>
  </si>
  <si>
    <t>기타(첨부파일) DB 수</t>
    <phoneticPr fontId="2" type="noConversion"/>
  </si>
  <si>
    <t>제외DB 수</t>
    <phoneticPr fontId="2" type="noConversion"/>
  </si>
  <si>
    <t>제외 완료</t>
    <phoneticPr fontId="2" type="noConversion"/>
  </si>
  <si>
    <t>재확인 예정</t>
    <phoneticPr fontId="2" type="noConversion"/>
  </si>
  <si>
    <t>42(130)</t>
  </si>
  <si>
    <t>[참고]</t>
    <phoneticPr fontId="2" type="noConversion"/>
  </si>
  <si>
    <t>합계</t>
    <phoneticPr fontId="2" type="noConversion"/>
  </si>
  <si>
    <t>공간정보 유형 
신청 DB</t>
    <phoneticPr fontId="2" type="noConversion"/>
  </si>
  <si>
    <t>메타데이터 
관리항목' 오기입</t>
    <phoneticPr fontId="2" type="noConversion"/>
  </si>
  <si>
    <t>GOODDATA
미등록 DB</t>
    <phoneticPr fontId="2" type="noConversion"/>
  </si>
  <si>
    <t>이미지</t>
    <phoneticPr fontId="2" type="noConversion"/>
  </si>
  <si>
    <t>작품명, 작품소개</t>
  </si>
  <si>
    <t>대한민국 환경사랑 공모전 사진, 일러스트</t>
  </si>
  <si>
    <t>이미지</t>
  </si>
  <si>
    <t>환경사랑공모전 DB</t>
  </si>
  <si>
    <t>한국환경공단_대한민국 환경사랑공모전</t>
  </si>
  <si>
    <t>한국환경공단_
환경사랑공모전 DB</t>
    <phoneticPr fontId="2" type="noConversion"/>
  </si>
  <si>
    <t>032-590-3282
032-590-3020</t>
    <phoneticPr fontId="2" type="noConversion"/>
  </si>
  <si>
    <t>김성준(총괄) 
이유진(업무)</t>
    <phoneticPr fontId="2" type="noConversion"/>
  </si>
  <si>
    <t>한국환경공단</t>
    <phoneticPr fontId="2" type="noConversion"/>
  </si>
  <si>
    <t>텍스트</t>
    <phoneticPr fontId="2" type="noConversion"/>
  </si>
  <si>
    <t>① 보도URL 등
② 썸네일 이미지 URL, 원본파일 URL 등</t>
    <phoneticPr fontId="2" type="noConversion"/>
  </si>
  <si>
    <t>① 의료진 학력 및 활동 내용, 미디어자료 등
② 병원 의료진 이미지 등</t>
    <phoneticPr fontId="2" type="noConversion"/>
  </si>
  <si>
    <t>텍스트, 이미지</t>
    <phoneticPr fontId="2" type="noConversion"/>
  </si>
  <si>
    <t>충북대학교병원홈페이지 DB</t>
  </si>
  <si>
    <t>충북대학교병원 홈페이지</t>
  </si>
  <si>
    <t>충북대학교병원 홈페이지 DB</t>
    <phoneticPr fontId="2" type="noConversion"/>
  </si>
  <si>
    <t>043-269-6832</t>
  </si>
  <si>
    <t>조상필</t>
  </si>
  <si>
    <t>충북대학교병원</t>
    <phoneticPr fontId="2" type="noConversion"/>
  </si>
  <si>
    <t>URL 경로</t>
    <phoneticPr fontId="2" type="noConversion"/>
  </si>
  <si>
    <t>병원 실방 이미지, 병원 자산 이미지, 교육정보 이미지 등</t>
    <phoneticPr fontId="2" type="noConversion"/>
  </si>
  <si>
    <t>HIS DB</t>
  </si>
  <si>
    <t>차세대 의료정보시스템(HIS)</t>
  </si>
  <si>
    <t>HIS DB(의료정보시스템)</t>
    <phoneticPr fontId="2" type="noConversion"/>
  </si>
  <si>
    <t>센서데이터</t>
    <phoneticPr fontId="2" type="noConversion"/>
  </si>
  <si>
    <t>측정소번호, 형태, 수심, 풍속, 풍향 등</t>
    <phoneticPr fontId="2" type="noConversion"/>
  </si>
  <si>
    <t>온도, 습도, 염분, 일사량등 측정데이터</t>
  </si>
  <si>
    <t>수산연구정보DB</t>
    <phoneticPr fontId="2" type="noConversion"/>
  </si>
  <si>
    <t>수산연구정보시스템(e-푸른바다)</t>
    <phoneticPr fontId="2" type="noConversion"/>
  </si>
  <si>
    <t>수산연구정보시스템(적조DB)</t>
    <phoneticPr fontId="2" type="noConversion"/>
  </si>
  <si>
    <t>044-200-5213</t>
    <phoneticPr fontId="2" type="noConversion"/>
  </si>
  <si>
    <t>임병묵</t>
    <phoneticPr fontId="2" type="noConversion"/>
  </si>
  <si>
    <t>해양수산부</t>
    <phoneticPr fontId="2" type="noConversion"/>
  </si>
  <si>
    <t>문서</t>
    <phoneticPr fontId="2" type="noConversion"/>
  </si>
  <si>
    <t>첨부파일명, 작성일자 등</t>
    <phoneticPr fontId="2" type="noConversion"/>
  </si>
  <si>
    <t>각종 고시문 및 조서, 위치도 등의 해양과 관련된 문서</t>
    <phoneticPr fontId="2" type="noConversion"/>
  </si>
  <si>
    <t>OFBD</t>
    <phoneticPr fontId="2" type="noConversion"/>
  </si>
  <si>
    <t>해양수산정보 공동활용체계</t>
    <phoneticPr fontId="2" type="noConversion"/>
  </si>
  <si>
    <t>해양수산공동활용체계(OFBD)</t>
    <phoneticPr fontId="2" type="noConversion"/>
  </si>
  <si>
    <t>① 도엽번호, 도엽한글명, 스캔이미지명 등
② 도엽번호, 도엽한글명, 파일명 등</t>
    <phoneticPr fontId="2" type="noConversion"/>
  </si>
  <si>
    <t>① 스캔이미지
② PDF파일</t>
    <phoneticPr fontId="2" type="noConversion"/>
  </si>
  <si>
    <t>이미지, 문서</t>
    <phoneticPr fontId="2" type="noConversion"/>
  </si>
  <si>
    <t>종합해양 DB</t>
    <phoneticPr fontId="2" type="noConversion"/>
  </si>
  <si>
    <t>종합해양정보시스템(TOIS)</t>
    <phoneticPr fontId="2" type="noConversion"/>
  </si>
  <si>
    <t>종합해양정보시스템(SDBNORI)</t>
    <phoneticPr fontId="2" type="noConversion"/>
  </si>
  <si>
    <t>내용 등</t>
    <phoneticPr fontId="2" type="noConversion"/>
  </si>
  <si>
    <t>게시글(텍스트)</t>
    <phoneticPr fontId="2" type="noConversion"/>
  </si>
  <si>
    <t>해양생명자원통합 DB</t>
    <phoneticPr fontId="2" type="noConversion"/>
  </si>
  <si>
    <t>해양생명자원 통합정보시스템(MBRIS)</t>
    <phoneticPr fontId="2" type="noConversion"/>
  </si>
  <si>
    <t>해양생명자원통합정보시스템(MBRIS)</t>
    <phoneticPr fontId="2" type="noConversion"/>
  </si>
  <si>
    <t>이미지 파일, 이미지 파일 경로 등</t>
  </si>
  <si>
    <t xml:space="preserve">포획금지 어종에 대한 이미지 </t>
    <phoneticPr fontId="2" type="noConversion"/>
  </si>
  <si>
    <t>수산정보통합 DB</t>
    <phoneticPr fontId="2" type="noConversion"/>
  </si>
  <si>
    <t>수산정보통합시스템</t>
    <phoneticPr fontId="2" type="noConversion"/>
  </si>
  <si>
    <t>수산정보통합시스템(수산정보통합DB)</t>
    <phoneticPr fontId="2" type="noConversion"/>
  </si>
  <si>
    <t>기타(첨부파일)</t>
    <phoneticPr fontId="2" type="noConversion"/>
  </si>
  <si>
    <t>생성일시, 파일명, 파일크기 등</t>
  </si>
  <si>
    <t>첨부파일 관리</t>
  </si>
  <si>
    <t>경영 DB</t>
    <phoneticPr fontId="2" type="noConversion"/>
  </si>
  <si>
    <t>경영정보시스템</t>
    <phoneticPr fontId="2" type="noConversion"/>
  </si>
  <si>
    <t>경영정보시스템DB</t>
    <phoneticPr fontId="2" type="noConversion"/>
  </si>
  <si>
    <t>061-820-1163</t>
    <phoneticPr fontId="2" type="noConversion"/>
  </si>
  <si>
    <t>임지연</t>
    <phoneticPr fontId="2" type="noConversion"/>
  </si>
  <si>
    <t>한국인터넷진흥원</t>
    <phoneticPr fontId="2" type="noConversion"/>
  </si>
  <si>
    <t>KISA 전자계약DB</t>
    <phoneticPr fontId="2" type="noConversion"/>
  </si>
  <si>
    <t>KISA 전자계약시스템</t>
    <phoneticPr fontId="2" type="noConversion"/>
  </si>
  <si>
    <t>전자계약시스템DB</t>
    <phoneticPr fontId="2" type="noConversion"/>
  </si>
  <si>
    <t>이미지 파일명, 배너링크 URL 등</t>
    <phoneticPr fontId="2" type="noConversion"/>
  </si>
  <si>
    <t>배너 이미지 관리</t>
  </si>
  <si>
    <t>인터넷주소자원시스템 DB</t>
    <phoneticPr fontId="2" type="noConversion"/>
  </si>
  <si>
    <t>인터넷주소자원 시스템</t>
    <phoneticPr fontId="2" type="noConversion"/>
  </si>
  <si>
    <t>인터넷주소자원DB</t>
    <phoneticPr fontId="2" type="noConversion"/>
  </si>
  <si>
    <t>한국인터넷진흥원홈페이지 DB</t>
    <phoneticPr fontId="2" type="noConversion"/>
  </si>
  <si>
    <t>한국인터넷진흥원홈페이지</t>
    <phoneticPr fontId="2" type="noConversion"/>
  </si>
  <si>
    <t>대표홈페이지관리 DB</t>
    <phoneticPr fontId="2" type="noConversion"/>
  </si>
  <si>
    <t>일자, 언론사, 기자, 제목, 본문, 원본URL 등</t>
  </si>
  <si>
    <t>언론사로부터 수집한 뉴스를 뉴스 분류 엔진을 통해 분류하고, 자연어처리 등으로 키워드 추출 등 분석한 데이터를 저장</t>
  </si>
  <si>
    <t>신문기사DB</t>
    <phoneticPr fontId="2" type="noConversion"/>
  </si>
  <si>
    <t>뉴스빅데이터</t>
    <phoneticPr fontId="2" type="noConversion"/>
  </si>
  <si>
    <t>뉴스기사 DB</t>
    <phoneticPr fontId="2" type="noConversion"/>
  </si>
  <si>
    <t>02-2001-7572</t>
    <phoneticPr fontId="2" type="noConversion"/>
  </si>
  <si>
    <t>황재</t>
    <phoneticPr fontId="2" type="noConversion"/>
  </si>
  <si>
    <t>한국언론진흥재단</t>
    <phoneticPr fontId="2" type="noConversion"/>
  </si>
  <si>
    <t>영상</t>
    <phoneticPr fontId="2" type="noConversion"/>
  </si>
  <si>
    <t>파일경로,출처,파일명,대표이미지 등</t>
    <phoneticPr fontId="2" type="noConversion"/>
  </si>
  <si>
    <t>아카데미</t>
    <phoneticPr fontId="2" type="noConversion"/>
  </si>
  <si>
    <t>INFOS DB(WPORTAL)</t>
    <phoneticPr fontId="2" type="noConversion"/>
  </si>
  <si>
    <t>물정보포털(MyWater)</t>
    <phoneticPr fontId="2" type="noConversion"/>
  </si>
  <si>
    <t>물정보포털
(MyWater)</t>
    <phoneticPr fontId="2" type="noConversion"/>
  </si>
  <si>
    <t>042-629-3825</t>
  </si>
  <si>
    <t>성민제</t>
    <phoneticPr fontId="2" type="noConversion"/>
  </si>
  <si>
    <t>한국수자원공사</t>
    <phoneticPr fontId="2" type="noConversion"/>
  </si>
  <si>
    <t>수행일시, 이미지파일명, 이미지 사이즈, 이미지파일경로, 이미지 설명</t>
  </si>
  <si>
    <t>테스트 대상지점별 결과이미지 파일 등</t>
    <phoneticPr fontId="2" type="noConversion"/>
  </si>
  <si>
    <t>ERP DB(SRN)</t>
    <phoneticPr fontId="2" type="noConversion"/>
  </si>
  <si>
    <t>통합수질예측시스템(SURIAN)</t>
    <phoneticPr fontId="2" type="noConversion"/>
  </si>
  <si>
    <t>수리안
(SURIAN)</t>
    <phoneticPr fontId="2" type="noConversion"/>
  </si>
  <si>
    <t>이미지인덱스, 등록일, 수정일, 파일명, 저장경로 등</t>
  </si>
  <si>
    <t>캠핑장 이미지자료</t>
  </si>
  <si>
    <t>INFOS DB(RIVERGUIDE)</t>
    <phoneticPr fontId="2" type="noConversion"/>
  </si>
  <si>
    <t>우리강이용도우미포털</t>
    <phoneticPr fontId="2" type="noConversion"/>
  </si>
  <si>
    <t>우리강이용
도우미포털 DB</t>
    <phoneticPr fontId="2" type="noConversion"/>
  </si>
  <si>
    <t>파일명, 확장자, 사이즈, 로컬저장명</t>
  </si>
  <si>
    <t>게시판 첨부파일</t>
  </si>
  <si>
    <t>ERP DB(DIS)</t>
    <phoneticPr fontId="2" type="noConversion"/>
  </si>
  <si>
    <t>가뭄정보시스템</t>
    <phoneticPr fontId="2" type="noConversion"/>
  </si>
  <si>
    <t>가뭄정보시스템
문서관리 DB</t>
    <phoneticPr fontId="2" type="noConversion"/>
  </si>
  <si>
    <t>파일사이즈, 파일명, DRM사용여부, 개인정보포함여부, 수정일시, 파일저장경로 등</t>
    <phoneticPr fontId="2" type="noConversion"/>
  </si>
  <si>
    <t>첨부 문서파일</t>
  </si>
  <si>
    <t>ERP DB(WIS)</t>
    <phoneticPr fontId="2" type="noConversion"/>
  </si>
  <si>
    <t>온라인 물산업플랫폼시스템</t>
    <phoneticPr fontId="2" type="noConversion"/>
  </si>
  <si>
    <t>온라인 물산업플랫폼
시스템</t>
    <phoneticPr fontId="2" type="noConversion"/>
  </si>
  <si>
    <t>DB명 확인완료</t>
    <phoneticPr fontId="2" type="noConversion"/>
  </si>
  <si>
    <t>GOODDATA 매핑 필요</t>
  </si>
  <si>
    <t>발간번호, 콘텐츠 명, 발간기관, 등록자, 콘텐츠형태, 대업종, 분야, 발간용도, 내용, 
보급대상, 공공누리, 발간예정일, 콘텐츠 설명, 총 제작수량, 최중수정자, 최종수정일자, 제작업체 명, 제작업체 연락처, 수요파악여부, 소요예산, 초상/저작만료일, 보급방식, 키워드</t>
    <phoneticPr fontId="2" type="noConversion"/>
  </si>
  <si>
    <t>① 책자, OPS, 리플릿, 교안(PPT), 팸플릿, 전자출판, 만화
② 동영상, 애니메이션, VR, AR, 광고
③ 스티커, 포스터, 달력, 표어, 현수막</t>
    <phoneticPr fontId="2" type="noConversion"/>
  </si>
  <si>
    <t>문서, 영상, 이미지</t>
    <phoneticPr fontId="2" type="noConversion"/>
  </si>
  <si>
    <t>OASHIS</t>
    <phoneticPr fontId="2" type="noConversion"/>
  </si>
  <si>
    <t>미디어개발</t>
    <phoneticPr fontId="2" type="noConversion"/>
  </si>
  <si>
    <t>052-703-0585</t>
    <phoneticPr fontId="2" type="noConversion"/>
  </si>
  <si>
    <t>조성형</t>
    <phoneticPr fontId="2" type="noConversion"/>
  </si>
  <si>
    <t>한국산업안전보건공단</t>
    <phoneticPr fontId="2" type="noConversion"/>
  </si>
  <si>
    <t>시각, 황산화물 농도, 질소산화물 농도, 먼지 농도 등</t>
    <phoneticPr fontId="2" type="noConversion"/>
  </si>
  <si>
    <t>환경 정보</t>
  </si>
  <si>
    <t>OABS</t>
    <phoneticPr fontId="2" type="noConversion"/>
  </si>
  <si>
    <t>환경감시(부산)</t>
    <phoneticPr fontId="2" type="noConversion"/>
  </si>
  <si>
    <t>환경감시(부산)DB</t>
    <phoneticPr fontId="2" type="noConversion"/>
  </si>
  <si>
    <t>070-7713-8671</t>
    <phoneticPr fontId="2" type="noConversion"/>
  </si>
  <si>
    <t>이경훈</t>
    <phoneticPr fontId="2" type="noConversion"/>
  </si>
  <si>
    <t>한국남부발전</t>
    <phoneticPr fontId="2" type="noConversion"/>
  </si>
  <si>
    <t>자재번호, 입출고 시각 등</t>
  </si>
  <si>
    <t>자재 입출고 정보</t>
  </si>
  <si>
    <t>RFID</t>
    <phoneticPr fontId="2" type="noConversion"/>
  </si>
  <si>
    <t>사업소자재관리</t>
    <phoneticPr fontId="2" type="noConversion"/>
  </si>
  <si>
    <t>사업소자재관리DB</t>
    <phoneticPr fontId="2" type="noConversion"/>
  </si>
  <si>
    <t>작성자, 작성일자, 이미지포멧 등</t>
  </si>
  <si>
    <t>발전현장 정보</t>
  </si>
  <si>
    <t>GEMOBILE</t>
    <phoneticPr fontId="2" type="noConversion"/>
  </si>
  <si>
    <t>발전현장 모바일 시스템</t>
    <phoneticPr fontId="2" type="noConversion"/>
  </si>
  <si>
    <t>발전현장 모바일 시스템 DB</t>
    <phoneticPr fontId="2" type="noConversion"/>
  </si>
  <si>
    <t>작성자, 작성일자, 답변, 게시글, 관련시스템 등</t>
  </si>
  <si>
    <t>Q&amp;A</t>
  </si>
  <si>
    <t>KOSPOCM</t>
    <phoneticPr fontId="2" type="noConversion"/>
  </si>
  <si>
    <t>KOSPO 지식인</t>
    <phoneticPr fontId="2" type="noConversion"/>
  </si>
  <si>
    <t>KOSPO 지식인DB</t>
    <phoneticPr fontId="2" type="noConversion"/>
  </si>
  <si>
    <t>작성자, 작성일자, 문서번호, 제목 등</t>
  </si>
  <si>
    <t>사규 정보</t>
  </si>
  <si>
    <t>RULESMGT</t>
    <phoneticPr fontId="2" type="noConversion"/>
  </si>
  <si>
    <t>(신)사규관리시스템</t>
    <phoneticPr fontId="2" type="noConversion"/>
  </si>
  <si>
    <t>사규관리시스템DB</t>
    <phoneticPr fontId="2" type="noConversion"/>
  </si>
  <si>
    <t xml:space="preserve">실기평가문제 일련번호, 문제정답, 파일경로, 등록일자 등 </t>
  </si>
  <si>
    <t>축산물품질평가사 교육용 소, 돼지 도체 이미지</t>
    <phoneticPr fontId="2" type="noConversion"/>
  </si>
  <si>
    <t>grade</t>
    <phoneticPr fontId="2" type="noConversion"/>
  </si>
  <si>
    <t>축산물품질평가 교육관리시스템</t>
    <phoneticPr fontId="2" type="noConversion"/>
  </si>
  <si>
    <t>044-410-7744</t>
    <phoneticPr fontId="2" type="noConversion"/>
  </si>
  <si>
    <t>노향래</t>
    <phoneticPr fontId="2" type="noConversion"/>
  </si>
  <si>
    <t>축산물품질평가원</t>
    <phoneticPr fontId="2" type="noConversion"/>
  </si>
  <si>
    <t>중복유형(2개이상) 제외</t>
    <phoneticPr fontId="2" type="noConversion"/>
  </si>
  <si>
    <t>파일확장자, 등록일자, 등록자, 도축장코드, 도체번호, 도축일자, 소 이력번호 등</t>
  </si>
  <si>
    <t>소 도체 결함 이미지</t>
  </si>
  <si>
    <t>축산물등급관리시스템</t>
    <phoneticPr fontId="2" type="noConversion"/>
  </si>
  <si>
    <t xml:space="preserve">이미지번호, 파일경로, 파일명, 파일종류, 파일크기, 도체번호, 도축일자, 판정일자 등 </t>
  </si>
  <si>
    <t xml:space="preserve">돼지 도체 이미지 </t>
  </si>
  <si>
    <t>현재 단순 프로그램으로 관리하고 있으며, 07월 중 DB구축하여 오픈예정-&gt;DB구축 완료 후 현행화 안내</t>
    <phoneticPr fontId="2" type="noConversion"/>
  </si>
  <si>
    <t>차대번호, 등록번호, 검사일자</t>
    <phoneticPr fontId="2" type="noConversion"/>
  </si>
  <si>
    <t>건설기계검사 후 사진정보</t>
    <phoneticPr fontId="2" type="noConversion"/>
  </si>
  <si>
    <t>-</t>
    <phoneticPr fontId="2" type="noConversion"/>
  </si>
  <si>
    <t xml:space="preserve">영상자료 </t>
    <phoneticPr fontId="2" type="noConversion"/>
  </si>
  <si>
    <t>070-5050-4623</t>
  </si>
  <si>
    <t>최진석</t>
  </si>
  <si>
    <t>재단법인 대한건설기계안전관리원</t>
  </si>
  <si>
    <t>등록번호, 차대번호, 이미지등록일자</t>
    <phoneticPr fontId="2" type="noConversion"/>
  </si>
  <si>
    <t>각 건설기계 고유차대각자이미지</t>
    <phoneticPr fontId="2" type="noConversion"/>
  </si>
  <si>
    <t>imgdb</t>
  </si>
  <si>
    <t>① 작성자, 작성일자, 수정일자, 등
② 부록 번호, 회의록 번호 등</t>
    <phoneticPr fontId="2" type="noConversion"/>
  </si>
  <si>
    <t>① 회의록 문서
② 회의록 부록(문서, 영상, 이미지)</t>
    <phoneticPr fontId="2" type="noConversion"/>
  </si>
  <si>
    <t>텍스트, 영상, 이미지</t>
    <phoneticPr fontId="2" type="noConversion"/>
  </si>
  <si>
    <t>회의록 DB</t>
    <phoneticPr fontId="2" type="noConversion"/>
  </si>
  <si>
    <t>종로구의회 회의록시스템</t>
    <phoneticPr fontId="2" type="noConversion"/>
  </si>
  <si>
    <t>종로구의회 회의록 DB</t>
    <phoneticPr fontId="2" type="noConversion"/>
  </si>
  <si>
    <t>02-2148-1743</t>
    <phoneticPr fontId="2" type="noConversion"/>
  </si>
  <si>
    <t>전경배</t>
    <phoneticPr fontId="2" type="noConversion"/>
  </si>
  <si>
    <t>서울특별시 종로구</t>
    <phoneticPr fontId="2" type="noConversion"/>
  </si>
  <si>
    <t>① 대회명, 종목명, 국가명, 경기장명, 대회일자, 선수명, 내용주기 등
② 대회명, 종목명, 국가명, 경기장명, 대회일자, 한국메달리스트명 등</t>
    <phoneticPr fontId="2" type="noConversion"/>
  </si>
  <si>
    <t>① 서울올림픽 관련 이미지 정보
② 서울올림픽 관련 동영상정보</t>
    <phoneticPr fontId="2" type="noConversion"/>
  </si>
  <si>
    <t>이미지, 영상</t>
    <phoneticPr fontId="2" type="noConversion"/>
  </si>
  <si>
    <t>올림픽자료관리 DB</t>
    <phoneticPr fontId="2" type="noConversion"/>
  </si>
  <si>
    <t>서울올림픽자료관리</t>
    <phoneticPr fontId="2" type="noConversion"/>
  </si>
  <si>
    <t>올림픽 자료관리 DB</t>
    <phoneticPr fontId="2" type="noConversion"/>
  </si>
  <si>
    <t>02-410-1537</t>
    <phoneticPr fontId="2" type="noConversion"/>
  </si>
  <si>
    <t>김주연</t>
    <phoneticPr fontId="2" type="noConversion"/>
  </si>
  <si>
    <t>서울올림픽기념국민체육진흥공단</t>
    <phoneticPr fontId="2" type="noConversion"/>
  </si>
  <si>
    <t>콘텐츠명, 첨부파일경로, 제작자명, 제작날짜일자,
등록날짜일자, 등록회원번호, 삭제여부</t>
    <phoneticPr fontId="2" type="noConversion"/>
  </si>
  <si>
    <t>KSPO에듀 교육 동영상 정보</t>
    <phoneticPr fontId="2" type="noConversion"/>
  </si>
  <si>
    <t>K스포에듀 DB</t>
    <phoneticPr fontId="2" type="noConversion"/>
  </si>
  <si>
    <t>K스포에듀 홈페이지</t>
    <phoneticPr fontId="2" type="noConversion"/>
  </si>
  <si>
    <t>작품명, 작가명, 작품구분, 국적, 규격, 설명, 파일경로 등</t>
    <phoneticPr fontId="2" type="noConversion"/>
  </si>
  <si>
    <t xml:space="preserve">소마미술관 소장 작품정보, 등록작가 
아카이브 정보 </t>
    <phoneticPr fontId="2" type="noConversion"/>
  </si>
  <si>
    <t>신소마미술관홈페이지 DB</t>
    <phoneticPr fontId="2" type="noConversion"/>
  </si>
  <si>
    <t>신소마미술관</t>
    <phoneticPr fontId="2" type="noConversion"/>
  </si>
  <si>
    <t>자료명, 서지종류, 저자, 발행처, 발행일, 페이지수, 원문존재유무, 서지상세url,
자료제목, 제공처</t>
    <phoneticPr fontId="2" type="noConversion"/>
  </si>
  <si>
    <t>도서관 보유 연구보고서 정보</t>
    <phoneticPr fontId="2" type="noConversion"/>
  </si>
  <si>
    <t>도서관자료관리 DB</t>
    <phoneticPr fontId="2" type="noConversion"/>
  </si>
  <si>
    <t>도서관자료관리시스템</t>
    <phoneticPr fontId="2" type="noConversion"/>
  </si>
  <si>
    <t>제목, 연구책임자, 발행년도, 원문파일경로</t>
  </si>
  <si>
    <t>연구자료 관련 정보</t>
  </si>
  <si>
    <t>연구관리 DB</t>
    <phoneticPr fontId="2" type="noConversion"/>
  </si>
  <si>
    <t>KSPO 연구관리</t>
    <phoneticPr fontId="2" type="noConversion"/>
  </si>
  <si>
    <t xml:space="preserve">파일명(확장자포함), 파일용량 등 </t>
  </si>
  <si>
    <t>각종 보고서, 게시글 등</t>
  </si>
  <si>
    <t>사회통합 DB</t>
    <phoneticPr fontId="2" type="noConversion"/>
  </si>
  <si>
    <t>사회통합정보시스템</t>
    <phoneticPr fontId="2" type="noConversion"/>
  </si>
  <si>
    <t>02-2110-3492</t>
    <phoneticPr fontId="2" type="noConversion"/>
  </si>
  <si>
    <t>김혜경</t>
    <phoneticPr fontId="2" type="noConversion"/>
  </si>
  <si>
    <t>법무부</t>
    <phoneticPr fontId="2" type="noConversion"/>
  </si>
  <si>
    <t>파일명(확장자 포함), 파일 용량</t>
  </si>
  <si>
    <t>공증 문서 또는 공증 신청 문서</t>
    <phoneticPr fontId="2" type="noConversion"/>
  </si>
  <si>
    <t>전자공증 DB</t>
    <phoneticPr fontId="2" type="noConversion"/>
  </si>
  <si>
    <t>자공증시스템</t>
    <phoneticPr fontId="2" type="noConversion"/>
  </si>
  <si>
    <t>다운로드횟수, 파일명, 파일번호, 크기, 형식</t>
  </si>
  <si>
    <t>각종 첨부파일</t>
  </si>
  <si>
    <t>SOC성능평가관리 DB</t>
    <phoneticPr fontId="2" type="noConversion"/>
  </si>
  <si>
    <t>SOC성능평가시스템</t>
    <phoneticPr fontId="2" type="noConversion"/>
  </si>
  <si>
    <t>SOC</t>
    <phoneticPr fontId="2" type="noConversion"/>
  </si>
  <si>
    <t>055-771-4941</t>
    <phoneticPr fontId="2" type="noConversion"/>
  </si>
  <si>
    <t>황윤호</t>
    <phoneticPr fontId="2" type="noConversion"/>
  </si>
  <si>
    <t>국토안전관리원</t>
    <phoneticPr fontId="2" type="noConversion"/>
  </si>
  <si>
    <t>파일번호, 파일명, 경로 형식 등</t>
  </si>
  <si>
    <t>소규모취약시설물안전관리 DB</t>
    <phoneticPr fontId="2" type="noConversion"/>
  </si>
  <si>
    <t>소규모취약시설물안전관리시스템</t>
    <phoneticPr fontId="2" type="noConversion"/>
  </si>
  <si>
    <t>SFMS</t>
    <phoneticPr fontId="2" type="noConversion"/>
  </si>
  <si>
    <t>일련번호, 이미지명 등</t>
  </si>
  <si>
    <t>홈페이지배너</t>
  </si>
  <si>
    <t>시설안전교육센터 DB</t>
    <phoneticPr fontId="2" type="noConversion"/>
  </si>
  <si>
    <t>시설안전기술자교육시스템</t>
    <phoneticPr fontId="2" type="noConversion"/>
  </si>
  <si>
    <t>KLMS</t>
    <phoneticPr fontId="2" type="noConversion"/>
  </si>
  <si>
    <t>글번호, 제목, 내용 등</t>
  </si>
  <si>
    <t>공통게시판</t>
  </si>
  <si>
    <t>관리원대표홈페이지 DB</t>
    <phoneticPr fontId="2" type="noConversion"/>
  </si>
  <si>
    <t>관리원 대표 홈페이지</t>
    <phoneticPr fontId="2" type="noConversion"/>
  </si>
  <si>
    <t>KALIS</t>
    <phoneticPr fontId="2" type="noConversion"/>
  </si>
  <si>
    <t>쪽지번호, 내용</t>
  </si>
  <si>
    <t>쪽지</t>
  </si>
  <si>
    <t>점검진단실시결과평가 DB</t>
    <phoneticPr fontId="2" type="noConversion"/>
  </si>
  <si>
    <t>점검진단실시결과평가시스템</t>
    <phoneticPr fontId="2" type="noConversion"/>
  </si>
  <si>
    <t>IREMS</t>
    <phoneticPr fontId="2" type="noConversion"/>
  </si>
  <si>
    <t>저장된_파일_명, 원천_파일_명</t>
    <phoneticPr fontId="2" type="noConversion"/>
  </si>
  <si>
    <t>정보의결서, 분쟁조정사례, 공지사항, 보도자료, 발간문, 법령</t>
    <phoneticPr fontId="2" type="noConversion"/>
  </si>
  <si>
    <t>가맹사업정보공개 DB</t>
    <phoneticPr fontId="2" type="noConversion"/>
  </si>
  <si>
    <t>가맹사업정보제공시스템</t>
    <phoneticPr fontId="2" type="noConversion"/>
  </si>
  <si>
    <t>가맹정보 DB</t>
  </si>
  <si>
    <t>044-200-4936</t>
  </si>
  <si>
    <t>오태관</t>
  </si>
  <si>
    <t>공정거래위원회</t>
    <phoneticPr fontId="2" type="noConversion"/>
  </si>
  <si>
    <t>① 게시판ID, 제목, 내용, 첨부파일ID 
② 첨부파일명, 첨부파일URL, 제보내용, 컨텐츠 등</t>
    <phoneticPr fontId="2" type="noConversion"/>
  </si>
  <si>
    <t>① 위원회 소식 등 공개정보
② 익명제보센터, 보도자료 게시판 등</t>
    <phoneticPr fontId="2" type="noConversion"/>
  </si>
  <si>
    <t>문서, 텍스트</t>
    <phoneticPr fontId="2" type="noConversion"/>
  </si>
  <si>
    <t>사업자정보공개 DB</t>
    <phoneticPr fontId="2" type="noConversion"/>
  </si>
  <si>
    <t>공정위 홈페이지</t>
    <phoneticPr fontId="2" type="noConversion"/>
  </si>
  <si>
    <t>사업자정보공개</t>
  </si>
  <si>
    <t>044-200-4283</t>
  </si>
  <si>
    <t>박진경</t>
  </si>
  <si>
    <t>① 문서ID, 대상번호, 문서구분코드, 실제파일경로 등
② 문서_ID, 요지_내용 등</t>
    <phoneticPr fontId="2" type="noConversion"/>
  </si>
  <si>
    <t>① 사건 문서 정보
② 의결서등 비정형데이터의 요지정보 등</t>
    <phoneticPr fontId="2" type="noConversion"/>
  </si>
  <si>
    <t>법위반사건관련자료DB</t>
    <phoneticPr fontId="2" type="noConversion"/>
  </si>
  <si>
    <t>사건처리시스템</t>
    <phoneticPr fontId="2" type="noConversion"/>
  </si>
  <si>
    <t>사건처리(법위반 법위반사건 관련자료 DB구축)</t>
  </si>
  <si>
    <t>044-200-4281</t>
  </si>
  <si>
    <t>현동우</t>
  </si>
  <si>
    <t>변환_파일_명, 변환_파일_경로, 연계여부, 연계_파일명, 연계_파일_경로 등</t>
  </si>
  <si>
    <t>의결서개방항목(의결서제목, 배치변환_화일명) 등</t>
  </si>
  <si>
    <t>문서</t>
  </si>
  <si>
    <t>의결서개방DB</t>
    <phoneticPr fontId="2" type="noConversion"/>
  </si>
  <si>
    <t>사건처리(의결서개방)</t>
  </si>
  <si>
    <t>① 파일 명,파일 경로,변경 파일 사이즈, 변경 파일 명
② 파일 소개 이미지,파일 단체로고, 이미지 번호 등</t>
    <phoneticPr fontId="2" type="noConversion"/>
  </si>
  <si>
    <t>① 첨부파일, 기부금품 모집완료 보고 단체 파일
② 경제교육을 위한 이미지 컨텐츠, 썸네일 등</t>
    <phoneticPr fontId="2" type="noConversion"/>
  </si>
  <si>
    <t>문서, 텍스트, 이미지</t>
    <phoneticPr fontId="2" type="noConversion"/>
  </si>
  <si>
    <t>기부DB</t>
    <phoneticPr fontId="2" type="noConversion"/>
  </si>
  <si>
    <t>기부통합관리시스템</t>
    <phoneticPr fontId="2" type="noConversion"/>
  </si>
  <si>
    <t>기부(gibu)db</t>
    <phoneticPr fontId="2" type="noConversion"/>
  </si>
  <si>
    <t>044-205-3174</t>
    <phoneticPr fontId="2" type="noConversion"/>
  </si>
  <si>
    <t>최용주</t>
    <phoneticPr fontId="2" type="noConversion"/>
  </si>
  <si>
    <t>행정안전부</t>
    <phoneticPr fontId="2" type="noConversion"/>
  </si>
  <si>
    <t>이미지 파일 id, 이미지 파일 이름 ,이미지 파일 사이즈, 이미지 파일 원본이름,이미지 파일 경로, 이미지 파일 확장자</t>
    <phoneticPr fontId="2" type="noConversion"/>
  </si>
  <si>
    <t>이미지 정보</t>
    <phoneticPr fontId="2" type="noConversion"/>
  </si>
  <si>
    <t>광화문1번가 DB</t>
    <phoneticPr fontId="2" type="noConversion"/>
  </si>
  <si>
    <t>온라인광화문1번가</t>
    <phoneticPr fontId="2" type="noConversion"/>
  </si>
  <si>
    <t>광화문1번가DB</t>
    <phoneticPr fontId="2" type="noConversion"/>
  </si>
  <si>
    <t>044-205-2428</t>
    <phoneticPr fontId="2" type="noConversion"/>
  </si>
  <si>
    <t>박진우</t>
    <phoneticPr fontId="2" type="noConversion"/>
  </si>
  <si>
    <t>첨부파일 명, 첨부파일 크기, 첨부파일ID</t>
  </si>
  <si>
    <t>비상훈련 결과(사진), 현장관찰 결과(사진) 등</t>
    <phoneticPr fontId="2" type="noConversion"/>
  </si>
  <si>
    <t>유도선 DB</t>
    <phoneticPr fontId="2" type="noConversion"/>
  </si>
  <si>
    <t>유도선시스템</t>
    <phoneticPr fontId="2" type="noConversion"/>
  </si>
  <si>
    <t>044-205-4150</t>
    <phoneticPr fontId="2" type="noConversion"/>
  </si>
  <si>
    <t>안기영</t>
    <phoneticPr fontId="2" type="noConversion"/>
  </si>
  <si>
    <t>① 게시판 내용
② 작품에 대한 설명내용 등</t>
    <phoneticPr fontId="2" type="noConversion"/>
  </si>
  <si>
    <t>① 게시글 목록, 관리자 페이지 content 수정이력
② 문서(공모전 목록 페이지, 신청 작품) 첨부파일 등</t>
    <phoneticPr fontId="2" type="noConversion"/>
  </si>
  <si>
    <t>텍스트, 문서</t>
    <phoneticPr fontId="2" type="noConversion"/>
  </si>
  <si>
    <t>자전거행복나눔 DB</t>
    <phoneticPr fontId="2" type="noConversion"/>
  </si>
  <si>
    <t>자전거행복나눔</t>
    <phoneticPr fontId="2" type="noConversion"/>
  </si>
  <si>
    <t>자전거행복나눔DB</t>
    <phoneticPr fontId="2" type="noConversion"/>
  </si>
  <si>
    <t>044-205-3536</t>
    <phoneticPr fontId="2" type="noConversion"/>
  </si>
  <si>
    <t>원유진</t>
    <phoneticPr fontId="2" type="noConversion"/>
  </si>
  <si>
    <t>① 슬라이드 이미지 명
② 파일 명, 파일 크기, 파일타입, 파일ID</t>
    <phoneticPr fontId="2" type="noConversion"/>
  </si>
  <si>
    <t>① 슬라이드 이미지(사진), 작성 글 관련 이미지
② 작성 글 관련 텍스트, 문서, 영상</t>
    <phoneticPr fontId="2" type="noConversion"/>
  </si>
  <si>
    <t>이미지, 텍스트, 문서, 영상</t>
    <phoneticPr fontId="2" type="noConversion"/>
  </si>
  <si>
    <t>DMZ통합정보시스템(DMZ통합 DB)</t>
    <phoneticPr fontId="2" type="noConversion"/>
  </si>
  <si>
    <t>DMZ통합시스템(디엠지기)</t>
    <phoneticPr fontId="2" type="noConversion"/>
  </si>
  <si>
    <t>DMZ통합 DB</t>
    <phoneticPr fontId="2" type="noConversion"/>
  </si>
  <si>
    <t>044-205-3517</t>
    <phoneticPr fontId="2" type="noConversion"/>
  </si>
  <si>
    <t>선동호</t>
    <phoneticPr fontId="2" type="noConversion"/>
  </si>
  <si>
    <t>파일 상대 경로(FILE_PARTN_COURS), 파일 절대 경로(FILE_ABSLT_COURS),
파일명(FILE_NM), 파일 사이즈(FILE_SIZE), 파일 확장자 명(FILE_EXTSN_NM)</t>
    <phoneticPr fontId="2" type="noConversion"/>
  </si>
  <si>
    <t>홈페이지에서 입력되는 모든 파일</t>
    <phoneticPr fontId="2" type="noConversion"/>
  </si>
  <si>
    <t>KHOMEDB</t>
    <phoneticPr fontId="2" type="noConversion"/>
  </si>
  <si>
    <t>공사홈페이지시스템</t>
    <phoneticPr fontId="2" type="noConversion"/>
  </si>
  <si>
    <t>공사홈페이지시스템(KHOMEDB)</t>
    <phoneticPr fontId="2" type="noConversion"/>
  </si>
  <si>
    <t>063-716-2467</t>
    <phoneticPr fontId="2" type="noConversion"/>
  </si>
  <si>
    <t>김태구</t>
    <phoneticPr fontId="2" type="noConversion"/>
  </si>
  <si>
    <t>한국전기안전공사</t>
    <phoneticPr fontId="2" type="noConversion"/>
  </si>
  <si>
    <t>파일경로(FILE_PATH), 원파일명(FILE_NM),
신규파일명(NEW_FILE_NM),
파일 사이즈(FILE_SIZE)</t>
    <phoneticPr fontId="2" type="noConversion"/>
  </si>
  <si>
    <t>ESM 프로그램에서 입력되는 모든 파일</t>
    <phoneticPr fontId="2" type="noConversion"/>
  </si>
  <si>
    <t>EMS</t>
    <phoneticPr fontId="2" type="noConversion"/>
  </si>
  <si>
    <t>일반용안전점검시스템</t>
    <phoneticPr fontId="2" type="noConversion"/>
  </si>
  <si>
    <t>일반용안전점검시스템(ESM)</t>
    <phoneticPr fontId="2" type="noConversion"/>
  </si>
  <si>
    <t>제목, 실제방송길이</t>
  </si>
  <si>
    <t>교통방송 녹화영상</t>
  </si>
  <si>
    <t>교통방송 DB</t>
    <phoneticPr fontId="2" type="noConversion"/>
  </si>
  <si>
    <t>교통방송</t>
    <phoneticPr fontId="2" type="noConversion"/>
  </si>
  <si>
    <t>054-811-1714</t>
    <phoneticPr fontId="2" type="noConversion"/>
  </si>
  <si>
    <t>김현인</t>
    <phoneticPr fontId="2" type="noConversion"/>
  </si>
  <si>
    <t>한국도로공사</t>
    <phoneticPr fontId="2" type="noConversion"/>
  </si>
  <si>
    <t>기기 일련번호, 로그시간</t>
  </si>
  <si>
    <t>온도, 미세먼지, 습도, 풍속 측정데이터</t>
    <phoneticPr fontId="2" type="noConversion"/>
  </si>
  <si>
    <t>터널원격관리 DB</t>
    <phoneticPr fontId="2" type="noConversion"/>
  </si>
  <si>
    <t>터널원격관리</t>
    <phoneticPr fontId="2" type="noConversion"/>
  </si>
  <si>
    <t>터널원격관리DB</t>
    <phoneticPr fontId="2" type="noConversion"/>
  </si>
  <si>
    <t>파일 ID, 파일 사이즈 실제경로</t>
  </si>
  <si>
    <t>각종 보고서</t>
  </si>
  <si>
    <t>전자문서 DB</t>
    <phoneticPr fontId="2" type="noConversion"/>
  </si>
  <si>
    <t>전자문서</t>
    <phoneticPr fontId="2" type="noConversion"/>
  </si>
  <si>
    <t>파일명, 최초등록일시</t>
  </si>
  <si>
    <t>통행료환불증빙자료</t>
  </si>
  <si>
    <t>통합정산시스템 DB</t>
    <phoneticPr fontId="2" type="noConversion"/>
  </si>
  <si>
    <t>통합정산시스템</t>
    <phoneticPr fontId="2" type="noConversion"/>
  </si>
  <si>
    <t>통합정산시스템DB</t>
    <phoneticPr fontId="2" type="noConversion"/>
  </si>
  <si>
    <t>파일크기, 파일경로, 파일저장명</t>
  </si>
  <si>
    <t>구인 기업 로고</t>
    <phoneticPr fontId="2" type="noConversion"/>
  </si>
  <si>
    <t>도공JOB마켓 DB</t>
    <phoneticPr fontId="2" type="noConversion"/>
  </si>
  <si>
    <t>도공JOB마켓</t>
    <phoneticPr fontId="2" type="noConversion"/>
  </si>
  <si>
    <t>기관 신청 DB 수 5개 초과</t>
  </si>
  <si>
    <t>대외제공파일명, 경로명</t>
  </si>
  <si>
    <t>대외제공 공공데이터</t>
  </si>
  <si>
    <t>고속도로 공공데이터포탈 DB</t>
    <phoneticPr fontId="2" type="noConversion"/>
  </si>
  <si>
    <t>고속도로 공공데이터포탈</t>
    <phoneticPr fontId="2" type="noConversion"/>
  </si>
  <si>
    <t>공공데이터포탈 DB</t>
    <phoneticPr fontId="2" type="noConversion"/>
  </si>
  <si>
    <t>메타데이터 관리항목명 확인 후 29(수)까지 메일 전달예정</t>
  </si>
  <si>
    <t>메타데이터 항목 판단 불가</t>
    <phoneticPr fontId="2" type="noConversion"/>
  </si>
  <si>
    <t>프로그램 사례공유, 종료평가 결과 시사점 공유, 사업 성공요인 공유 등</t>
  </si>
  <si>
    <t>교육영상</t>
  </si>
  <si>
    <t>한국국제협력단홈페이지 DB</t>
    <phoneticPr fontId="2" type="noConversion"/>
  </si>
  <si>
    <t>한국국제협력단홈페이지(통합)</t>
    <phoneticPr fontId="2" type="noConversion"/>
  </si>
  <si>
    <t>031-740-0749</t>
    <phoneticPr fontId="2" type="noConversion"/>
  </si>
  <si>
    <t>허세현</t>
    <phoneticPr fontId="2" type="noConversion"/>
  </si>
  <si>
    <t>한국국제협력단</t>
    <phoneticPr fontId="2" type="noConversion"/>
  </si>
  <si>
    <t xml:space="preserve">설명회 참가 QR코드, 설명회 일정, 모집 기간, 모집 절차 등 </t>
  </si>
  <si>
    <t>모집안내 포스터, 설명회 안내 포스터</t>
  </si>
  <si>
    <t>전자조달 DB</t>
    <phoneticPr fontId="2" type="noConversion"/>
  </si>
  <si>
    <t>전자조달시스템</t>
    <phoneticPr fontId="2" type="noConversion"/>
  </si>
  <si>
    <t>우리나라 공적개발원조 역사, 개발원조 사업 지역 역사, 문화, 환경 등</t>
  </si>
  <si>
    <t>전시관 소개, 체험교육 소개 등</t>
  </si>
  <si>
    <t>지구촌체험관홈페이지 DB</t>
    <phoneticPr fontId="2" type="noConversion"/>
  </si>
  <si>
    <t>지구촌체험관 홈페이지(영월)</t>
    <phoneticPr fontId="2" type="noConversion"/>
  </si>
  <si>
    <t>기관유형, 국가정보, NGO 운영 및 활동 정보, 예산서, 사업이양계획서 등</t>
  </si>
  <si>
    <t>협력국 NGO 길라잡이, 시민협력 프로그램 사업보고 및 정산 양식</t>
  </si>
  <si>
    <t>DAK개발협력연대홈페이지 DB</t>
    <phoneticPr fontId="2" type="noConversion"/>
  </si>
  <si>
    <t>DAK개발협력연대 홈페이지</t>
    <phoneticPr fontId="2" type="noConversion"/>
  </si>
  <si>
    <t>DAK개발협력연대 홈페이지 DB</t>
    <phoneticPr fontId="2" type="noConversion"/>
  </si>
  <si>
    <t>메타데이터 관리항목명 확인 후 29(수)까지 메일 전달예정</t>
    <phoneticPr fontId="2" type="noConversion"/>
  </si>
  <si>
    <t>사업명, 사업기간, 사업번호, 평가결과 요약 등</t>
  </si>
  <si>
    <t>사업개요서, 예비/기획/종료보고서 등</t>
  </si>
  <si>
    <t>통합사업관리 DB</t>
    <phoneticPr fontId="2" type="noConversion"/>
  </si>
  <si>
    <t>통합사업관리시스템</t>
    <phoneticPr fontId="2" type="noConversion"/>
  </si>
  <si>
    <t>시스템에 등록한 일시, 시스템 등록자의 ID 등</t>
  </si>
  <si>
    <t>고객_훈련기관소개 동영상</t>
    <phoneticPr fontId="2" type="noConversion"/>
  </si>
  <si>
    <t>직업능력개발 DB</t>
    <phoneticPr fontId="2" type="noConversion"/>
  </si>
  <si>
    <t>직업능력개발정보망</t>
    <phoneticPr fontId="2" type="noConversion"/>
  </si>
  <si>
    <t>직업능력개발DB</t>
    <phoneticPr fontId="2" type="noConversion"/>
  </si>
  <si>
    <t>043-870-8592</t>
    <phoneticPr fontId="2" type="noConversion"/>
  </si>
  <si>
    <t>김진웅</t>
    <phoneticPr fontId="2" type="noConversion"/>
  </si>
  <si>
    <t>한국고용정보원</t>
    <phoneticPr fontId="2" type="noConversion"/>
  </si>
  <si>
    <t>좌측배너이미지명, 좌측배너PC파일경로명 등</t>
  </si>
  <si>
    <t>홈페이지 메인배너 이미지</t>
  </si>
  <si>
    <t>온라인 청년센터 홈페이지 DB</t>
    <phoneticPr fontId="2" type="noConversion"/>
  </si>
  <si>
    <t>온라인 청년센터 홈페이지</t>
    <phoneticPr fontId="2" type="noConversion"/>
  </si>
  <si>
    <t>온라인청년센터홈페이지DB</t>
    <phoneticPr fontId="2" type="noConversion"/>
  </si>
  <si>
    <t>기관직인이미지명, 기관직인이미지파일 등</t>
  </si>
  <si>
    <t>기관직인이미지파일</t>
  </si>
  <si>
    <t>워크넷 DB</t>
    <phoneticPr fontId="2" type="noConversion"/>
  </si>
  <si>
    <t>워크넷</t>
    <phoneticPr fontId="2" type="noConversion"/>
  </si>
  <si>
    <t>워크넷DB</t>
    <phoneticPr fontId="2" type="noConversion"/>
  </si>
  <si>
    <t>기획조사처리기관일련번호, 기획조사년도 등</t>
  </si>
  <si>
    <t>부정수급 기획조사 계획관리 첨부파일</t>
  </si>
  <si>
    <t>부정수급수사관리시스템DB</t>
    <phoneticPr fontId="2" type="noConversion"/>
  </si>
  <si>
    <t>부정수급수사관리시스템</t>
    <phoneticPr fontId="2" type="noConversion"/>
  </si>
  <si>
    <t>첨부파일크기, 첨부파일구분 등</t>
    <phoneticPr fontId="2" type="noConversion"/>
  </si>
  <si>
    <t>고용보험 DB</t>
    <phoneticPr fontId="2" type="noConversion"/>
  </si>
  <si>
    <t>고용보험시스템</t>
    <phoneticPr fontId="2" type="noConversion"/>
  </si>
  <si>
    <t>고용보험DB</t>
    <phoneticPr fontId="2" type="noConversion"/>
  </si>
  <si>
    <t>실제 첨부파일명, 화면 첨부파일명 등(보고서)</t>
    <phoneticPr fontId="2" type="noConversion"/>
  </si>
  <si>
    <t>문서(pdf, hwp 등)</t>
    <phoneticPr fontId="2" type="noConversion"/>
  </si>
  <si>
    <t>ORADMS</t>
    <phoneticPr fontId="2" type="noConversion"/>
  </si>
  <si>
    <t>N032_이사회관리</t>
    <phoneticPr fontId="2" type="noConversion"/>
  </si>
  <si>
    <t>ORADMS(N032_이사회관리)</t>
    <phoneticPr fontId="2" type="noConversion"/>
  </si>
  <si>
    <t>053-670-0709</t>
    <phoneticPr fontId="2" type="noConversion"/>
  </si>
  <si>
    <t>윤정우</t>
    <phoneticPr fontId="2" type="noConversion"/>
  </si>
  <si>
    <t>한국가스공사</t>
    <phoneticPr fontId="2" type="noConversion"/>
  </si>
  <si>
    <t>DB명 확인 후 29(수)까지 메일 전달예정</t>
    <phoneticPr fontId="2" type="noConversion"/>
  </si>
  <si>
    <t>GOODDATA 매핑 필요</t>
    <phoneticPr fontId="2" type="noConversion"/>
  </si>
  <si>
    <t>파일명칭을 통한 영상,이미지,문서 확장자 표시</t>
    <phoneticPr fontId="2" type="noConversion"/>
  </si>
  <si>
    <t>영상,문서,이미지(AVI,PDF,JPG,HWP 등)</t>
    <phoneticPr fontId="2" type="noConversion"/>
  </si>
  <si>
    <t>영상, 이미지, 문서</t>
    <phoneticPr fontId="2" type="noConversion"/>
  </si>
  <si>
    <t>ORAKMP (N011_지식관리)</t>
    <phoneticPr fontId="2" type="noConversion"/>
  </si>
  <si>
    <t>텍스트(이미지파일 이름, 타입, 확장자, 대체문자열), 숫자(이미지파일크기,다운로드수) 등</t>
    <phoneticPr fontId="2" type="noConversion"/>
  </si>
  <si>
    <t>이미지 정보</t>
  </si>
  <si>
    <t>DONGBAN</t>
    <phoneticPr fontId="2" type="noConversion"/>
  </si>
  <si>
    <t>N050_중소기업홈페이지</t>
    <phoneticPr fontId="2" type="noConversion"/>
  </si>
  <si>
    <t>DONGBAN(N050_중소기업홈페이지)</t>
    <phoneticPr fontId="2" type="noConversion"/>
  </si>
  <si>
    <t>등록자, 등록일, 링크주소, 링크유형</t>
    <phoneticPr fontId="2" type="noConversion"/>
  </si>
  <si>
    <t>① 보고서
② 포스터, 공고, 안내</t>
    <phoneticPr fontId="2" type="noConversion"/>
  </si>
  <si>
    <t>문서, 이미지</t>
    <phoneticPr fontId="2" type="noConversion"/>
  </si>
  <si>
    <t>orakga</t>
    <phoneticPr fontId="2" type="noConversion"/>
  </si>
  <si>
    <t>N057_공사홈페이지(2017)</t>
    <phoneticPr fontId="2" type="noConversion"/>
  </si>
  <si>
    <t>orakga (N057_공사홈페이지)</t>
    <phoneticPr fontId="2" type="noConversion"/>
  </si>
  <si>
    <t>도면파일</t>
  </si>
  <si>
    <t>도면파일</t>
    <phoneticPr fontId="2" type="noConversion"/>
  </si>
  <si>
    <t>SAPSR3</t>
    <phoneticPr fontId="2" type="noConversion"/>
  </si>
  <si>
    <t>S018_도면관리</t>
    <phoneticPr fontId="2" type="noConversion"/>
  </si>
  <si>
    <t>SAPSR3 (S018_도면관리)</t>
    <phoneticPr fontId="2" type="noConversion"/>
  </si>
  <si>
    <t>문서 등</t>
  </si>
  <si>
    <t>온나라 문서</t>
  </si>
  <si>
    <t>온나라문서 DB</t>
    <phoneticPr fontId="2" type="noConversion"/>
  </si>
  <si>
    <t>정부업무관리시스템(온-나라)</t>
    <phoneticPr fontId="2" type="noConversion"/>
  </si>
  <si>
    <t>온나라문서DB</t>
    <phoneticPr fontId="2" type="noConversion"/>
  </si>
  <si>
    <t>041-940-2694</t>
    <phoneticPr fontId="2" type="noConversion"/>
  </si>
  <si>
    <t>이수진</t>
    <phoneticPr fontId="2" type="noConversion"/>
  </si>
  <si>
    <t>충청남도 청양군</t>
    <phoneticPr fontId="2" type="noConversion"/>
  </si>
  <si>
    <t>도서자료 목록 등</t>
  </si>
  <si>
    <t xml:space="preserve">도서자료 목록 </t>
  </si>
  <si>
    <t>텍스트</t>
  </si>
  <si>
    <t>공공도서관표준자료 DB</t>
    <phoneticPr fontId="2" type="noConversion"/>
  </si>
  <si>
    <t>공공도서관표준자료관리시스템(KOLASⅢ)</t>
    <phoneticPr fontId="2" type="noConversion"/>
  </si>
  <si>
    <t>공공도서관표준자료DB</t>
    <phoneticPr fontId="2" type="noConversion"/>
  </si>
  <si>
    <t>도로명주소 등</t>
  </si>
  <si>
    <t xml:space="preserve">도로명주소 </t>
  </si>
  <si>
    <t>도로명주소 DB</t>
    <phoneticPr fontId="2" type="noConversion"/>
  </si>
  <si>
    <t>국가주소정보시스템</t>
    <phoneticPr fontId="2" type="noConversion"/>
  </si>
  <si>
    <t>도로명주소DB</t>
    <phoneticPr fontId="2" type="noConversion"/>
  </si>
  <si>
    <t xml:space="preserve">서류 이미지 등 </t>
  </si>
  <si>
    <t>각종 증빙서류</t>
  </si>
  <si>
    <t>지방세증빙서류이미지관리 DB</t>
    <phoneticPr fontId="2" type="noConversion"/>
  </si>
  <si>
    <t>지방세증빙서류이미지관리시스템</t>
    <phoneticPr fontId="2" type="noConversion"/>
  </si>
  <si>
    <t>지방세증빙서류이미지관리DB</t>
    <phoneticPr fontId="2" type="noConversion"/>
  </si>
  <si>
    <t xml:space="preserve">사진 이미지 등 </t>
  </si>
  <si>
    <t>각종 사진 이미지</t>
  </si>
  <si>
    <t>열린사진 DB</t>
    <phoneticPr fontId="2" type="noConversion"/>
  </si>
  <si>
    <t>열린 사진 DB</t>
    <phoneticPr fontId="2" type="noConversion"/>
  </si>
  <si>
    <t>열린사진DB</t>
    <phoneticPr fontId="2" type="noConversion"/>
  </si>
  <si>
    <t>사진제목, 촬영일자, 키워드, 저작권자 등</t>
  </si>
  <si>
    <t>시정 사진</t>
  </si>
  <si>
    <t>시정사진DB</t>
    <phoneticPr fontId="2" type="noConversion"/>
  </si>
  <si>
    <t>보령시 시정사진 관리시스템</t>
    <phoneticPr fontId="2" type="noConversion"/>
  </si>
  <si>
    <t>시정사진DB(brdata)</t>
    <phoneticPr fontId="2" type="noConversion"/>
  </si>
  <si>
    <t>041-930-3184</t>
    <phoneticPr fontId="2" type="noConversion"/>
  </si>
  <si>
    <t>김시은</t>
    <phoneticPr fontId="2" type="noConversion"/>
  </si>
  <si>
    <t>충청남도 보령시</t>
    <phoneticPr fontId="2" type="noConversion"/>
  </si>
  <si>
    <t>제목, 작성자ID, 성명, 게시글 등록 일자, 첨부파일수 등</t>
  </si>
  <si>
    <t>갤러리 등록 이미지</t>
  </si>
  <si>
    <t>정남진편백숲우드랜드홈페이지 DB</t>
    <phoneticPr fontId="2" type="noConversion"/>
  </si>
  <si>
    <t>정남진 편백숲 우드랜드홈페이지</t>
    <phoneticPr fontId="2" type="noConversion"/>
  </si>
  <si>
    <t>정남진편백숲우드랜드홈페이지DB</t>
    <phoneticPr fontId="2" type="noConversion"/>
  </si>
  <si>
    <t>061-860-5611</t>
    <phoneticPr fontId="2" type="noConversion"/>
  </si>
  <si>
    <t>김철균</t>
    <phoneticPr fontId="2" type="noConversion"/>
  </si>
  <si>
    <t>전라남도 장흥군</t>
    <phoneticPr fontId="2" type="noConversion"/>
  </si>
  <si>
    <t>번호, 제목, 등록자, 등록일, 상태, 처리부서, 조회수 등
번호, 제목, 첨부파일, 등록자, 등록일, 조회수 등</t>
    <phoneticPr fontId="2" type="noConversion"/>
  </si>
  <si>
    <t>군수에게 바란다 게시판 민원 신청 정보,
자유게시판 게시판 게시물 정보</t>
    <phoneticPr fontId="2" type="noConversion"/>
  </si>
  <si>
    <t>장흥군통합홈페이지 DB</t>
    <phoneticPr fontId="2" type="noConversion"/>
  </si>
  <si>
    <t>장흥군 통합 홈페이지</t>
    <phoneticPr fontId="2" type="noConversion"/>
  </si>
  <si>
    <t>장흥군통합홈페이지DB</t>
    <phoneticPr fontId="2" type="noConversion"/>
  </si>
  <si>
    <t xml:space="preserve">제목, 작성일, 등록자, 조회수, 첨부파일 등 </t>
  </si>
  <si>
    <t>장흥군 홍보용 사진</t>
  </si>
  <si>
    <t>홈페이지 사진 DB</t>
    <phoneticPr fontId="2" type="noConversion"/>
  </si>
  <si>
    <t>제목, 작성일, 등록자, 행정번호, 조회수, hit수, 첨부파일용량 등</t>
  </si>
  <si>
    <t>장흥군 홍보영상</t>
  </si>
  <si>
    <t>장흥 인터넷TV DB</t>
    <phoneticPr fontId="2" type="noConversion"/>
  </si>
  <si>
    <t>장흥 인터넷TV</t>
    <phoneticPr fontId="2" type="noConversion"/>
  </si>
  <si>
    <t>식별키, 정렬순서, 게시구분, 파일경로, 파일명, 파일크기 등</t>
  </si>
  <si>
    <t>채용공고 관련 붙임문서 첨부</t>
  </si>
  <si>
    <t>나라일터 DB</t>
    <phoneticPr fontId="2" type="noConversion"/>
  </si>
  <si>
    <t>나라일터</t>
    <phoneticPr fontId="2" type="noConversion"/>
  </si>
  <si>
    <t>나라일터DB</t>
    <phoneticPr fontId="2" type="noConversion"/>
  </si>
  <si>
    <t>044-201-8345</t>
    <phoneticPr fontId="2" type="noConversion"/>
  </si>
  <si>
    <t>김달현</t>
    <phoneticPr fontId="2" type="noConversion"/>
  </si>
  <si>
    <t>인사혁신처</t>
    <phoneticPr fontId="2" type="noConversion"/>
  </si>
  <si>
    <t>파일명, 파일경로, 파일크기 등</t>
  </si>
  <si>
    <t>게시판, 쪽지, 단위업무 등 첨부파일</t>
  </si>
  <si>
    <t>문서, 이미지, 음성, 동영상</t>
    <phoneticPr fontId="2" type="noConversion"/>
  </si>
  <si>
    <t>행정포털 DB</t>
    <phoneticPr fontId="2" type="noConversion"/>
  </si>
  <si>
    <t>행정포털시스템</t>
    <phoneticPr fontId="2" type="noConversion"/>
  </si>
  <si>
    <t>02-2670-4247</t>
    <phoneticPr fontId="2" type="noConversion"/>
  </si>
  <si>
    <t>이은정</t>
    <phoneticPr fontId="2" type="noConversion"/>
  </si>
  <si>
    <t>서울특별시 영등포구</t>
    <phoneticPr fontId="2" type="noConversion"/>
  </si>
  <si>
    <t>① 게시물제목, 내용, 작성자명 등
② 저장경로, 파일명, 파일확장자 등</t>
    <phoneticPr fontId="2" type="noConversion"/>
  </si>
  <si>
    <t>① 작성 게시물 정보
② 첨부문서 정보</t>
    <phoneticPr fontId="2" type="noConversion"/>
  </si>
  <si>
    <t>텍스트, 문서, 이미지</t>
    <phoneticPr fontId="2" type="noConversion"/>
  </si>
  <si>
    <t>영등포구홈페이지 DB</t>
    <phoneticPr fontId="2" type="noConversion"/>
  </si>
  <si>
    <t>영등포구 홈페이지</t>
    <phoneticPr fontId="2" type="noConversion"/>
  </si>
  <si>
    <t>MMS 고유번호, MMS 첨부파일 개수, MMS 재사용 발송여부, 입력시간,
메시지 타이틀, MMS 파일타입 등</t>
    <phoneticPr fontId="2" type="noConversion"/>
  </si>
  <si>
    <t>문자 정보</t>
    <phoneticPr fontId="2" type="noConversion"/>
  </si>
  <si>
    <t>문자전송시스템 DB</t>
    <phoneticPr fontId="2" type="noConversion"/>
  </si>
  <si>
    <t>문자전송시스템</t>
    <phoneticPr fontId="2" type="noConversion"/>
  </si>
  <si>
    <t>문자전송시스템DB</t>
    <phoneticPr fontId="2" type="noConversion"/>
  </si>
  <si>
    <t>042-288-2392</t>
    <phoneticPr fontId="2" type="noConversion"/>
  </si>
  <si>
    <t>최승묵</t>
    <phoneticPr fontId="2" type="noConversion"/>
  </si>
  <si>
    <t>대전광역시 서구</t>
    <phoneticPr fontId="2" type="noConversion"/>
  </si>
  <si>
    <t>내용</t>
    <phoneticPr fontId="2" type="noConversion"/>
  </si>
  <si>
    <t>달서구_홈페이지DB</t>
    <phoneticPr fontId="2" type="noConversion"/>
  </si>
  <si>
    <t>달서구_홈페이지</t>
    <phoneticPr fontId="2" type="noConversion"/>
  </si>
  <si>
    <t>053-667-2454</t>
    <phoneticPr fontId="2" type="noConversion"/>
  </si>
  <si>
    <t>김재환</t>
    <phoneticPr fontId="2" type="noConversion"/>
  </si>
  <si>
    <t>대구광역시 달서구</t>
    <phoneticPr fontId="2" type="noConversion"/>
  </si>
  <si>
    <t>첨부파일명, 첨부파일 경로, 파일크기, 파일 확장자명</t>
    <phoneticPr fontId="2" type="noConversion"/>
  </si>
  <si>
    <t>공지사항, 언론보도, 세미나&amp;컨퍼런스 등 게시물에 등록되는 첨부파일 관리</t>
    <phoneticPr fontId="2" type="noConversion"/>
  </si>
  <si>
    <t>경제발전경험공유사업(KSP)DB</t>
    <phoneticPr fontId="2" type="noConversion"/>
  </si>
  <si>
    <t>경제발전경험공유사업(KSP)</t>
    <phoneticPr fontId="2" type="noConversion"/>
  </si>
  <si>
    <t>044-215-2613</t>
    <phoneticPr fontId="2" type="noConversion"/>
  </si>
  <si>
    <t>방춘식</t>
    <phoneticPr fontId="2" type="noConversion"/>
  </si>
  <si>
    <t>기획재정부</t>
    <phoneticPr fontId="2" type="noConversion"/>
  </si>
  <si>
    <t>국문/영문 구분, 연도, 제목, 파일명, 파일 위치 등</t>
    <phoneticPr fontId="2" type="noConversion"/>
  </si>
  <si>
    <t>매년 발간하는 국채백서 책자</t>
    <phoneticPr fontId="2" type="noConversion"/>
  </si>
  <si>
    <t>국채시장홈페이지 DB</t>
    <phoneticPr fontId="2" type="noConversion"/>
  </si>
  <si>
    <t>국채시장홈페이지</t>
    <phoneticPr fontId="2" type="noConversion"/>
  </si>
  <si>
    <t>국채시장홈페이지DB</t>
    <phoneticPr fontId="2" type="noConversion"/>
  </si>
  <si>
    <t>① 제목, 내용, 조회수, 동영상아이디, 링크주소 등
② 첨부파일ID, 첨부파일위치, 이미지명, 이미지형태 등
③ 첨부파일ID, 첨부파일위치, 문서명, 문서형태 등</t>
    <phoneticPr fontId="2" type="noConversion"/>
  </si>
  <si>
    <t>① 경제교육을 위한 영상 컨텐츠
② 경제교육을 위한 이미지 컨텐츠
③ 경제교육 및 생애주기별 경제 문서</t>
    <phoneticPr fontId="2" type="noConversion"/>
  </si>
  <si>
    <t>경제교육포털 DB</t>
    <phoneticPr fontId="2" type="noConversion"/>
  </si>
  <si>
    <t>경제배움e</t>
    <phoneticPr fontId="2" type="noConversion"/>
  </si>
  <si>
    <t>경제교육포털DB</t>
    <phoneticPr fontId="2" type="noConversion"/>
  </si>
  <si>
    <t>영상명, 영상위치, 영상시간 등</t>
  </si>
  <si>
    <t>내부 학습을 지원하는 동영상 컨텐츠</t>
  </si>
  <si>
    <t>LMSWORK</t>
    <phoneticPr fontId="2" type="noConversion"/>
  </si>
  <si>
    <t>e재정배움</t>
    <phoneticPr fontId="2" type="noConversion"/>
  </si>
  <si>
    <t>LMSWORK(e재정배움)</t>
    <phoneticPr fontId="2" type="noConversion"/>
  </si>
  <si>
    <t>영상명, 영상위치, 영상시간, 조회수, 첨부파일, 학습시간 등</t>
  </si>
  <si>
    <t>지식관리 DB</t>
    <phoneticPr fontId="2" type="noConversion"/>
  </si>
  <si>
    <t>지식관리 시스템</t>
    <phoneticPr fontId="2" type="noConversion"/>
  </si>
  <si>
    <t>자료명, 분류군, 종명, 생성일자, 등록자, 승인자(해당 종이 맞는지 검수하는 전문가) 등</t>
  </si>
  <si>
    <t>일반 시민들이 업로드한 자연환경조사(조류, 어류, 곤충 등 10개 분류군) 생물 종 이미지</t>
  </si>
  <si>
    <t>EcoBank DB</t>
    <phoneticPr fontId="2" type="noConversion"/>
  </si>
  <si>
    <t>국립생태원_EcoBank</t>
    <phoneticPr fontId="2" type="noConversion"/>
  </si>
  <si>
    <t>041-950-5624</t>
    <phoneticPr fontId="2" type="noConversion"/>
  </si>
  <si>
    <t>신만석</t>
    <phoneticPr fontId="2" type="noConversion"/>
  </si>
  <si>
    <t>국립생태원</t>
    <phoneticPr fontId="2" type="noConversion"/>
  </si>
  <si>
    <t>서고업무참조번호, 서고소분류코드, 서고문서관리번호, 서고대분류코드, 서고중분류코드, 서고문서파일명, 서고등록자ID, 원본파일크기, 등록일자, 사용여부, 최초등록자ID, 최초등록상세일시 등</t>
    <phoneticPr fontId="2" type="noConversion"/>
  </si>
  <si>
    <t>공인기준첨부서류</t>
    <phoneticPr fontId="2" type="noConversion"/>
  </si>
  <si>
    <t>문서, 이미지, 텍스트, 압축파일</t>
    <phoneticPr fontId="2" type="noConversion"/>
  </si>
  <si>
    <t>전자통관서고 DB</t>
    <phoneticPr fontId="2" type="noConversion"/>
  </si>
  <si>
    <t>전자통관서고(ECL)</t>
    <phoneticPr fontId="2" type="noConversion"/>
  </si>
  <si>
    <t>042-481-3264</t>
    <phoneticPr fontId="2" type="noConversion"/>
  </si>
  <si>
    <t>김계영</t>
    <phoneticPr fontId="2" type="noConversion"/>
  </si>
  <si>
    <t>관세청</t>
    <phoneticPr fontId="2" type="noConversion"/>
  </si>
  <si>
    <t>첨부파일경로명, 첨부파일명, 원본파일명, 최초등록상세일시, 최종변경상세일시 등</t>
  </si>
  <si>
    <t>포털 첨부파일 관리</t>
  </si>
  <si>
    <t>문서, 텍스트, 이미지, 영상, 압축파일</t>
    <phoneticPr fontId="2" type="noConversion"/>
  </si>
  <si>
    <t>업무포털 DB</t>
    <phoneticPr fontId="2" type="noConversion"/>
  </si>
  <si>
    <t>업무포털(BUP)</t>
    <phoneticPr fontId="2" type="noConversion"/>
  </si>
  <si>
    <t>첨부파일그룹ID, 첨부파일ID, 원본파일명, 최초등록자ID, 최초등록상세일시, 최종변경자ID, 최종변경상세일시</t>
  </si>
  <si>
    <t>AEO 심사위원회회의 첨부파일내역</t>
  </si>
  <si>
    <t>AEO DB</t>
    <phoneticPr fontId="2" type="noConversion"/>
  </si>
  <si>
    <t>AEO(AEO)</t>
    <phoneticPr fontId="2" type="noConversion"/>
  </si>
  <si>
    <t>WCO파일명, 최초등록상세일시, 최종변경상세일시 등</t>
  </si>
  <si>
    <t>WCO파일내용</t>
  </si>
  <si>
    <t>품목분류분석 DB</t>
    <phoneticPr fontId="2" type="noConversion"/>
  </si>
  <si>
    <t>품목분류분석(PCA)</t>
    <phoneticPr fontId="2" type="noConversion"/>
  </si>
  <si>
    <t>① 제품번호, 원본파일명, 최초등록상세일시, 최종변경상세일시
② 첨부파일경로명, 첨부파일명, 원본파일명, 최초등록상세일시,최종변경상세일시 등</t>
    <phoneticPr fontId="2" type="noConversion"/>
  </si>
  <si>
    <t>① 환급업체제품이미지
② 환급금압류추심국세청연계첨부내역 등</t>
    <phoneticPr fontId="2" type="noConversion"/>
  </si>
  <si>
    <t>환급 DB</t>
    <phoneticPr fontId="2" type="noConversion"/>
  </si>
  <si>
    <t>환급(DRB)</t>
    <phoneticPr fontId="2" type="noConversion"/>
  </si>
  <si>
    <t>사진</t>
    <phoneticPr fontId="2" type="noConversion"/>
  </si>
  <si>
    <t>지역산업업무의 옥외광고물전수조사정보중 사진항목</t>
  </si>
  <si>
    <t>새올행정 DB</t>
    <phoneticPr fontId="2" type="noConversion"/>
  </si>
  <si>
    <t>새올행정정보시스템</t>
    <phoneticPr fontId="2" type="noConversion"/>
  </si>
  <si>
    <t>031-590-2086</t>
    <phoneticPr fontId="2" type="noConversion"/>
  </si>
  <si>
    <t>박은정</t>
    <phoneticPr fontId="2" type="noConversion"/>
  </si>
  <si>
    <t>경기도 남양주시</t>
    <phoneticPr fontId="2" type="noConversion"/>
  </si>
  <si>
    <t>직인이미지</t>
    <phoneticPr fontId="2" type="noConversion"/>
  </si>
  <si>
    <t>시청 직인 이미지</t>
  </si>
  <si>
    <t>주정차과태료관리 DB</t>
    <phoneticPr fontId="2" type="noConversion"/>
  </si>
  <si>
    <t>불법주정차위반관리시스템</t>
    <phoneticPr fontId="2" type="noConversion"/>
  </si>
  <si>
    <t>날짜, 차량중량 등</t>
  </si>
  <si>
    <t>계량대 차량 측정 무게</t>
  </si>
  <si>
    <t>보령차량적재물계량관리정보파일</t>
    <phoneticPr fontId="2" type="noConversion"/>
  </si>
  <si>
    <t>보령_차량적재물계량관리</t>
    <phoneticPr fontId="2" type="noConversion"/>
  </si>
  <si>
    <t>070-7511-1615</t>
  </si>
  <si>
    <t>이정민</t>
  </si>
  <si>
    <t>한국중부발전</t>
    <phoneticPr fontId="2" type="noConversion"/>
  </si>
  <si>
    <t>날짜, 일사량 등</t>
  </si>
  <si>
    <t>일사량 데이터</t>
  </si>
  <si>
    <t>신재생발전설비정보파일</t>
    <phoneticPr fontId="2" type="noConversion"/>
  </si>
  <si>
    <t>신재생발전설비 통합모니터링시스템</t>
    <phoneticPr fontId="2" type="noConversion"/>
  </si>
  <si>
    <t>기관 신청 DB 수 5개 초과</t>
    <phoneticPr fontId="2" type="noConversion"/>
  </si>
  <si>
    <t>작성일, 캡쳐이미지명, 증빙문서명 등</t>
  </si>
  <si>
    <t>정보자원 관리 증빙파일</t>
  </si>
  <si>
    <t>본사_ICT서비스센터(ITMS)DB</t>
    <phoneticPr fontId="2" type="noConversion"/>
  </si>
  <si>
    <t>ICT서비스센터(ITMS)</t>
    <phoneticPr fontId="2" type="noConversion"/>
  </si>
  <si>
    <t>본사_ICT서비스센터
(ITMS)DB</t>
    <phoneticPr fontId="2" type="noConversion"/>
  </si>
  <si>
    <t>영상명, 교육일 등</t>
  </si>
  <si>
    <t>강의 동영상</t>
  </si>
  <si>
    <t>동영상</t>
    <phoneticPr fontId="2" type="noConversion"/>
  </si>
  <si>
    <t>전사업무포털_본사_포탈정보파일</t>
    <phoneticPr fontId="2" type="noConversion"/>
  </si>
  <si>
    <t>전사 업무포털</t>
    <phoneticPr fontId="2" type="noConversion"/>
  </si>
  <si>
    <t>전사업무포털_본사_포탈정보파일</t>
  </si>
  <si>
    <t>작성자, 게시글 작성일자 등</t>
  </si>
  <si>
    <t>정보글, 아이디어 제안</t>
  </si>
  <si>
    <t>전사업무포털_인트라넷정보파일</t>
    <phoneticPr fontId="2" type="noConversion"/>
  </si>
  <si>
    <t>전사업무포털_인트라넷정보파일</t>
  </si>
  <si>
    <t>작성자, 공지사항 게시글 작성일자 등</t>
  </si>
  <si>
    <t>공지사항, Q&amp;A</t>
    <phoneticPr fontId="2" type="noConversion"/>
  </si>
  <si>
    <t>전사업무포털_보령_인트라넷정보파일</t>
    <phoneticPr fontId="2" type="noConversion"/>
  </si>
  <si>
    <t>재무제표, 계약대장 종합현황</t>
    <phoneticPr fontId="2" type="noConversion"/>
  </si>
  <si>
    <t>재무건전성, 계약실적 등</t>
    <phoneticPr fontId="2" type="noConversion"/>
  </si>
  <si>
    <t>통합경영 DB</t>
    <phoneticPr fontId="2" type="noConversion"/>
  </si>
  <si>
    <t>통합경영정보시스템(ERP)</t>
    <phoneticPr fontId="2" type="noConversion"/>
  </si>
  <si>
    <t>051-718-2490</t>
    <phoneticPr fontId="2" type="noConversion"/>
  </si>
  <si>
    <t>이상영</t>
    <phoneticPr fontId="2" type="noConversion"/>
  </si>
  <si>
    <t>한국수산자원공단</t>
    <phoneticPr fontId="2" type="noConversion"/>
  </si>
  <si>
    <t>결재함, 문서함 등</t>
    <phoneticPr fontId="2" type="noConversion"/>
  </si>
  <si>
    <t>문서식별 번호,결재정보,기록물 분류기준,공개여부</t>
    <phoneticPr fontId="2" type="noConversion"/>
  </si>
  <si>
    <t>전자결재 DB</t>
    <phoneticPr fontId="2" type="noConversion"/>
  </si>
  <si>
    <t>한국수산자원공단 전자결재시스템</t>
    <phoneticPr fontId="2" type="noConversion"/>
  </si>
  <si>
    <t>비정형데이터 관리유형, 메타데이터 관리항목명 확인 후 29(수)까지 메일 전달예정</t>
    <phoneticPr fontId="2" type="noConversion"/>
  </si>
  <si>
    <t>공간정보 제외</t>
    <phoneticPr fontId="2" type="noConversion"/>
  </si>
  <si>
    <t>바다숲, 바다목장
, 인공어초, 방류종자</t>
    <phoneticPr fontId="2" type="noConversion"/>
  </si>
  <si>
    <t>지역별 사업검색, 인공시설 공간정보
, 격자별 공간검색</t>
    <phoneticPr fontId="2" type="noConversion"/>
  </si>
  <si>
    <t>공간정보(사진, 분포도)</t>
    <phoneticPr fontId="2" type="noConversion"/>
  </si>
  <si>
    <t>통합수산자원 DB</t>
    <phoneticPr fontId="2" type="noConversion"/>
  </si>
  <si>
    <t>통합수산자원정보시스템(GIS)</t>
    <phoneticPr fontId="2" type="noConversion"/>
  </si>
  <si>
    <t>① 기관별 방류통계
품종별 방류통계
경제성 평가결과
지도보기 GIS
② 공지사항-헬프데스크</t>
    <phoneticPr fontId="2" type="noConversion"/>
  </si>
  <si>
    <t>① 기관별 통계 그래프,
품종별 통계 그래프,
경제성 평가 그래프
방류품종, 위치 정보
② Q&amp;A</t>
    <phoneticPr fontId="2" type="noConversion"/>
  </si>
  <si>
    <t>그래프(다이어그램), 텍스트</t>
    <phoneticPr fontId="2" type="noConversion"/>
  </si>
  <si>
    <t>방류종자관리_DB</t>
    <phoneticPr fontId="2" type="noConversion"/>
  </si>
  <si>
    <t>방류종자관리시스템</t>
    <phoneticPr fontId="2" type="noConversion"/>
  </si>
  <si>
    <t>방류종자 관리시스템</t>
    <phoneticPr fontId="2" type="noConversion"/>
  </si>
  <si>
    <t>① FIRA공고
② FIRA홍보관
③ FIRA갤러리</t>
    <phoneticPr fontId="2" type="noConversion"/>
  </si>
  <si>
    <t>① 공지사항, 채용정보, 입찰정보, 인사정보, 수의계약 등
③ 홍보영상, 브로슈어
④ 바다생물 사진자료</t>
    <phoneticPr fontId="2" type="noConversion"/>
  </si>
  <si>
    <t>한국수산자원공단홈페이지 DB</t>
    <phoneticPr fontId="2" type="noConversion"/>
  </si>
  <si>
    <t>공단 대표 홈페이지</t>
    <phoneticPr fontId="2" type="noConversion"/>
  </si>
  <si>
    <t>한구수산자원공단 홈페이지</t>
    <phoneticPr fontId="2" type="noConversion"/>
  </si>
  <si>
    <t>작성자, Q&amp;A 게시글 작성일자 등</t>
    <phoneticPr fontId="2" type="noConversion"/>
  </si>
  <si>
    <t xml:space="preserve">
Q&amp;A 등
</t>
    <phoneticPr fontId="2" type="noConversion"/>
  </si>
  <si>
    <t>사외홈페이지 DB</t>
    <phoneticPr fontId="2" type="noConversion"/>
  </si>
  <si>
    <t>사외홈페이지</t>
    <phoneticPr fontId="2" type="noConversion"/>
  </si>
  <si>
    <t>041-400-1939</t>
    <phoneticPr fontId="2" type="noConversion"/>
  </si>
  <si>
    <t>박영기</t>
    <phoneticPr fontId="2" type="noConversion"/>
  </si>
  <si>
    <t>한국서부발전</t>
    <phoneticPr fontId="2" type="noConversion"/>
  </si>
  <si>
    <t>음성</t>
    <phoneticPr fontId="2" type="noConversion"/>
  </si>
  <si>
    <t xml:space="preserve">① 미디어타입, 비디오 프레임율, 코덱, 대역폭, 오디오 코덱, 비트레이트, 채널
② 높이, 너비, 해상도
③ 미디어타입, 오디오코덱, 비트레이트, 채널 </t>
    <phoneticPr fontId="2" type="noConversion"/>
  </si>
  <si>
    <t>① 사내 및 홍보, 지식공유, 자유영상,
② 카드뉴스 및 썸네일 이미지,
③ 음성 등</t>
    <phoneticPr fontId="2" type="noConversion"/>
  </si>
  <si>
    <t>영상, 이미지, 음성</t>
    <phoneticPr fontId="2" type="noConversion"/>
  </si>
  <si>
    <t>동영상 지식공유 플랫폼 DB</t>
    <phoneticPr fontId="2" type="noConversion"/>
  </si>
  <si>
    <t>동영상 지식공유 플랫폼</t>
    <phoneticPr fontId="2" type="noConversion"/>
  </si>
  <si>
    <t>영문역명, 지도코드, 역코드, 역명, 
파일경로, 팝업시작 및 종료 일자, 시간 등</t>
    <phoneticPr fontId="2" type="noConversion"/>
  </si>
  <si>
    <t>역 정보,
팝업 정보 등</t>
    <phoneticPr fontId="2" type="noConversion"/>
  </si>
  <si>
    <t>홈페이지</t>
    <phoneticPr fontId="2" type="noConversion"/>
  </si>
  <si>
    <t>홈페이지시스템</t>
    <phoneticPr fontId="2" type="noConversion"/>
  </si>
  <si>
    <t>홈페이지 관리 DB</t>
    <phoneticPr fontId="2" type="noConversion"/>
  </si>
  <si>
    <t>051-640-7638</t>
    <phoneticPr fontId="2" type="noConversion"/>
  </si>
  <si>
    <t>박인규</t>
    <phoneticPr fontId="2" type="noConversion"/>
  </si>
  <si>
    <t>부산교통공사</t>
    <phoneticPr fontId="2" type="noConversion"/>
  </si>
  <si>
    <t>사진명, 크기, 해상도, 촬영일자 등</t>
    <phoneticPr fontId="2" type="noConversion"/>
  </si>
  <si>
    <t>군청 기록 사진 보관</t>
    <phoneticPr fontId="2" type="noConversion"/>
  </si>
  <si>
    <t>사진 DB</t>
    <phoneticPr fontId="2" type="noConversion"/>
  </si>
  <si>
    <t>사진DB서비스</t>
    <phoneticPr fontId="2" type="noConversion"/>
  </si>
  <si>
    <t>사진 DB</t>
  </si>
  <si>
    <t>054-380-6074</t>
    <phoneticPr fontId="2" type="noConversion"/>
  </si>
  <si>
    <t>노대근</t>
    <phoneticPr fontId="2" type="noConversion"/>
  </si>
  <si>
    <t>경상북도 군위군</t>
    <phoneticPr fontId="2" type="noConversion"/>
  </si>
  <si>
    <t>① 해상도, 재생시간, 초당 프레임,
② 해상도, 카메라 정보, GPS 등</t>
    <phoneticPr fontId="2" type="noConversion"/>
  </si>
  <si>
    <t>① 영상 기록물 관리 저장,
② 사진 기록물 관리 저장</t>
    <phoneticPr fontId="2" type="noConversion"/>
  </si>
  <si>
    <t>영상, 이미지</t>
    <phoneticPr fontId="2" type="noConversion"/>
  </si>
  <si>
    <t>경기도 시청각기록물 DB</t>
    <phoneticPr fontId="2" type="noConversion"/>
  </si>
  <si>
    <t>시청각 및 행정박물 통합관리시스템</t>
    <phoneticPr fontId="2" type="noConversion"/>
  </si>
  <si>
    <t>031-8008-2819</t>
  </si>
  <si>
    <t>이상목</t>
  </si>
  <si>
    <t>경기도</t>
  </si>
  <si>
    <t>해당 DB에서 공간정보+영상을 관리하고 있어 신청유형 "영상" 변경</t>
    <phoneticPr fontId="2" type="noConversion"/>
  </si>
  <si>
    <t>도엽번호, 위치,
촬영년도, 공개여부, 영상번호, 위치 등</t>
    <phoneticPr fontId="2" type="noConversion"/>
  </si>
  <si>
    <t>도엽에 대한 정보,
년도별 항공영상에 대한 정보</t>
    <phoneticPr fontId="2" type="noConversion"/>
  </si>
  <si>
    <t>공간데이터</t>
    <phoneticPr fontId="2" type="noConversion"/>
  </si>
  <si>
    <t>개발제한구역항공사진판독 DB</t>
    <phoneticPr fontId="2" type="noConversion"/>
  </si>
  <si>
    <t>개발제한구역 항공사진 판독시스템</t>
    <phoneticPr fontId="2" type="noConversion"/>
  </si>
  <si>
    <t>개발제한구역 항공사진 판독 DB</t>
    <phoneticPr fontId="2" type="noConversion"/>
  </si>
  <si>
    <t>031-8008-2819</t>
    <phoneticPr fontId="2" type="noConversion"/>
  </si>
  <si>
    <t>이상목</t>
    <phoneticPr fontId="2" type="noConversion"/>
  </si>
  <si>
    <t>경기도</t>
    <phoneticPr fontId="2" type="noConversion"/>
  </si>
  <si>
    <t>대표이미지명, 소장품명 등</t>
    <phoneticPr fontId="2" type="noConversion"/>
  </si>
  <si>
    <t>기증자료 정보</t>
  </si>
  <si>
    <t>제주민속자연사박물관DB</t>
    <phoneticPr fontId="2" type="noConversion"/>
  </si>
  <si>
    <t>제주민속자연사박물관</t>
    <phoneticPr fontId="2" type="noConversion"/>
  </si>
  <si>
    <t>제주민속자연사박물관 DB</t>
  </si>
  <si>
    <t>064-710-2584</t>
  </si>
  <si>
    <t>홍연주</t>
  </si>
  <si>
    <t>제주특별자치도</t>
  </si>
  <si>
    <t>대표이미지명, 운영기간,소요시간 등</t>
  </si>
  <si>
    <t>한라생태숲 체험 관련정보</t>
  </si>
  <si>
    <t>한라생태숲 홈페이지 DB</t>
    <phoneticPr fontId="2" type="noConversion"/>
  </si>
  <si>
    <t>한라생태숲 홈페이지</t>
    <phoneticPr fontId="2" type="noConversion"/>
  </si>
  <si>
    <t>한라생태숲 홈페이지 DB</t>
  </si>
  <si>
    <t>VOD파일명, 저작권자 등</t>
  </si>
  <si>
    <t>코딩교육 자료 정보</t>
  </si>
  <si>
    <t>제주넷홈페이지 DB</t>
    <phoneticPr fontId="2" type="noConversion"/>
  </si>
  <si>
    <t>제주넷홈페이지</t>
    <phoneticPr fontId="2" type="noConversion"/>
  </si>
  <si>
    <t>제주넷홈페이지</t>
  </si>
  <si>
    <t>제주 자연, 역사, 축제등의 영상 정보</t>
  </si>
  <si>
    <t>제주인터넷방송DB</t>
    <phoneticPr fontId="2" type="noConversion"/>
  </si>
  <si>
    <t>제주ON(제주인터넷방송)</t>
    <phoneticPr fontId="2" type="noConversion"/>
  </si>
  <si>
    <t>제주인터넷방송 DB</t>
  </si>
  <si>
    <t>음성파일명, 제주어뜻풀이, 표준어뜻풀이</t>
  </si>
  <si>
    <t>제주방언 정보</t>
  </si>
  <si>
    <t>문화/역사DB</t>
    <phoneticPr fontId="2" type="noConversion"/>
  </si>
  <si>
    <t>제주특별자치도 문화/역사</t>
    <phoneticPr fontId="2" type="noConversion"/>
  </si>
  <si>
    <t>문화/역사 DB</t>
  </si>
  <si>
    <t>GIS명, 측정위치, 측정시간 등</t>
  </si>
  <si>
    <t>버스 출도착 정보</t>
  </si>
  <si>
    <t>버스 DB</t>
    <phoneticPr fontId="2" type="noConversion"/>
  </si>
  <si>
    <t>버스정보시스템</t>
    <phoneticPr fontId="2" type="noConversion"/>
  </si>
  <si>
    <t>버스정보시스템(BIS)</t>
    <phoneticPr fontId="2" type="noConversion"/>
  </si>
  <si>
    <t>061-797-2465</t>
  </si>
  <si>
    <t>임소리</t>
  </si>
  <si>
    <t>전라남도 광양시청</t>
  </si>
  <si>
    <t>센서명, 측정위치 등</t>
  </si>
  <si>
    <t>대기질 정보</t>
  </si>
  <si>
    <t xml:space="preserve">광양만국가산단대기환경감시 DB  </t>
    <phoneticPr fontId="2" type="noConversion"/>
  </si>
  <si>
    <t>광양만 국가산단 대기환경 감시시스템</t>
    <phoneticPr fontId="2" type="noConversion"/>
  </si>
  <si>
    <t>광양만 국가산단 대기환경 감시 시스템(GYAEMS)</t>
    <phoneticPr fontId="2" type="noConversion"/>
  </si>
  <si>
    <t>메시지번호, 분류코드 등</t>
  </si>
  <si>
    <t>맞춤형 건강정보 메시지</t>
  </si>
  <si>
    <t>인터넷DB(INET)</t>
    <phoneticPr fontId="2" type="noConversion"/>
  </si>
  <si>
    <t>대표홈페이지</t>
    <phoneticPr fontId="2" type="noConversion"/>
  </si>
  <si>
    <t>033-736-2487</t>
  </si>
  <si>
    <t>장은아</t>
  </si>
  <si>
    <t>국민건강보험공단</t>
  </si>
  <si>
    <t xml:space="preserve">최소 유형 10개 </t>
    <phoneticPr fontId="2" type="noConversion"/>
  </si>
  <si>
    <t>게시판ID, 게시글ID 등</t>
  </si>
  <si>
    <t>구인구직 게시판</t>
  </si>
  <si>
    <t>장기요양포털DB(LTMP)</t>
    <phoneticPr fontId="2" type="noConversion"/>
  </si>
  <si>
    <t>노인장기요양보험 대민포털</t>
    <phoneticPr fontId="2" type="noConversion"/>
  </si>
  <si>
    <t>장기요양 포털DB(LTMP)</t>
    <phoneticPr fontId="2" type="noConversion"/>
  </si>
  <si>
    <t>SQL개선번호, SQL개선요청결재ID 등</t>
  </si>
  <si>
    <t>튜닝요청 쿼리(SQL)</t>
  </si>
  <si>
    <t>튜닝요청쿼리(SQL)</t>
    <phoneticPr fontId="2" type="noConversion"/>
  </si>
  <si>
    <t>IT통합관리(ITIA)</t>
    <phoneticPr fontId="2" type="noConversion"/>
  </si>
  <si>
    <t>IT통합관리시스템</t>
    <phoneticPr fontId="2" type="noConversion"/>
  </si>
  <si>
    <t xml:space="preserve">IT통합관리(ITIA) </t>
    <phoneticPr fontId="2" type="noConversion"/>
  </si>
  <si>
    <t>신청DB수</t>
    <phoneticPr fontId="2" type="noConversion"/>
  </si>
  <si>
    <t>신청기관수</t>
    <phoneticPr fontId="2" type="noConversion"/>
  </si>
  <si>
    <t>① 작성자, 게시내용, 작성일자, 설문내용, 접속URL, 설문지 대표이미지
② 배경이미지, 스타일, 파일명,
배너 이미지, 연결URL,
팝업 이미지, 연결URL</t>
    <phoneticPr fontId="2" type="noConversion"/>
  </si>
  <si>
    <t>① 공지, 자료실, 기관 설문 조사
② 시스템 메뉴 이미지 정보,
배너 이미지 정보,
팝업창 이미지 정보 등</t>
    <phoneticPr fontId="2" type="noConversion"/>
  </si>
  <si>
    <t>창업진흥원홈페이지 DB</t>
    <phoneticPr fontId="2" type="noConversion"/>
  </si>
  <si>
    <t>창업진흥원 홈페이지</t>
    <phoneticPr fontId="2" type="noConversion"/>
  </si>
  <si>
    <t>창업진흥원 홈페이지 DB</t>
  </si>
  <si>
    <t>044-410-1658</t>
    <phoneticPr fontId="2" type="noConversion"/>
  </si>
  <si>
    <t>윤강준</t>
  </si>
  <si>
    <t>창업진흥원</t>
  </si>
  <si>
    <t>대표사례</t>
    <phoneticPr fontId="2" type="noConversion"/>
  </si>
  <si>
    <t>유선확인</t>
    <phoneticPr fontId="2" type="noConversion"/>
  </si>
  <si>
    <t>제외사유</t>
    <phoneticPr fontId="2" type="noConversion"/>
  </si>
  <si>
    <t>대표유형 선정결과</t>
    <phoneticPr fontId="2" type="noConversion"/>
  </si>
  <si>
    <t>메타데이터 관리항목명</t>
    <phoneticPr fontId="2" type="noConversion"/>
  </si>
  <si>
    <t>관리유형 상세설명</t>
    <phoneticPr fontId="2" type="noConversion"/>
  </si>
  <si>
    <t>비정형데이터 관리유형(신청내역)</t>
    <phoneticPr fontId="2" type="noConversion"/>
  </si>
  <si>
    <t>GOODDATA 등록 DB명</t>
    <phoneticPr fontId="2" type="noConversion"/>
  </si>
  <si>
    <t>GOODDATA 등록 시스템명</t>
    <phoneticPr fontId="2" type="noConversion"/>
  </si>
  <si>
    <t>DB명</t>
    <phoneticPr fontId="2" type="noConversion"/>
  </si>
  <si>
    <t>연락처</t>
    <phoneticPr fontId="2" type="noConversion"/>
  </si>
  <si>
    <t>담당자명</t>
    <phoneticPr fontId="2" type="noConversion"/>
  </si>
  <si>
    <t>신청기관</t>
    <phoneticPr fontId="2" type="noConversion"/>
  </si>
  <si>
    <t>메일수신일</t>
    <phoneticPr fontId="2" type="noConversion"/>
  </si>
  <si>
    <t>기관명</t>
    <phoneticPr fontId="2" type="noConversion"/>
  </si>
  <si>
    <t>담당자</t>
    <phoneticPr fontId="2" type="noConversion"/>
  </si>
  <si>
    <t>아무 조건을 안주면 전체 조회 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</si>
</sst>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Blue]\▲#0;[Red]\▼#0"/>
  </numFmts>
  <fonts count="10" x14ac:knownFonts="1">
    <font>
      <sz val="11"/>
      <color theme="1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quotePrefix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>
      <alignment vertical="center"/>
    </xf>
    <xf numFmtId="0" fontId="3" fillId="4" borderId="4" xfId="0" applyFont="1" applyFill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5" fillId="0" borderId="5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14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 wrapText="1"/>
    </xf>
    <xf numFmtId="176" fontId="6" fillId="0" borderId="4" xfId="0" applyNumberFormat="1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5" borderId="4" xfId="0" applyFont="1" applyFill="1" applyBorder="1">
      <alignment vertical="center"/>
    </xf>
    <xf numFmtId="0" fontId="3" fillId="6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14" fontId="5" fillId="0" borderId="4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vertical="center" wrapText="1"/>
    </xf>
    <xf numFmtId="0" fontId="5" fillId="5" borderId="4" xfId="0" applyFont="1" applyFill="1" applyBorder="1" applyAlignment="1">
      <alignment horizontal="left" vertical="center"/>
    </xf>
    <xf numFmtId="14" fontId="5" fillId="5" borderId="4" xfId="0" applyNumberFormat="1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 wrapText="1"/>
    </xf>
    <xf numFmtId="14" fontId="7" fillId="0" borderId="4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5" borderId="4" xfId="0" applyFont="1" applyFill="1" applyBorder="1" applyAlignment="1">
      <alignment vertical="center" wrapText="1"/>
    </xf>
    <xf numFmtId="14" fontId="5" fillId="5" borderId="4" xfId="0" applyNumberFormat="1" applyFont="1" applyFill="1" applyBorder="1" applyAlignment="1">
      <alignment horizontal="left" vertical="center" wrapText="1"/>
    </xf>
    <xf numFmtId="14" fontId="5" fillId="0" borderId="4" xfId="0" applyNumberFormat="1" applyFont="1" applyBorder="1" applyAlignment="1">
      <alignment horizontal="left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8" fillId="0" borderId="0" xfId="1">
      <alignment vertical="center"/>
    </xf>
    <xf numFmtId="0" fontId="9" fillId="9" borderId="7" xfId="2" applyBorder="1" applyAlignment="1">
      <alignment horizontal="center" vertical="center"/>
    </xf>
    <xf numFmtId="0" fontId="9" fillId="11" borderId="7" xfId="4" applyBorder="1" applyAlignment="1">
      <alignment horizontal="center" vertical="center"/>
    </xf>
    <xf numFmtId="0" fontId="9" fillId="10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5">
    <cellStyle name="강조색1" xfId="2" builtinId="29"/>
    <cellStyle name="강조색2" xfId="3" builtinId="33"/>
    <cellStyle name="강조색6" xfId="4" builtinId="49"/>
    <cellStyle name="설명 텍스트" xfId="1" builtinId="5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295275</xdr:colOff>
          <xdr:row>0</xdr:row>
          <xdr:rowOff>200025</xdr:rowOff>
        </xdr:from>
        <xdr:to>
          <xdr:col>5</xdr:col>
          <xdr:colOff>489450</xdr:colOff>
          <xdr:row>2</xdr:row>
          <xdr:rowOff>57150</xdr:rowOff>
        </xdr:to>
        <xdr:sp macro="" textlink="">
          <xdr:nvSpPr>
            <xdr:cNvPr id="4097" name="searc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2</xdr:row>
          <xdr:rowOff>123825</xdr:rowOff>
        </xdr:from>
        <xdr:to>
          <xdr:col>5</xdr:col>
          <xdr:colOff>479925</xdr:colOff>
          <xdr:row>3</xdr:row>
          <xdr:rowOff>200025</xdr:rowOff>
        </xdr:to>
        <xdr:sp macro="" textlink="">
          <xdr:nvSpPr>
            <xdr:cNvPr id="4098" name="rese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FCE9-EB80-48F0-9A71-B08F207CEF1E}">
  <sheetPr codeName="Sheet1"/>
  <dimension ref="B1:O7"/>
  <sheetViews>
    <sheetView tabSelected="1" workbookViewId="0">
      <selection activeCell="G4" sqref="G4"/>
    </sheetView>
  </sheetViews>
  <sheetFormatPr defaultRowHeight="16.5" x14ac:dyDescent="0.3"/>
  <cols>
    <col min="2" max="2" width="9.625" bestFit="1" customWidth="1"/>
    <col min="3" max="3" width="12" customWidth="1"/>
    <col min="4" max="4" width="8" bestFit="1" customWidth="1"/>
    <col min="5" max="5" width="11.625" bestFit="1" customWidth="1"/>
    <col min="6" max="6" width="23" bestFit="1" customWidth="1"/>
    <col min="7" max="7" width="23.125" bestFit="1" customWidth="1"/>
    <col min="8" max="8" width="20.25" bestFit="1" customWidth="1"/>
    <col min="9" max="9" width="27.875" bestFit="1" customWidth="1"/>
    <col min="10" max="10" width="15.625" bestFit="1" customWidth="1"/>
    <col min="11" max="11" width="19.25" bestFit="1" customWidth="1"/>
    <col min="12" max="12" width="15.625" bestFit="1" customWidth="1"/>
    <col min="13" max="15" width="8" bestFit="1" customWidth="1"/>
  </cols>
  <sheetData>
    <row r="1" spans="2:15" ht="17.25" thickBot="1" x14ac:dyDescent="0.35"/>
    <row r="2" spans="2:15" ht="17.25" thickBot="1" x14ac:dyDescent="0.35">
      <c r="B2" s="53" t="s">
        <v>806</v>
      </c>
      <c r="C2" s="56"/>
      <c r="D2" s="57"/>
      <c r="G2" s="52" t="s">
        <v>808</v>
      </c>
    </row>
    <row r="3" spans="2:15" ht="17.25" thickBot="1" x14ac:dyDescent="0.35">
      <c r="B3" s="54" t="s">
        <v>807</v>
      </c>
      <c r="C3" s="56" t="s">
        <v>703</v>
      </c>
      <c r="D3" s="57"/>
    </row>
    <row r="4" spans="2:15" ht="17.25" thickBot="1" x14ac:dyDescent="0.35">
      <c r="B4" s="55" t="s">
        <v>802</v>
      </c>
      <c r="C4" s="56"/>
      <c r="D4" s="57"/>
    </row>
    <row r="5" spans="2:15" ht="17.25" thickBot="1" x14ac:dyDescent="0.35"/>
    <row r="6" spans="2:15" ht="17.25" thickBot="1" x14ac:dyDescent="0.35">
      <c r="B6" s="33" t="s">
        <v>805</v>
      </c>
      <c r="C6" s="53" t="s">
        <v>806</v>
      </c>
      <c r="D6" s="54" t="s">
        <v>807</v>
      </c>
      <c r="E6" s="55" t="s">
        <v>802</v>
      </c>
      <c r="F6" s="33" t="s">
        <v>801</v>
      </c>
      <c r="G6" s="33" t="s">
        <v>800</v>
      </c>
      <c r="H6" s="33" t="s">
        <v>799</v>
      </c>
      <c r="I6" s="33" t="s">
        <v>798</v>
      </c>
      <c r="J6" s="34" t="s">
        <v>797</v>
      </c>
      <c r="K6" s="34" t="s">
        <v>796</v>
      </c>
      <c r="L6" s="33" t="s">
        <v>795</v>
      </c>
      <c r="M6" s="33" t="s">
        <v>794</v>
      </c>
      <c r="N6" s="32" t="s">
        <v>793</v>
      </c>
      <c r="O6" s="31" t="s">
        <v>792</v>
      </c>
    </row>
    <row r="7" spans="2:15" x14ac:dyDescent="0.3">
      <c r="B7" s="19">
        <v>44727</v>
      </c>
      <c r="C7" s="19" t="s">
        <v>704</v>
      </c>
      <c r="D7" s="19" t="s">
        <v>703</v>
      </c>
      <c r="E7" s="19" t="s">
        <v>702</v>
      </c>
      <c r="F7" s="19" t="s">
        <v>701</v>
      </c>
      <c r="G7" s="17" t="s">
        <v>700</v>
      </c>
      <c r="H7" s="18" t="s">
        <v>699</v>
      </c>
      <c r="I7" s="19" t="s">
        <v>17</v>
      </c>
      <c r="J7" s="19" t="s">
        <v>698</v>
      </c>
      <c r="K7" s="19" t="s">
        <v>697</v>
      </c>
      <c r="L7" s="19" t="s">
        <v>17</v>
      </c>
      <c r="M7" s="16"/>
      <c r="N7" s="16"/>
      <c r="O7" s="16" t="s">
        <v>17</v>
      </c>
    </row>
  </sheetData>
  <mergeCells count="3">
    <mergeCell ref="C2:D2"/>
    <mergeCell ref="C3:D3"/>
    <mergeCell ref="C4:D4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reset">
          <controlPr defaultSize="0" autoLine="0" r:id="rId4">
            <anchor>
              <from>
                <xdr:col>4</xdr:col>
                <xdr:colOff>285750</xdr:colOff>
                <xdr:row>2</xdr:row>
                <xdr:rowOff>123825</xdr:rowOff>
              </from>
              <to>
                <xdr:col>5</xdr:col>
                <xdr:colOff>476250</xdr:colOff>
                <xdr:row>3</xdr:row>
                <xdr:rowOff>200025</xdr:rowOff>
              </to>
            </anchor>
          </controlPr>
        </control>
      </mc:Choice>
      <mc:Fallback>
        <control shapeId="4098" r:id="rId3" name="reset"/>
      </mc:Fallback>
    </mc:AlternateContent>
    <mc:AlternateContent xmlns:mc="http://schemas.openxmlformats.org/markup-compatibility/2006">
      <mc:Choice Requires="x14">
        <control shapeId="4097" r:id="rId5" name="search">
          <controlPr defaultSize="0" autoLine="0" autoPict="0" r:id="rId6">
            <anchor>
              <from>
                <xdr:col>4</xdr:col>
                <xdr:colOff>295275</xdr:colOff>
                <xdr:row>0</xdr:row>
                <xdr:rowOff>200025</xdr:rowOff>
              </from>
              <to>
                <xdr:col>5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4097" r:id="rId5" name="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4276-F931-4169-97F1-FC73E61B4A18}">
  <sheetPr codeName="Sheet2"/>
  <dimension ref="A1:AA1048478"/>
  <sheetViews>
    <sheetView zoomScaleNormal="100" workbookViewId="0">
      <pane ySplit="1" topLeftCell="A2" activePane="bottomLeft" state="frozen"/>
      <selection activeCell="F4" sqref="F4"/>
      <selection pane="bottomLeft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7" width="9" style="8"/>
    <col min="18" max="18" width="13.75" style="8" bestFit="1" customWidth="1"/>
    <col min="19" max="24" width="9" style="8"/>
    <col min="25" max="25" width="12.875" style="8" customWidth="1"/>
    <col min="26" max="16384" width="9" style="8"/>
  </cols>
  <sheetData>
    <row r="1" spans="1:27" ht="17.25" thickBot="1" x14ac:dyDescent="0.35">
      <c r="A1" s="33" t="s">
        <v>805</v>
      </c>
      <c r="B1" s="53" t="s">
        <v>806</v>
      </c>
      <c r="C1" s="54" t="s">
        <v>807</v>
      </c>
      <c r="D1" s="55" t="s">
        <v>802</v>
      </c>
      <c r="E1" s="33" t="s">
        <v>801</v>
      </c>
      <c r="F1" s="33" t="s">
        <v>800</v>
      </c>
      <c r="G1" s="33" t="s">
        <v>799</v>
      </c>
      <c r="H1" s="33" t="s">
        <v>798</v>
      </c>
      <c r="I1" s="34" t="s">
        <v>797</v>
      </c>
      <c r="J1" s="34" t="s">
        <v>796</v>
      </c>
      <c r="K1" s="33" t="s">
        <v>795</v>
      </c>
      <c r="L1" s="33" t="s">
        <v>794</v>
      </c>
      <c r="M1" s="32" t="s">
        <v>793</v>
      </c>
      <c r="N1" s="31" t="s">
        <v>792</v>
      </c>
      <c r="O1" s="14"/>
    </row>
    <row r="2" spans="1:27" ht="58.5" customHeight="1" x14ac:dyDescent="0.3">
      <c r="A2" s="19">
        <v>44721</v>
      </c>
      <c r="B2" s="17" t="s">
        <v>791</v>
      </c>
      <c r="C2" s="17" t="s">
        <v>790</v>
      </c>
      <c r="D2" s="17" t="s">
        <v>789</v>
      </c>
      <c r="E2" s="17" t="s">
        <v>788</v>
      </c>
      <c r="F2" s="17" t="s">
        <v>787</v>
      </c>
      <c r="G2" s="17" t="s">
        <v>786</v>
      </c>
      <c r="H2" s="17" t="s">
        <v>30</v>
      </c>
      <c r="I2" s="18" t="s">
        <v>785</v>
      </c>
      <c r="J2" s="18" t="s">
        <v>784</v>
      </c>
      <c r="K2" s="17" t="s">
        <v>17</v>
      </c>
      <c r="L2" s="16"/>
      <c r="M2" s="16"/>
      <c r="N2" s="16"/>
      <c r="O2" s="14"/>
      <c r="R2" s="29" t="s">
        <v>783</v>
      </c>
      <c r="S2" s="29" t="s">
        <v>51</v>
      </c>
      <c r="T2" s="29" t="s">
        <v>27</v>
      </c>
      <c r="U2" s="29" t="s">
        <v>17</v>
      </c>
      <c r="V2" s="29" t="s">
        <v>101</v>
      </c>
      <c r="W2" s="29" t="s">
        <v>683</v>
      </c>
      <c r="X2" s="29" t="s">
        <v>42</v>
      </c>
      <c r="Y2" s="29" t="s">
        <v>73</v>
      </c>
      <c r="Z2" s="30" t="s">
        <v>184</v>
      </c>
      <c r="AA2" s="29" t="s">
        <v>782</v>
      </c>
    </row>
    <row r="3" spans="1:27" x14ac:dyDescent="0.3">
      <c r="A3" s="19">
        <v>44722</v>
      </c>
      <c r="B3" s="17" t="s">
        <v>769</v>
      </c>
      <c r="C3" s="17" t="s">
        <v>768</v>
      </c>
      <c r="D3" s="17" t="s">
        <v>767</v>
      </c>
      <c r="E3" s="17" t="s">
        <v>781</v>
      </c>
      <c r="F3" s="17" t="s">
        <v>780</v>
      </c>
      <c r="G3" s="17" t="s">
        <v>779</v>
      </c>
      <c r="H3" s="17" t="s">
        <v>778</v>
      </c>
      <c r="I3" s="18" t="s">
        <v>777</v>
      </c>
      <c r="J3" s="18" t="s">
        <v>776</v>
      </c>
      <c r="K3" s="17" t="s">
        <v>27</v>
      </c>
      <c r="L3" s="16" t="s">
        <v>175</v>
      </c>
      <c r="M3" s="16"/>
      <c r="N3" s="15"/>
      <c r="O3" s="14"/>
      <c r="R3" s="28">
        <f>SUMPRODUCT((B2:B200&lt;&gt;"")/COUNTIF(B2:B200, B2:B200&amp;""))</f>
        <v>42.000000000000021</v>
      </c>
      <c r="S3" s="28">
        <f t="shared" ref="S3:Z3" si="0">COUNTIF($K$2:$K$1048576,S2)</f>
        <v>18</v>
      </c>
      <c r="T3" s="28">
        <f t="shared" si="0"/>
        <v>19</v>
      </c>
      <c r="U3" s="28">
        <f t="shared" si="0"/>
        <v>35</v>
      </c>
      <c r="V3" s="28">
        <f t="shared" si="0"/>
        <v>12</v>
      </c>
      <c r="W3" s="28">
        <f t="shared" si="0"/>
        <v>2</v>
      </c>
      <c r="X3" s="28">
        <f t="shared" si="0"/>
        <v>8</v>
      </c>
      <c r="Y3" s="28">
        <f t="shared" si="0"/>
        <v>16</v>
      </c>
      <c r="Z3" s="28">
        <f t="shared" si="0"/>
        <v>20</v>
      </c>
      <c r="AA3" s="28">
        <f>SUM(S3:Z3)</f>
        <v>130</v>
      </c>
    </row>
    <row r="4" spans="1:27" x14ac:dyDescent="0.3">
      <c r="A4" s="19">
        <v>44722</v>
      </c>
      <c r="B4" s="17" t="s">
        <v>769</v>
      </c>
      <c r="C4" s="17" t="s">
        <v>768</v>
      </c>
      <c r="D4" s="17" t="s">
        <v>767</v>
      </c>
      <c r="E4" s="18" t="s">
        <v>775</v>
      </c>
      <c r="F4" s="18" t="s">
        <v>774</v>
      </c>
      <c r="G4" s="18" t="s">
        <v>773</v>
      </c>
      <c r="H4" s="17" t="s">
        <v>27</v>
      </c>
      <c r="I4" s="18" t="s">
        <v>772</v>
      </c>
      <c r="J4" s="18" t="s">
        <v>771</v>
      </c>
      <c r="K4" s="17" t="s">
        <v>27</v>
      </c>
      <c r="L4" s="16"/>
      <c r="M4" s="16"/>
      <c r="N4" s="15"/>
      <c r="O4" s="14"/>
      <c r="R4" s="27" t="s">
        <v>770</v>
      </c>
      <c r="S4" s="26">
        <f t="shared" ref="S4:X4" si="1">S3-10</f>
        <v>8</v>
      </c>
      <c r="T4" s="26">
        <f t="shared" si="1"/>
        <v>9</v>
      </c>
      <c r="U4" s="26">
        <f t="shared" si="1"/>
        <v>25</v>
      </c>
      <c r="V4" s="26">
        <f t="shared" si="1"/>
        <v>2</v>
      </c>
      <c r="W4" s="26">
        <f t="shared" si="1"/>
        <v>-8</v>
      </c>
      <c r="X4" s="26">
        <f t="shared" si="1"/>
        <v>-2</v>
      </c>
    </row>
    <row r="5" spans="1:27" x14ac:dyDescent="0.3">
      <c r="A5" s="19">
        <v>44722</v>
      </c>
      <c r="B5" s="17" t="s">
        <v>769</v>
      </c>
      <c r="C5" s="17" t="s">
        <v>768</v>
      </c>
      <c r="D5" s="17" t="s">
        <v>767</v>
      </c>
      <c r="E5" s="18" t="s">
        <v>765</v>
      </c>
      <c r="F5" s="18" t="s">
        <v>766</v>
      </c>
      <c r="G5" s="18" t="s">
        <v>765</v>
      </c>
      <c r="H5" s="17" t="s">
        <v>27</v>
      </c>
      <c r="I5" s="18" t="s">
        <v>764</v>
      </c>
      <c r="J5" s="18" t="s">
        <v>763</v>
      </c>
      <c r="K5" s="17" t="s">
        <v>27</v>
      </c>
      <c r="L5" s="16"/>
      <c r="M5" s="16"/>
      <c r="N5" s="15"/>
      <c r="O5" s="14"/>
    </row>
    <row r="6" spans="1:27" x14ac:dyDescent="0.3">
      <c r="A6" s="19">
        <v>44722</v>
      </c>
      <c r="B6" s="17" t="s">
        <v>757</v>
      </c>
      <c r="C6" s="17" t="s">
        <v>756</v>
      </c>
      <c r="D6" s="17" t="s">
        <v>755</v>
      </c>
      <c r="E6" s="17" t="s">
        <v>762</v>
      </c>
      <c r="F6" s="17" t="s">
        <v>761</v>
      </c>
      <c r="G6" s="17" t="s">
        <v>760</v>
      </c>
      <c r="H6" s="17" t="s">
        <v>42</v>
      </c>
      <c r="I6" s="18" t="s">
        <v>759</v>
      </c>
      <c r="J6" s="18" t="s">
        <v>758</v>
      </c>
      <c r="K6" s="17" t="s">
        <v>42</v>
      </c>
      <c r="L6" s="16"/>
      <c r="M6" s="16"/>
      <c r="N6" s="15"/>
      <c r="O6" s="14"/>
    </row>
    <row r="7" spans="1:27" x14ac:dyDescent="0.3">
      <c r="A7" s="19">
        <v>44722</v>
      </c>
      <c r="B7" s="17" t="s">
        <v>757</v>
      </c>
      <c r="C7" s="17" t="s">
        <v>756</v>
      </c>
      <c r="D7" s="17" t="s">
        <v>755</v>
      </c>
      <c r="E7" s="18" t="s">
        <v>754</v>
      </c>
      <c r="F7" s="18" t="s">
        <v>753</v>
      </c>
      <c r="G7" s="18" t="s">
        <v>752</v>
      </c>
      <c r="H7" s="17" t="s">
        <v>42</v>
      </c>
      <c r="I7" s="18" t="s">
        <v>751</v>
      </c>
      <c r="J7" s="18" t="s">
        <v>750</v>
      </c>
      <c r="K7" s="17" t="s">
        <v>42</v>
      </c>
      <c r="L7" s="16"/>
      <c r="M7" s="16"/>
      <c r="N7" s="16" t="s">
        <v>42</v>
      </c>
      <c r="O7" s="14"/>
    </row>
    <row r="8" spans="1:27" x14ac:dyDescent="0.3">
      <c r="A8" s="19">
        <v>44722</v>
      </c>
      <c r="B8" s="17" t="s">
        <v>730</v>
      </c>
      <c r="C8" s="17" t="s">
        <v>729</v>
      </c>
      <c r="D8" s="17" t="s">
        <v>728</v>
      </c>
      <c r="E8" s="17" t="s">
        <v>749</v>
      </c>
      <c r="F8" s="17" t="s">
        <v>748</v>
      </c>
      <c r="G8" s="18" t="s">
        <v>747</v>
      </c>
      <c r="H8" s="17" t="s">
        <v>683</v>
      </c>
      <c r="I8" s="18" t="s">
        <v>746</v>
      </c>
      <c r="J8" s="18" t="s">
        <v>745</v>
      </c>
      <c r="K8" s="17" t="s">
        <v>683</v>
      </c>
      <c r="L8" s="16"/>
      <c r="M8" s="16"/>
      <c r="N8" s="15"/>
      <c r="O8" s="14"/>
    </row>
    <row r="9" spans="1:27" x14ac:dyDescent="0.3">
      <c r="A9" s="19">
        <v>44722</v>
      </c>
      <c r="B9" s="17" t="s">
        <v>730</v>
      </c>
      <c r="C9" s="17" t="s">
        <v>729</v>
      </c>
      <c r="D9" s="17" t="s">
        <v>728</v>
      </c>
      <c r="E9" s="17" t="s">
        <v>744</v>
      </c>
      <c r="F9" s="17" t="s">
        <v>743</v>
      </c>
      <c r="G9" s="18" t="s">
        <v>742</v>
      </c>
      <c r="H9" s="17" t="s">
        <v>101</v>
      </c>
      <c r="I9" s="18" t="s">
        <v>741</v>
      </c>
      <c r="J9" s="18" t="s">
        <v>736</v>
      </c>
      <c r="K9" s="17" t="s">
        <v>101</v>
      </c>
      <c r="L9" s="16"/>
      <c r="M9" s="16"/>
      <c r="N9" s="15"/>
      <c r="O9" s="14"/>
    </row>
    <row r="10" spans="1:27" x14ac:dyDescent="0.3">
      <c r="A10" s="19">
        <v>44722</v>
      </c>
      <c r="B10" s="17" t="s">
        <v>730</v>
      </c>
      <c r="C10" s="17" t="s">
        <v>729</v>
      </c>
      <c r="D10" s="17" t="s">
        <v>728</v>
      </c>
      <c r="E10" s="17" t="s">
        <v>740</v>
      </c>
      <c r="F10" s="17" t="s">
        <v>739</v>
      </c>
      <c r="G10" s="18" t="s">
        <v>738</v>
      </c>
      <c r="H10" s="17" t="s">
        <v>101</v>
      </c>
      <c r="I10" s="18" t="s">
        <v>737</v>
      </c>
      <c r="J10" s="18" t="s">
        <v>736</v>
      </c>
      <c r="K10" s="17" t="s">
        <v>101</v>
      </c>
      <c r="L10" s="16"/>
      <c r="M10" s="16"/>
      <c r="N10" s="15"/>
      <c r="O10" s="14"/>
    </row>
    <row r="11" spans="1:27" x14ac:dyDescent="0.3">
      <c r="A11" s="19">
        <v>44722</v>
      </c>
      <c r="B11" s="17" t="s">
        <v>730</v>
      </c>
      <c r="C11" s="17" t="s">
        <v>729</v>
      </c>
      <c r="D11" s="17" t="s">
        <v>728</v>
      </c>
      <c r="E11" s="17" t="s">
        <v>735</v>
      </c>
      <c r="F11" s="17" t="s">
        <v>734</v>
      </c>
      <c r="G11" s="18" t="s">
        <v>733</v>
      </c>
      <c r="H11" s="17" t="s">
        <v>17</v>
      </c>
      <c r="I11" s="18" t="s">
        <v>732</v>
      </c>
      <c r="J11" s="18" t="s">
        <v>731</v>
      </c>
      <c r="K11" s="17" t="s">
        <v>17</v>
      </c>
      <c r="L11" s="16"/>
      <c r="M11" s="16"/>
      <c r="N11" s="15"/>
      <c r="O11" s="14"/>
    </row>
    <row r="12" spans="1:27" x14ac:dyDescent="0.3">
      <c r="A12" s="19">
        <v>44722</v>
      </c>
      <c r="B12" s="17" t="s">
        <v>730</v>
      </c>
      <c r="C12" s="17" t="s">
        <v>729</v>
      </c>
      <c r="D12" s="17" t="s">
        <v>728</v>
      </c>
      <c r="E12" s="17" t="s">
        <v>727</v>
      </c>
      <c r="F12" s="17" t="s">
        <v>726</v>
      </c>
      <c r="G12" s="18" t="s">
        <v>725</v>
      </c>
      <c r="H12" s="17" t="s">
        <v>17</v>
      </c>
      <c r="I12" s="18" t="s">
        <v>724</v>
      </c>
      <c r="J12" s="18" t="s">
        <v>723</v>
      </c>
      <c r="K12" s="17" t="s">
        <v>17</v>
      </c>
      <c r="L12" s="16"/>
      <c r="M12" s="16"/>
      <c r="N12" s="15"/>
      <c r="O12" s="14"/>
    </row>
    <row r="13" spans="1:27" ht="27" x14ac:dyDescent="0.3">
      <c r="A13" s="19">
        <v>44727</v>
      </c>
      <c r="B13" s="19" t="s">
        <v>722</v>
      </c>
      <c r="C13" s="19" t="s">
        <v>721</v>
      </c>
      <c r="D13" s="19" t="s">
        <v>720</v>
      </c>
      <c r="E13" s="19" t="s">
        <v>719</v>
      </c>
      <c r="F13" s="17" t="s">
        <v>718</v>
      </c>
      <c r="G13" s="18" t="s">
        <v>717</v>
      </c>
      <c r="H13" s="19" t="s">
        <v>716</v>
      </c>
      <c r="I13" s="25" t="s">
        <v>715</v>
      </c>
      <c r="J13" s="25" t="s">
        <v>714</v>
      </c>
      <c r="K13" s="22" t="s">
        <v>101</v>
      </c>
      <c r="L13" s="16" t="s">
        <v>659</v>
      </c>
      <c r="M13" s="20" t="s">
        <v>713</v>
      </c>
      <c r="N13" s="15"/>
      <c r="O13" s="14"/>
    </row>
    <row r="14" spans="1:27" ht="27" x14ac:dyDescent="0.3">
      <c r="A14" s="19">
        <v>44727</v>
      </c>
      <c r="B14" s="19" t="s">
        <v>722</v>
      </c>
      <c r="C14" s="19" t="s">
        <v>721</v>
      </c>
      <c r="D14" s="19" t="s">
        <v>720</v>
      </c>
      <c r="E14" s="17" t="s">
        <v>708</v>
      </c>
      <c r="F14" s="17" t="s">
        <v>709</v>
      </c>
      <c r="G14" s="18" t="s">
        <v>708</v>
      </c>
      <c r="H14" s="17" t="s">
        <v>707</v>
      </c>
      <c r="I14" s="18" t="s">
        <v>706</v>
      </c>
      <c r="J14" s="18" t="s">
        <v>705</v>
      </c>
      <c r="K14" s="17" t="s">
        <v>101</v>
      </c>
      <c r="L14" s="16"/>
      <c r="M14" s="16"/>
      <c r="N14" s="16" t="s">
        <v>101</v>
      </c>
      <c r="O14" s="14"/>
    </row>
    <row r="15" spans="1:27" x14ac:dyDescent="0.3">
      <c r="A15" s="19">
        <v>44727</v>
      </c>
      <c r="B15" s="19" t="s">
        <v>704</v>
      </c>
      <c r="C15" s="19" t="s">
        <v>703</v>
      </c>
      <c r="D15" s="19" t="s">
        <v>702</v>
      </c>
      <c r="E15" s="19" t="s">
        <v>701</v>
      </c>
      <c r="F15" s="17" t="s">
        <v>700</v>
      </c>
      <c r="G15" s="18" t="s">
        <v>699</v>
      </c>
      <c r="H15" s="19" t="s">
        <v>17</v>
      </c>
      <c r="I15" s="19" t="s">
        <v>698</v>
      </c>
      <c r="J15" s="19" t="s">
        <v>697</v>
      </c>
      <c r="K15" s="19" t="s">
        <v>17</v>
      </c>
      <c r="L15" s="16"/>
      <c r="M15" s="16"/>
      <c r="N15" s="16" t="s">
        <v>17</v>
      </c>
      <c r="O15" s="14"/>
    </row>
    <row r="16" spans="1:27" ht="27" x14ac:dyDescent="0.3">
      <c r="A16" s="19">
        <v>44727</v>
      </c>
      <c r="B16" s="19" t="s">
        <v>696</v>
      </c>
      <c r="C16" s="19" t="s">
        <v>695</v>
      </c>
      <c r="D16" s="19" t="s">
        <v>694</v>
      </c>
      <c r="E16" s="19" t="s">
        <v>693</v>
      </c>
      <c r="F16" s="17" t="s">
        <v>692</v>
      </c>
      <c r="G16" s="18" t="s">
        <v>691</v>
      </c>
      <c r="H16" s="19" t="s">
        <v>27</v>
      </c>
      <c r="I16" s="25" t="s">
        <v>690</v>
      </c>
      <c r="J16" s="25" t="s">
        <v>689</v>
      </c>
      <c r="K16" s="19" t="s">
        <v>27</v>
      </c>
      <c r="L16" s="16"/>
      <c r="M16" s="16"/>
      <c r="N16" s="15"/>
      <c r="O16" s="14"/>
    </row>
    <row r="17" spans="1:15" ht="40.5" x14ac:dyDescent="0.3">
      <c r="A17" s="19">
        <v>44727</v>
      </c>
      <c r="B17" s="17" t="s">
        <v>682</v>
      </c>
      <c r="C17" s="17" t="s">
        <v>681</v>
      </c>
      <c r="D17" s="17" t="s">
        <v>680</v>
      </c>
      <c r="E17" s="17" t="s">
        <v>687</v>
      </c>
      <c r="F17" s="17" t="s">
        <v>688</v>
      </c>
      <c r="G17" s="18" t="s">
        <v>687</v>
      </c>
      <c r="H17" s="17" t="s">
        <v>686</v>
      </c>
      <c r="I17" s="18" t="s">
        <v>685</v>
      </c>
      <c r="J17" s="18" t="s">
        <v>684</v>
      </c>
      <c r="K17" s="17" t="s">
        <v>683</v>
      </c>
      <c r="L17" s="16"/>
      <c r="M17" s="16"/>
      <c r="N17" s="15"/>
      <c r="O17" s="14"/>
    </row>
    <row r="18" spans="1:15" ht="40.5" x14ac:dyDescent="0.3">
      <c r="A18" s="19">
        <v>44727</v>
      </c>
      <c r="B18" s="17" t="s">
        <v>682</v>
      </c>
      <c r="C18" s="17" t="s">
        <v>681</v>
      </c>
      <c r="D18" s="17" t="s">
        <v>680</v>
      </c>
      <c r="E18" s="17" t="s">
        <v>678</v>
      </c>
      <c r="F18" s="17" t="s">
        <v>679</v>
      </c>
      <c r="G18" s="18" t="s">
        <v>678</v>
      </c>
      <c r="H18" s="17" t="s">
        <v>27</v>
      </c>
      <c r="I18" s="18" t="s">
        <v>677</v>
      </c>
      <c r="J18" s="17" t="s">
        <v>676</v>
      </c>
      <c r="K18" s="17" t="s">
        <v>27</v>
      </c>
      <c r="L18" s="16"/>
      <c r="M18" s="16"/>
      <c r="N18" s="15"/>
      <c r="O18" s="14"/>
    </row>
    <row r="19" spans="1:15" ht="54" x14ac:dyDescent="0.3">
      <c r="A19" s="19">
        <v>44727</v>
      </c>
      <c r="B19" s="17" t="s">
        <v>653</v>
      </c>
      <c r="C19" s="17" t="s">
        <v>652</v>
      </c>
      <c r="D19" s="17" t="s">
        <v>651</v>
      </c>
      <c r="E19" s="17" t="s">
        <v>675</v>
      </c>
      <c r="F19" s="17" t="s">
        <v>674</v>
      </c>
      <c r="G19" s="18" t="s">
        <v>673</v>
      </c>
      <c r="H19" s="17" t="s">
        <v>194</v>
      </c>
      <c r="I19" s="18" t="s">
        <v>672</v>
      </c>
      <c r="J19" s="18" t="s">
        <v>671</v>
      </c>
      <c r="K19" s="22" t="s">
        <v>184</v>
      </c>
      <c r="L19" s="16" t="s">
        <v>375</v>
      </c>
      <c r="M19" s="20" t="s">
        <v>658</v>
      </c>
      <c r="N19" s="15"/>
      <c r="O19" s="14"/>
    </row>
    <row r="20" spans="1:15" ht="67.5" x14ac:dyDescent="0.3">
      <c r="A20" s="19">
        <v>44727</v>
      </c>
      <c r="B20" s="17" t="s">
        <v>653</v>
      </c>
      <c r="C20" s="17" t="s">
        <v>652</v>
      </c>
      <c r="D20" s="17" t="s">
        <v>651</v>
      </c>
      <c r="E20" s="17" t="s">
        <v>670</v>
      </c>
      <c r="F20" s="17" t="s">
        <v>669</v>
      </c>
      <c r="G20" s="18" t="s">
        <v>668</v>
      </c>
      <c r="H20" s="17" t="s">
        <v>667</v>
      </c>
      <c r="I20" s="18" t="s">
        <v>666</v>
      </c>
      <c r="J20" s="18" t="s">
        <v>665</v>
      </c>
      <c r="K20" s="22" t="s">
        <v>184</v>
      </c>
      <c r="L20" s="16" t="s">
        <v>375</v>
      </c>
      <c r="M20" s="20" t="s">
        <v>658</v>
      </c>
      <c r="N20" s="15"/>
      <c r="O20" s="14"/>
    </row>
    <row r="21" spans="1:15" ht="27" x14ac:dyDescent="0.3">
      <c r="A21" s="19">
        <v>44727</v>
      </c>
      <c r="B21" s="17" t="s">
        <v>653</v>
      </c>
      <c r="C21" s="17" t="s">
        <v>652</v>
      </c>
      <c r="D21" s="17" t="s">
        <v>651</v>
      </c>
      <c r="E21" s="17" t="s">
        <v>664</v>
      </c>
      <c r="F21" s="17" t="s">
        <v>664</v>
      </c>
      <c r="G21" s="18" t="s">
        <v>663</v>
      </c>
      <c r="H21" s="17" t="s">
        <v>662</v>
      </c>
      <c r="I21" s="18" t="s">
        <v>661</v>
      </c>
      <c r="J21" s="18" t="s">
        <v>660</v>
      </c>
      <c r="K21" s="22" t="s">
        <v>184</v>
      </c>
      <c r="L21" s="16" t="s">
        <v>659</v>
      </c>
      <c r="M21" s="20" t="s">
        <v>658</v>
      </c>
      <c r="N21" s="15"/>
      <c r="O21" s="14"/>
    </row>
    <row r="22" spans="1:15" x14ac:dyDescent="0.3">
      <c r="A22" s="19">
        <v>44727</v>
      </c>
      <c r="B22" s="17" t="s">
        <v>653</v>
      </c>
      <c r="C22" s="17" t="s">
        <v>652</v>
      </c>
      <c r="D22" s="17" t="s">
        <v>651</v>
      </c>
      <c r="E22" s="17" t="s">
        <v>657</v>
      </c>
      <c r="F22" s="17" t="s">
        <v>657</v>
      </c>
      <c r="G22" s="18" t="s">
        <v>656</v>
      </c>
      <c r="H22" s="17" t="s">
        <v>27</v>
      </c>
      <c r="I22" s="18" t="s">
        <v>655</v>
      </c>
      <c r="J22" s="18" t="s">
        <v>654</v>
      </c>
      <c r="K22" s="22" t="s">
        <v>184</v>
      </c>
      <c r="L22" s="16" t="s">
        <v>375</v>
      </c>
      <c r="M22" s="20" t="s">
        <v>396</v>
      </c>
      <c r="N22" s="15"/>
      <c r="O22" s="14"/>
    </row>
    <row r="23" spans="1:15" x14ac:dyDescent="0.3">
      <c r="A23" s="19">
        <v>44727</v>
      </c>
      <c r="B23" s="17" t="s">
        <v>653</v>
      </c>
      <c r="C23" s="17" t="s">
        <v>652</v>
      </c>
      <c r="D23" s="17" t="s">
        <v>651</v>
      </c>
      <c r="E23" s="17" t="s">
        <v>650</v>
      </c>
      <c r="F23" s="17" t="s">
        <v>650</v>
      </c>
      <c r="G23" s="18" t="s">
        <v>649</v>
      </c>
      <c r="H23" s="17" t="s">
        <v>27</v>
      </c>
      <c r="I23" s="18" t="s">
        <v>648</v>
      </c>
      <c r="J23" s="17" t="s">
        <v>647</v>
      </c>
      <c r="K23" s="22" t="s">
        <v>184</v>
      </c>
      <c r="L23" s="16" t="s">
        <v>375</v>
      </c>
      <c r="M23" s="20" t="s">
        <v>396</v>
      </c>
      <c r="N23" s="15"/>
      <c r="O23" s="14"/>
    </row>
    <row r="24" spans="1:15" x14ac:dyDescent="0.3">
      <c r="A24" s="19">
        <v>44727</v>
      </c>
      <c r="B24" s="19" t="s">
        <v>623</v>
      </c>
      <c r="C24" s="17" t="s">
        <v>622</v>
      </c>
      <c r="D24" s="17" t="s">
        <v>621</v>
      </c>
      <c r="E24" s="17" t="s">
        <v>646</v>
      </c>
      <c r="F24" s="17" t="s">
        <v>638</v>
      </c>
      <c r="G24" s="18" t="s">
        <v>646</v>
      </c>
      <c r="H24" s="17" t="s">
        <v>27</v>
      </c>
      <c r="I24" s="17" t="s">
        <v>645</v>
      </c>
      <c r="J24" s="17" t="s">
        <v>644</v>
      </c>
      <c r="K24" s="17" t="s">
        <v>27</v>
      </c>
      <c r="L24" s="16"/>
      <c r="M24" s="16"/>
      <c r="N24" s="15"/>
      <c r="O24" s="14"/>
    </row>
    <row r="25" spans="1:15" x14ac:dyDescent="0.3">
      <c r="A25" s="19">
        <v>44727</v>
      </c>
      <c r="B25" s="19" t="s">
        <v>623</v>
      </c>
      <c r="C25" s="17" t="s">
        <v>622</v>
      </c>
      <c r="D25" s="17" t="s">
        <v>621</v>
      </c>
      <c r="E25" s="17" t="s">
        <v>643</v>
      </c>
      <c r="F25" s="17" t="s">
        <v>638</v>
      </c>
      <c r="G25" s="18" t="s">
        <v>642</v>
      </c>
      <c r="H25" s="17" t="s">
        <v>27</v>
      </c>
      <c r="I25" s="17" t="s">
        <v>641</v>
      </c>
      <c r="J25" s="17" t="s">
        <v>640</v>
      </c>
      <c r="K25" s="17" t="s">
        <v>27</v>
      </c>
      <c r="L25" s="16"/>
      <c r="M25" s="16"/>
      <c r="N25" s="15"/>
      <c r="O25" s="14"/>
    </row>
    <row r="26" spans="1:15" x14ac:dyDescent="0.3">
      <c r="A26" s="19">
        <v>44727</v>
      </c>
      <c r="B26" s="19" t="s">
        <v>623</v>
      </c>
      <c r="C26" s="17" t="s">
        <v>622</v>
      </c>
      <c r="D26" s="17" t="s">
        <v>621</v>
      </c>
      <c r="E26" s="17" t="s">
        <v>639</v>
      </c>
      <c r="F26" s="17" t="s">
        <v>638</v>
      </c>
      <c r="G26" s="18" t="s">
        <v>637</v>
      </c>
      <c r="H26" s="17" t="s">
        <v>636</v>
      </c>
      <c r="I26" s="17" t="s">
        <v>635</v>
      </c>
      <c r="J26" s="17" t="s">
        <v>634</v>
      </c>
      <c r="K26" s="17" t="s">
        <v>101</v>
      </c>
      <c r="L26" s="16"/>
      <c r="M26" s="16"/>
      <c r="N26" s="15"/>
      <c r="O26" s="14"/>
    </row>
    <row r="27" spans="1:15" ht="27" x14ac:dyDescent="0.3">
      <c r="A27" s="19">
        <v>44727</v>
      </c>
      <c r="B27" s="19" t="s">
        <v>623</v>
      </c>
      <c r="C27" s="17" t="s">
        <v>622</v>
      </c>
      <c r="D27" s="17" t="s">
        <v>621</v>
      </c>
      <c r="E27" s="18" t="s">
        <v>633</v>
      </c>
      <c r="F27" s="17" t="s">
        <v>632</v>
      </c>
      <c r="G27" s="18" t="s">
        <v>631</v>
      </c>
      <c r="H27" s="17" t="s">
        <v>59</v>
      </c>
      <c r="I27" s="17" t="s">
        <v>630</v>
      </c>
      <c r="J27" s="17" t="s">
        <v>629</v>
      </c>
      <c r="K27" s="17" t="s">
        <v>73</v>
      </c>
      <c r="L27" s="20" t="s">
        <v>628</v>
      </c>
      <c r="M27" s="20"/>
      <c r="N27" s="15"/>
      <c r="O27" s="14"/>
    </row>
    <row r="28" spans="1:15" x14ac:dyDescent="0.3">
      <c r="A28" s="19">
        <v>44727</v>
      </c>
      <c r="B28" s="19" t="s">
        <v>623</v>
      </c>
      <c r="C28" s="17" t="s">
        <v>622</v>
      </c>
      <c r="D28" s="17" t="s">
        <v>621</v>
      </c>
      <c r="E28" s="17" t="s">
        <v>626</v>
      </c>
      <c r="F28" s="17" t="s">
        <v>627</v>
      </c>
      <c r="G28" s="18" t="s">
        <v>626</v>
      </c>
      <c r="H28" s="17" t="s">
        <v>42</v>
      </c>
      <c r="I28" s="17" t="s">
        <v>625</v>
      </c>
      <c r="J28" s="17" t="s">
        <v>624</v>
      </c>
      <c r="K28" s="17" t="s">
        <v>42</v>
      </c>
      <c r="L28" s="16"/>
      <c r="M28" s="16"/>
      <c r="N28" s="15"/>
      <c r="O28" s="14"/>
    </row>
    <row r="29" spans="1:15" x14ac:dyDescent="0.3">
      <c r="A29" s="19">
        <v>44727</v>
      </c>
      <c r="B29" s="19" t="s">
        <v>623</v>
      </c>
      <c r="C29" s="17" t="s">
        <v>622</v>
      </c>
      <c r="D29" s="17" t="s">
        <v>621</v>
      </c>
      <c r="E29" s="17" t="s">
        <v>619</v>
      </c>
      <c r="F29" s="17" t="s">
        <v>620</v>
      </c>
      <c r="G29" s="18" t="s">
        <v>619</v>
      </c>
      <c r="H29" s="17" t="s">
        <v>42</v>
      </c>
      <c r="I29" s="17" t="s">
        <v>618</v>
      </c>
      <c r="J29" s="17" t="s">
        <v>617</v>
      </c>
      <c r="K29" s="17" t="s">
        <v>42</v>
      </c>
      <c r="L29" s="16"/>
      <c r="M29" s="16"/>
      <c r="N29" s="15"/>
      <c r="O29" s="14"/>
    </row>
    <row r="30" spans="1:15" x14ac:dyDescent="0.3">
      <c r="A30" s="19">
        <v>44729</v>
      </c>
      <c r="B30" s="17" t="s">
        <v>612</v>
      </c>
      <c r="C30" s="17" t="s">
        <v>611</v>
      </c>
      <c r="D30" s="17" t="s">
        <v>610</v>
      </c>
      <c r="E30" s="17" t="s">
        <v>615</v>
      </c>
      <c r="F30" s="17" t="s">
        <v>616</v>
      </c>
      <c r="G30" s="18" t="s">
        <v>615</v>
      </c>
      <c r="H30" s="17" t="s">
        <v>17</v>
      </c>
      <c r="I30" s="17" t="s">
        <v>614</v>
      </c>
      <c r="J30" s="17" t="s">
        <v>613</v>
      </c>
      <c r="K30" s="22" t="s">
        <v>184</v>
      </c>
      <c r="L30" s="16" t="s">
        <v>375</v>
      </c>
      <c r="M30" s="16" t="s">
        <v>396</v>
      </c>
      <c r="N30" s="15"/>
      <c r="O30" s="14"/>
    </row>
    <row r="31" spans="1:15" x14ac:dyDescent="0.3">
      <c r="A31" s="19">
        <v>44729</v>
      </c>
      <c r="B31" s="17" t="s">
        <v>612</v>
      </c>
      <c r="C31" s="17" t="s">
        <v>611</v>
      </c>
      <c r="D31" s="17" t="s">
        <v>610</v>
      </c>
      <c r="E31" s="17" t="s">
        <v>608</v>
      </c>
      <c r="F31" s="17" t="s">
        <v>609</v>
      </c>
      <c r="G31" s="18" t="s">
        <v>608</v>
      </c>
      <c r="H31" s="17" t="s">
        <v>17</v>
      </c>
      <c r="I31" s="17" t="s">
        <v>607</v>
      </c>
      <c r="J31" s="17" t="s">
        <v>606</v>
      </c>
      <c r="K31" s="22" t="s">
        <v>184</v>
      </c>
      <c r="L31" s="16" t="s">
        <v>375</v>
      </c>
      <c r="M31" s="16" t="s">
        <v>374</v>
      </c>
      <c r="N31" s="15"/>
      <c r="O31" s="14"/>
    </row>
    <row r="32" spans="1:15" ht="27" x14ac:dyDescent="0.3">
      <c r="A32" s="19">
        <v>44729</v>
      </c>
      <c r="B32" s="17" t="s">
        <v>588</v>
      </c>
      <c r="C32" s="17" t="s">
        <v>587</v>
      </c>
      <c r="D32" s="17" t="s">
        <v>586</v>
      </c>
      <c r="E32" s="17" t="s">
        <v>604</v>
      </c>
      <c r="F32" s="17" t="s">
        <v>605</v>
      </c>
      <c r="G32" s="18" t="s">
        <v>604</v>
      </c>
      <c r="H32" s="17" t="s">
        <v>59</v>
      </c>
      <c r="I32" s="18" t="s">
        <v>603</v>
      </c>
      <c r="J32" s="18" t="s">
        <v>602</v>
      </c>
      <c r="K32" s="17" t="s">
        <v>17</v>
      </c>
      <c r="L32" s="16"/>
      <c r="M32" s="16"/>
      <c r="N32" s="15"/>
      <c r="O32" s="14"/>
    </row>
    <row r="33" spans="1:15" x14ac:dyDescent="0.3">
      <c r="A33" s="19">
        <v>44729</v>
      </c>
      <c r="B33" s="17" t="s">
        <v>588</v>
      </c>
      <c r="C33" s="17" t="s">
        <v>587</v>
      </c>
      <c r="D33" s="17" t="s">
        <v>586</v>
      </c>
      <c r="E33" s="17" t="s">
        <v>600</v>
      </c>
      <c r="F33" s="17" t="s">
        <v>601</v>
      </c>
      <c r="G33" s="18" t="s">
        <v>600</v>
      </c>
      <c r="H33" s="17" t="s">
        <v>17</v>
      </c>
      <c r="I33" s="17" t="s">
        <v>599</v>
      </c>
      <c r="J33" s="17" t="s">
        <v>598</v>
      </c>
      <c r="K33" s="17" t="s">
        <v>17</v>
      </c>
      <c r="L33" s="16"/>
      <c r="M33" s="16"/>
      <c r="N33" s="15"/>
      <c r="O33" s="14"/>
    </row>
    <row r="34" spans="1:15" x14ac:dyDescent="0.3">
      <c r="A34" s="19">
        <v>44729</v>
      </c>
      <c r="B34" s="17" t="s">
        <v>588</v>
      </c>
      <c r="C34" s="17" t="s">
        <v>587</v>
      </c>
      <c r="D34" s="17" t="s">
        <v>586</v>
      </c>
      <c r="E34" s="17" t="s">
        <v>596</v>
      </c>
      <c r="F34" s="17" t="s">
        <v>597</v>
      </c>
      <c r="G34" s="18" t="s">
        <v>596</v>
      </c>
      <c r="H34" s="17" t="s">
        <v>51</v>
      </c>
      <c r="I34" s="17" t="s">
        <v>595</v>
      </c>
      <c r="J34" s="17" t="s">
        <v>594</v>
      </c>
      <c r="K34" s="17" t="s">
        <v>73</v>
      </c>
      <c r="L34" s="16"/>
      <c r="M34" s="16"/>
      <c r="N34" s="15"/>
      <c r="O34" s="14"/>
    </row>
    <row r="35" spans="1:15" x14ac:dyDescent="0.3">
      <c r="A35" s="19">
        <v>44729</v>
      </c>
      <c r="B35" s="17" t="s">
        <v>588</v>
      </c>
      <c r="C35" s="17" t="s">
        <v>587</v>
      </c>
      <c r="D35" s="17" t="s">
        <v>586</v>
      </c>
      <c r="E35" s="17" t="s">
        <v>592</v>
      </c>
      <c r="F35" s="17" t="s">
        <v>593</v>
      </c>
      <c r="G35" s="18" t="s">
        <v>592</v>
      </c>
      <c r="H35" s="17" t="s">
        <v>591</v>
      </c>
      <c r="I35" s="17" t="s">
        <v>590</v>
      </c>
      <c r="J35" s="17" t="s">
        <v>589</v>
      </c>
      <c r="K35" s="17" t="s">
        <v>73</v>
      </c>
      <c r="L35" s="16"/>
      <c r="M35" s="16"/>
      <c r="N35" s="15"/>
      <c r="O35" s="14"/>
    </row>
    <row r="36" spans="1:15" x14ac:dyDescent="0.3">
      <c r="A36" s="19">
        <v>44729</v>
      </c>
      <c r="B36" s="17" t="s">
        <v>588</v>
      </c>
      <c r="C36" s="17" t="s">
        <v>587</v>
      </c>
      <c r="D36" s="17" t="s">
        <v>586</v>
      </c>
      <c r="E36" s="17" t="s">
        <v>584</v>
      </c>
      <c r="F36" s="17" t="s">
        <v>585</v>
      </c>
      <c r="G36" s="18" t="s">
        <v>584</v>
      </c>
      <c r="H36" s="17" t="s">
        <v>583</v>
      </c>
      <c r="I36" s="17" t="s">
        <v>582</v>
      </c>
      <c r="J36" s="17" t="s">
        <v>581</v>
      </c>
      <c r="K36" s="17" t="s">
        <v>51</v>
      </c>
      <c r="L36" s="16"/>
      <c r="M36" s="16"/>
      <c r="N36" s="15"/>
      <c r="O36" s="14"/>
    </row>
    <row r="37" spans="1:15" x14ac:dyDescent="0.3">
      <c r="A37" s="19">
        <v>44729</v>
      </c>
      <c r="B37" s="19" t="s">
        <v>580</v>
      </c>
      <c r="C37" s="19" t="s">
        <v>579</v>
      </c>
      <c r="D37" s="19" t="s">
        <v>578</v>
      </c>
      <c r="E37" s="19" t="s">
        <v>576</v>
      </c>
      <c r="F37" s="17" t="s">
        <v>577</v>
      </c>
      <c r="G37" s="18" t="s">
        <v>576</v>
      </c>
      <c r="H37" s="19" t="s">
        <v>17</v>
      </c>
      <c r="I37" s="19" t="s">
        <v>575</v>
      </c>
      <c r="J37" s="19" t="s">
        <v>574</v>
      </c>
      <c r="K37" s="19" t="s">
        <v>17</v>
      </c>
      <c r="L37" s="16"/>
      <c r="M37" s="16"/>
      <c r="N37" s="15"/>
      <c r="O37" s="14"/>
    </row>
    <row r="38" spans="1:15" x14ac:dyDescent="0.3">
      <c r="A38" s="19">
        <v>44729</v>
      </c>
      <c r="B38" s="17" t="s">
        <v>555</v>
      </c>
      <c r="C38" s="17" t="s">
        <v>554</v>
      </c>
      <c r="D38" s="17" t="s">
        <v>553</v>
      </c>
      <c r="E38" s="17" t="s">
        <v>572</v>
      </c>
      <c r="F38" s="17" t="s">
        <v>573</v>
      </c>
      <c r="G38" s="18" t="s">
        <v>572</v>
      </c>
      <c r="H38" s="17" t="s">
        <v>101</v>
      </c>
      <c r="I38" s="17" t="s">
        <v>567</v>
      </c>
      <c r="J38" s="17" t="s">
        <v>571</v>
      </c>
      <c r="K38" s="17" t="s">
        <v>101</v>
      </c>
      <c r="L38" s="16"/>
      <c r="M38" s="16"/>
      <c r="N38" s="16" t="s">
        <v>101</v>
      </c>
      <c r="O38" s="14"/>
    </row>
    <row r="39" spans="1:15" x14ac:dyDescent="0.3">
      <c r="A39" s="19">
        <v>44729</v>
      </c>
      <c r="B39" s="17" t="s">
        <v>555</v>
      </c>
      <c r="C39" s="17" t="s">
        <v>554</v>
      </c>
      <c r="D39" s="17" t="s">
        <v>553</v>
      </c>
      <c r="E39" s="17" t="s">
        <v>570</v>
      </c>
      <c r="F39" s="17" t="s">
        <v>569</v>
      </c>
      <c r="G39" s="18" t="s">
        <v>568</v>
      </c>
      <c r="H39" s="17" t="s">
        <v>101</v>
      </c>
      <c r="I39" s="17" t="s">
        <v>567</v>
      </c>
      <c r="J39" s="17" t="s">
        <v>566</v>
      </c>
      <c r="K39" s="17" t="s">
        <v>101</v>
      </c>
      <c r="L39" s="16"/>
      <c r="M39" s="16"/>
      <c r="N39" s="15"/>
      <c r="O39" s="14"/>
    </row>
    <row r="40" spans="1:15" ht="40.5" x14ac:dyDescent="0.3">
      <c r="A40" s="19">
        <v>44729</v>
      </c>
      <c r="B40" s="17" t="s">
        <v>555</v>
      </c>
      <c r="C40" s="17" t="s">
        <v>554</v>
      </c>
      <c r="D40" s="17" t="s">
        <v>553</v>
      </c>
      <c r="E40" s="17" t="s">
        <v>565</v>
      </c>
      <c r="F40" s="17" t="s">
        <v>564</v>
      </c>
      <c r="G40" s="18" t="s">
        <v>563</v>
      </c>
      <c r="H40" s="17" t="s">
        <v>439</v>
      </c>
      <c r="I40" s="18" t="s">
        <v>562</v>
      </c>
      <c r="J40" s="18" t="s">
        <v>561</v>
      </c>
      <c r="K40" s="17" t="s">
        <v>17</v>
      </c>
      <c r="L40" s="16"/>
      <c r="M40" s="16"/>
      <c r="N40" s="15"/>
      <c r="O40" s="14"/>
    </row>
    <row r="41" spans="1:15" x14ac:dyDescent="0.3">
      <c r="A41" s="19">
        <v>44729</v>
      </c>
      <c r="B41" s="17" t="s">
        <v>555</v>
      </c>
      <c r="C41" s="17" t="s">
        <v>554</v>
      </c>
      <c r="D41" s="17" t="s">
        <v>553</v>
      </c>
      <c r="E41" s="17" t="s">
        <v>560</v>
      </c>
      <c r="F41" s="17" t="s">
        <v>559</v>
      </c>
      <c r="G41" s="18" t="s">
        <v>558</v>
      </c>
      <c r="H41" s="17" t="s">
        <v>51</v>
      </c>
      <c r="I41" s="17" t="s">
        <v>557</v>
      </c>
      <c r="J41" s="18" t="s">
        <v>556</v>
      </c>
      <c r="K41" s="17" t="s">
        <v>51</v>
      </c>
      <c r="L41" s="16"/>
      <c r="M41" s="16"/>
      <c r="N41" s="15"/>
      <c r="O41" s="14"/>
    </row>
    <row r="42" spans="1:15" x14ac:dyDescent="0.3">
      <c r="A42" s="19">
        <v>44729</v>
      </c>
      <c r="B42" s="17" t="s">
        <v>555</v>
      </c>
      <c r="C42" s="17" t="s">
        <v>554</v>
      </c>
      <c r="D42" s="17" t="s">
        <v>553</v>
      </c>
      <c r="E42" s="17" t="s">
        <v>551</v>
      </c>
      <c r="F42" s="17" t="s">
        <v>552</v>
      </c>
      <c r="G42" s="18" t="s">
        <v>551</v>
      </c>
      <c r="H42" s="17" t="s">
        <v>51</v>
      </c>
      <c r="I42" s="17" t="s">
        <v>550</v>
      </c>
      <c r="J42" s="17" t="s">
        <v>549</v>
      </c>
      <c r="K42" s="17" t="s">
        <v>73</v>
      </c>
      <c r="L42" s="16"/>
      <c r="M42" s="16"/>
      <c r="N42" s="15"/>
      <c r="O42" s="14"/>
    </row>
    <row r="43" spans="1:15" x14ac:dyDescent="0.3">
      <c r="A43" s="19">
        <v>44729</v>
      </c>
      <c r="B43" s="19" t="s">
        <v>548</v>
      </c>
      <c r="C43" s="19" t="s">
        <v>547</v>
      </c>
      <c r="D43" s="19" t="s">
        <v>546</v>
      </c>
      <c r="E43" s="19" t="s">
        <v>545</v>
      </c>
      <c r="F43" s="17" t="s">
        <v>545</v>
      </c>
      <c r="G43" s="18" t="s">
        <v>544</v>
      </c>
      <c r="H43" s="19" t="s">
        <v>27</v>
      </c>
      <c r="I43" s="17" t="s">
        <v>543</v>
      </c>
      <c r="J43" s="19" t="s">
        <v>543</v>
      </c>
      <c r="K43" s="24" t="s">
        <v>184</v>
      </c>
      <c r="L43" s="16" t="s">
        <v>375</v>
      </c>
      <c r="M43" s="16" t="s">
        <v>374</v>
      </c>
      <c r="N43" s="15"/>
      <c r="O43" s="14"/>
    </row>
    <row r="44" spans="1:15" ht="27" x14ac:dyDescent="0.3">
      <c r="A44" s="19">
        <v>44729</v>
      </c>
      <c r="B44" s="17" t="s">
        <v>542</v>
      </c>
      <c r="C44" s="17" t="s">
        <v>541</v>
      </c>
      <c r="D44" s="17" t="s">
        <v>540</v>
      </c>
      <c r="E44" s="19" t="s">
        <v>539</v>
      </c>
      <c r="F44" s="17" t="s">
        <v>538</v>
      </c>
      <c r="G44" s="18" t="s">
        <v>537</v>
      </c>
      <c r="H44" s="17" t="s">
        <v>27</v>
      </c>
      <c r="I44" s="17" t="s">
        <v>536</v>
      </c>
      <c r="J44" s="18" t="s">
        <v>535</v>
      </c>
      <c r="K44" s="17" t="s">
        <v>27</v>
      </c>
      <c r="L44" s="16"/>
      <c r="M44" s="16"/>
      <c r="N44" s="16" t="s">
        <v>27</v>
      </c>
      <c r="O44" s="14"/>
    </row>
    <row r="45" spans="1:15" ht="27" x14ac:dyDescent="0.3">
      <c r="A45" s="19">
        <v>44729</v>
      </c>
      <c r="B45" s="17" t="s">
        <v>529</v>
      </c>
      <c r="C45" s="17" t="s">
        <v>528</v>
      </c>
      <c r="D45" s="17" t="s">
        <v>527</v>
      </c>
      <c r="E45" s="17" t="s">
        <v>533</v>
      </c>
      <c r="F45" s="17" t="s">
        <v>534</v>
      </c>
      <c r="G45" s="18" t="s">
        <v>533</v>
      </c>
      <c r="H45" s="17" t="s">
        <v>532</v>
      </c>
      <c r="I45" s="18" t="s">
        <v>531</v>
      </c>
      <c r="J45" s="18" t="s">
        <v>530</v>
      </c>
      <c r="K45" s="17" t="s">
        <v>27</v>
      </c>
      <c r="L45" s="16"/>
      <c r="M45" s="16"/>
      <c r="N45" s="15"/>
      <c r="O45" s="14"/>
    </row>
    <row r="46" spans="1:15" x14ac:dyDescent="0.3">
      <c r="A46" s="19">
        <v>44729</v>
      </c>
      <c r="B46" s="17" t="s">
        <v>529</v>
      </c>
      <c r="C46" s="17" t="s">
        <v>528</v>
      </c>
      <c r="D46" s="17" t="s">
        <v>527</v>
      </c>
      <c r="E46" s="17" t="s">
        <v>525</v>
      </c>
      <c r="F46" s="17" t="s">
        <v>526</v>
      </c>
      <c r="G46" s="18" t="s">
        <v>525</v>
      </c>
      <c r="H46" s="17" t="s">
        <v>524</v>
      </c>
      <c r="I46" s="17" t="s">
        <v>523</v>
      </c>
      <c r="J46" s="17" t="s">
        <v>522</v>
      </c>
      <c r="K46" s="17" t="s">
        <v>73</v>
      </c>
      <c r="L46" s="16"/>
      <c r="M46" s="16"/>
      <c r="N46" s="15"/>
      <c r="O46" s="14"/>
    </row>
    <row r="47" spans="1:15" x14ac:dyDescent="0.3">
      <c r="A47" s="19">
        <v>44729</v>
      </c>
      <c r="B47" s="19" t="s">
        <v>521</v>
      </c>
      <c r="C47" s="19" t="s">
        <v>520</v>
      </c>
      <c r="D47" s="19" t="s">
        <v>519</v>
      </c>
      <c r="E47" s="19" t="s">
        <v>518</v>
      </c>
      <c r="F47" s="17" t="s">
        <v>517</v>
      </c>
      <c r="G47" s="18" t="s">
        <v>516</v>
      </c>
      <c r="H47" s="19" t="s">
        <v>51</v>
      </c>
      <c r="I47" s="19" t="s">
        <v>515</v>
      </c>
      <c r="J47" s="19" t="s">
        <v>514</v>
      </c>
      <c r="K47" s="19" t="s">
        <v>51</v>
      </c>
      <c r="L47" s="16"/>
      <c r="M47" s="16"/>
      <c r="N47" s="16" t="s">
        <v>51</v>
      </c>
      <c r="O47" s="14"/>
    </row>
    <row r="48" spans="1:15" x14ac:dyDescent="0.3">
      <c r="A48" s="19">
        <v>44729</v>
      </c>
      <c r="B48" s="17" t="s">
        <v>501</v>
      </c>
      <c r="C48" s="17" t="s">
        <v>500</v>
      </c>
      <c r="D48" s="17" t="s">
        <v>499</v>
      </c>
      <c r="E48" s="17" t="s">
        <v>512</v>
      </c>
      <c r="F48" s="17" t="s">
        <v>513</v>
      </c>
      <c r="G48" s="18" t="s">
        <v>512</v>
      </c>
      <c r="H48" s="21" t="s">
        <v>101</v>
      </c>
      <c r="I48" s="21" t="s">
        <v>511</v>
      </c>
      <c r="J48" s="17" t="s">
        <v>510</v>
      </c>
      <c r="K48" s="17" t="s">
        <v>101</v>
      </c>
      <c r="L48" s="16"/>
      <c r="M48" s="16"/>
      <c r="N48" s="15"/>
      <c r="O48" s="14"/>
    </row>
    <row r="49" spans="1:15" x14ac:dyDescent="0.3">
      <c r="A49" s="19">
        <v>44729</v>
      </c>
      <c r="B49" s="17" t="s">
        <v>501</v>
      </c>
      <c r="C49" s="17" t="s">
        <v>500</v>
      </c>
      <c r="D49" s="17" t="s">
        <v>499</v>
      </c>
      <c r="E49" s="17" t="s">
        <v>509</v>
      </c>
      <c r="F49" s="17" t="s">
        <v>509</v>
      </c>
      <c r="G49" s="18" t="s">
        <v>509</v>
      </c>
      <c r="H49" s="21" t="s">
        <v>17</v>
      </c>
      <c r="I49" s="21" t="s">
        <v>508</v>
      </c>
      <c r="J49" s="17" t="s">
        <v>507</v>
      </c>
      <c r="K49" s="17" t="s">
        <v>17</v>
      </c>
      <c r="L49" s="16"/>
      <c r="M49" s="16"/>
      <c r="N49" s="15"/>
      <c r="O49" s="14"/>
    </row>
    <row r="50" spans="1:15" ht="27" x14ac:dyDescent="0.3">
      <c r="A50" s="19">
        <v>44729</v>
      </c>
      <c r="B50" s="17" t="s">
        <v>501</v>
      </c>
      <c r="C50" s="17" t="s">
        <v>500</v>
      </c>
      <c r="D50" s="17" t="s">
        <v>499</v>
      </c>
      <c r="E50" s="17" t="s">
        <v>506</v>
      </c>
      <c r="F50" s="17" t="s">
        <v>505</v>
      </c>
      <c r="G50" s="18" t="s">
        <v>504</v>
      </c>
      <c r="H50" s="17" t="s">
        <v>27</v>
      </c>
      <c r="I50" s="18" t="s">
        <v>503</v>
      </c>
      <c r="J50" s="18" t="s">
        <v>502</v>
      </c>
      <c r="K50" s="17" t="s">
        <v>27</v>
      </c>
      <c r="L50" s="16"/>
      <c r="M50" s="16"/>
      <c r="N50" s="15"/>
      <c r="O50" s="14"/>
    </row>
    <row r="51" spans="1:15" x14ac:dyDescent="0.3">
      <c r="A51" s="19">
        <v>44729</v>
      </c>
      <c r="B51" s="17" t="s">
        <v>501</v>
      </c>
      <c r="C51" s="17" t="s">
        <v>500</v>
      </c>
      <c r="D51" s="17" t="s">
        <v>499</v>
      </c>
      <c r="E51" s="17" t="s">
        <v>498</v>
      </c>
      <c r="F51" s="17" t="s">
        <v>497</v>
      </c>
      <c r="G51" s="18" t="s">
        <v>496</v>
      </c>
      <c r="H51" s="21" t="s">
        <v>17</v>
      </c>
      <c r="I51" s="21" t="s">
        <v>495</v>
      </c>
      <c r="J51" s="17" t="s">
        <v>494</v>
      </c>
      <c r="K51" s="17" t="s">
        <v>17</v>
      </c>
      <c r="L51" s="16"/>
      <c r="M51" s="16"/>
      <c r="N51" s="15"/>
      <c r="O51" s="14"/>
    </row>
    <row r="52" spans="1:15" x14ac:dyDescent="0.3">
      <c r="A52" s="19">
        <v>44729</v>
      </c>
      <c r="B52" s="17" t="s">
        <v>493</v>
      </c>
      <c r="C52" s="17" t="s">
        <v>492</v>
      </c>
      <c r="D52" s="17" t="s">
        <v>491</v>
      </c>
      <c r="E52" s="19" t="s">
        <v>490</v>
      </c>
      <c r="F52" s="17" t="s">
        <v>489</v>
      </c>
      <c r="G52" s="18" t="s">
        <v>488</v>
      </c>
      <c r="H52" s="17" t="s">
        <v>20</v>
      </c>
      <c r="I52" s="17" t="s">
        <v>487</v>
      </c>
      <c r="J52" s="17" t="s">
        <v>486</v>
      </c>
      <c r="K52" s="17" t="s">
        <v>17</v>
      </c>
      <c r="L52" s="16"/>
      <c r="M52" s="16"/>
      <c r="N52" s="15"/>
      <c r="O52" s="14"/>
    </row>
    <row r="53" spans="1:15" x14ac:dyDescent="0.3">
      <c r="A53" s="19">
        <v>44729</v>
      </c>
      <c r="B53" s="17" t="s">
        <v>464</v>
      </c>
      <c r="C53" s="17" t="s">
        <v>463</v>
      </c>
      <c r="D53" s="17" t="s">
        <v>462</v>
      </c>
      <c r="E53" s="17" t="s">
        <v>485</v>
      </c>
      <c r="F53" s="17" t="s">
        <v>484</v>
      </c>
      <c r="G53" s="18" t="s">
        <v>483</v>
      </c>
      <c r="H53" s="17" t="s">
        <v>20</v>
      </c>
      <c r="I53" s="17" t="s">
        <v>482</v>
      </c>
      <c r="J53" s="17" t="s">
        <v>481</v>
      </c>
      <c r="K53" s="22" t="s">
        <v>184</v>
      </c>
      <c r="L53" s="16" t="s">
        <v>375</v>
      </c>
      <c r="M53" s="20" t="s">
        <v>396</v>
      </c>
      <c r="N53" s="15"/>
      <c r="O53" s="14"/>
    </row>
    <row r="54" spans="1:15" x14ac:dyDescent="0.3">
      <c r="A54" s="19">
        <v>44729</v>
      </c>
      <c r="B54" s="17" t="s">
        <v>464</v>
      </c>
      <c r="C54" s="17" t="s">
        <v>463</v>
      </c>
      <c r="D54" s="17" t="s">
        <v>462</v>
      </c>
      <c r="E54" s="17" t="s">
        <v>480</v>
      </c>
      <c r="F54" s="17" t="s">
        <v>479</v>
      </c>
      <c r="G54" s="18" t="s">
        <v>478</v>
      </c>
      <c r="H54" s="17" t="s">
        <v>20</v>
      </c>
      <c r="I54" s="17" t="s">
        <v>477</v>
      </c>
      <c r="J54" s="17" t="s">
        <v>476</v>
      </c>
      <c r="K54" s="22" t="s">
        <v>184</v>
      </c>
      <c r="L54" s="16" t="s">
        <v>375</v>
      </c>
      <c r="M54" s="20" t="s">
        <v>396</v>
      </c>
      <c r="N54" s="15"/>
      <c r="O54" s="14"/>
    </row>
    <row r="55" spans="1:15" x14ac:dyDescent="0.3">
      <c r="A55" s="19">
        <v>44729</v>
      </c>
      <c r="B55" s="17" t="s">
        <v>464</v>
      </c>
      <c r="C55" s="17" t="s">
        <v>463</v>
      </c>
      <c r="D55" s="17" t="s">
        <v>462</v>
      </c>
      <c r="E55" s="17" t="s">
        <v>475</v>
      </c>
      <c r="F55" s="17" t="s">
        <v>474</v>
      </c>
      <c r="G55" s="18" t="s">
        <v>473</v>
      </c>
      <c r="H55" s="17" t="s">
        <v>467</v>
      </c>
      <c r="I55" s="17" t="s">
        <v>472</v>
      </c>
      <c r="J55" s="17" t="s">
        <v>471</v>
      </c>
      <c r="K55" s="22" t="s">
        <v>184</v>
      </c>
      <c r="L55" s="16" t="s">
        <v>375</v>
      </c>
      <c r="M55" s="20" t="s">
        <v>396</v>
      </c>
      <c r="N55" s="15"/>
      <c r="O55" s="14"/>
    </row>
    <row r="56" spans="1:15" x14ac:dyDescent="0.3">
      <c r="A56" s="19">
        <v>44729</v>
      </c>
      <c r="B56" s="17" t="s">
        <v>464</v>
      </c>
      <c r="C56" s="17" t="s">
        <v>463</v>
      </c>
      <c r="D56" s="17" t="s">
        <v>462</v>
      </c>
      <c r="E56" s="17" t="s">
        <v>470</v>
      </c>
      <c r="F56" s="17" t="s">
        <v>469</v>
      </c>
      <c r="G56" s="18" t="s">
        <v>468</v>
      </c>
      <c r="H56" s="17" t="s">
        <v>467</v>
      </c>
      <c r="I56" s="17" t="s">
        <v>466</v>
      </c>
      <c r="J56" s="17" t="s">
        <v>465</v>
      </c>
      <c r="K56" s="22" t="s">
        <v>184</v>
      </c>
      <c r="L56" s="16" t="s">
        <v>375</v>
      </c>
      <c r="M56" s="20" t="s">
        <v>396</v>
      </c>
      <c r="N56" s="15"/>
      <c r="O56" s="14"/>
    </row>
    <row r="57" spans="1:15" x14ac:dyDescent="0.3">
      <c r="A57" s="19">
        <v>44729</v>
      </c>
      <c r="B57" s="17" t="s">
        <v>464</v>
      </c>
      <c r="C57" s="17" t="s">
        <v>463</v>
      </c>
      <c r="D57" s="17" t="s">
        <v>462</v>
      </c>
      <c r="E57" s="17" t="s">
        <v>461</v>
      </c>
      <c r="F57" s="17" t="s">
        <v>460</v>
      </c>
      <c r="G57" s="18" t="s">
        <v>459</v>
      </c>
      <c r="H57" s="17" t="s">
        <v>289</v>
      </c>
      <c r="I57" s="17" t="s">
        <v>458</v>
      </c>
      <c r="J57" s="17" t="s">
        <v>457</v>
      </c>
      <c r="K57" s="22" t="s">
        <v>184</v>
      </c>
      <c r="L57" s="16" t="s">
        <v>375</v>
      </c>
      <c r="M57" s="20" t="s">
        <v>396</v>
      </c>
      <c r="N57" s="15"/>
      <c r="O57" s="14"/>
    </row>
    <row r="58" spans="1:15" x14ac:dyDescent="0.3">
      <c r="A58" s="19">
        <v>44729</v>
      </c>
      <c r="B58" s="19" t="s">
        <v>434</v>
      </c>
      <c r="C58" s="17" t="s">
        <v>433</v>
      </c>
      <c r="D58" s="17" t="s">
        <v>432</v>
      </c>
      <c r="E58" s="17" t="s">
        <v>456</v>
      </c>
      <c r="F58" s="17" t="s">
        <v>455</v>
      </c>
      <c r="G58" s="18" t="s">
        <v>454</v>
      </c>
      <c r="H58" s="17" t="s">
        <v>17</v>
      </c>
      <c r="I58" s="17" t="s">
        <v>453</v>
      </c>
      <c r="J58" s="17" t="s">
        <v>452</v>
      </c>
      <c r="K58" s="22" t="s">
        <v>184</v>
      </c>
      <c r="L58" s="16" t="s">
        <v>375</v>
      </c>
      <c r="M58" s="16" t="s">
        <v>396</v>
      </c>
      <c r="N58" s="15"/>
      <c r="O58" s="14"/>
    </row>
    <row r="59" spans="1:15" ht="27" x14ac:dyDescent="0.3">
      <c r="A59" s="19">
        <v>44729</v>
      </c>
      <c r="B59" s="17" t="s">
        <v>434</v>
      </c>
      <c r="C59" s="17" t="s">
        <v>433</v>
      </c>
      <c r="D59" s="17" t="s">
        <v>432</v>
      </c>
      <c r="E59" s="17" t="s">
        <v>451</v>
      </c>
      <c r="F59" s="17" t="s">
        <v>450</v>
      </c>
      <c r="G59" s="18" t="s">
        <v>449</v>
      </c>
      <c r="H59" s="17" t="s">
        <v>448</v>
      </c>
      <c r="I59" s="18" t="s">
        <v>447</v>
      </c>
      <c r="J59" s="17" t="s">
        <v>446</v>
      </c>
      <c r="K59" s="17" t="s">
        <v>51</v>
      </c>
      <c r="L59" s="16"/>
      <c r="M59" s="16"/>
      <c r="N59" s="15"/>
      <c r="O59" s="14"/>
    </row>
    <row r="60" spans="1:15" x14ac:dyDescent="0.3">
      <c r="A60" s="19">
        <v>44729</v>
      </c>
      <c r="B60" s="17" t="s">
        <v>434</v>
      </c>
      <c r="C60" s="17" t="s">
        <v>433</v>
      </c>
      <c r="D60" s="17" t="s">
        <v>432</v>
      </c>
      <c r="E60" s="17" t="s">
        <v>445</v>
      </c>
      <c r="F60" s="17" t="s">
        <v>444</v>
      </c>
      <c r="G60" s="18" t="s">
        <v>443</v>
      </c>
      <c r="H60" s="17" t="s">
        <v>17</v>
      </c>
      <c r="I60" s="17" t="s">
        <v>442</v>
      </c>
      <c r="J60" s="17" t="s">
        <v>441</v>
      </c>
      <c r="K60" s="17" t="s">
        <v>17</v>
      </c>
      <c r="L60" s="16"/>
      <c r="M60" s="16"/>
      <c r="N60" s="15"/>
      <c r="O60" s="14"/>
    </row>
    <row r="61" spans="1:15" x14ac:dyDescent="0.3">
      <c r="A61" s="19">
        <v>44729</v>
      </c>
      <c r="B61" s="17" t="s">
        <v>434</v>
      </c>
      <c r="C61" s="17" t="s">
        <v>433</v>
      </c>
      <c r="D61" s="17" t="s">
        <v>432</v>
      </c>
      <c r="E61" s="17" t="s">
        <v>440</v>
      </c>
      <c r="F61" s="22" t="s">
        <v>184</v>
      </c>
      <c r="G61" s="23" t="s">
        <v>184</v>
      </c>
      <c r="H61" s="17" t="s">
        <v>439</v>
      </c>
      <c r="I61" s="17" t="s">
        <v>438</v>
      </c>
      <c r="J61" s="17" t="s">
        <v>437</v>
      </c>
      <c r="K61" s="22" t="s">
        <v>184</v>
      </c>
      <c r="L61" s="16" t="s">
        <v>436</v>
      </c>
      <c r="M61" s="16" t="s">
        <v>435</v>
      </c>
      <c r="N61" s="15"/>
      <c r="O61" s="14"/>
    </row>
    <row r="62" spans="1:15" x14ac:dyDescent="0.3">
      <c r="A62" s="19">
        <v>44729</v>
      </c>
      <c r="B62" s="17" t="s">
        <v>434</v>
      </c>
      <c r="C62" s="17" t="s">
        <v>433</v>
      </c>
      <c r="D62" s="17" t="s">
        <v>432</v>
      </c>
      <c r="E62" s="17" t="s">
        <v>431</v>
      </c>
      <c r="F62" s="17" t="s">
        <v>430</v>
      </c>
      <c r="G62" s="18" t="s">
        <v>429</v>
      </c>
      <c r="H62" s="21" t="s">
        <v>51</v>
      </c>
      <c r="I62" s="21" t="s">
        <v>428</v>
      </c>
      <c r="J62" s="17" t="s">
        <v>427</v>
      </c>
      <c r="K62" s="17" t="s">
        <v>51</v>
      </c>
      <c r="L62" s="16"/>
      <c r="M62" s="16"/>
      <c r="N62" s="15"/>
      <c r="O62" s="14"/>
    </row>
    <row r="63" spans="1:15" x14ac:dyDescent="0.3">
      <c r="A63" s="19">
        <v>44729</v>
      </c>
      <c r="B63" s="17" t="s">
        <v>408</v>
      </c>
      <c r="C63" s="17" t="s">
        <v>407</v>
      </c>
      <c r="D63" s="17" t="s">
        <v>406</v>
      </c>
      <c r="E63" s="17" t="s">
        <v>426</v>
      </c>
      <c r="F63" s="17" t="s">
        <v>425</v>
      </c>
      <c r="G63" s="18" t="s">
        <v>424</v>
      </c>
      <c r="H63" s="17" t="s">
        <v>51</v>
      </c>
      <c r="I63" s="17" t="s">
        <v>238</v>
      </c>
      <c r="J63" s="18" t="s">
        <v>423</v>
      </c>
      <c r="K63" s="17" t="s">
        <v>73</v>
      </c>
      <c r="L63" s="16"/>
      <c r="M63" s="16"/>
      <c r="N63" s="15"/>
      <c r="O63" s="14"/>
    </row>
    <row r="64" spans="1:15" x14ac:dyDescent="0.3">
      <c r="A64" s="19">
        <v>44729</v>
      </c>
      <c r="B64" s="17" t="s">
        <v>408</v>
      </c>
      <c r="C64" s="17" t="s">
        <v>407</v>
      </c>
      <c r="D64" s="17" t="s">
        <v>406</v>
      </c>
      <c r="E64" s="17" t="s">
        <v>421</v>
      </c>
      <c r="F64" s="17" t="s">
        <v>422</v>
      </c>
      <c r="G64" s="18" t="s">
        <v>421</v>
      </c>
      <c r="H64" s="17" t="s">
        <v>51</v>
      </c>
      <c r="I64" s="17" t="s">
        <v>420</v>
      </c>
      <c r="J64" s="17" t="s">
        <v>419</v>
      </c>
      <c r="K64" s="17" t="s">
        <v>51</v>
      </c>
      <c r="L64" s="16"/>
      <c r="M64" s="16"/>
      <c r="N64" s="15"/>
      <c r="O64" s="14"/>
    </row>
    <row r="65" spans="1:15" x14ac:dyDescent="0.3">
      <c r="A65" s="19">
        <v>44729</v>
      </c>
      <c r="B65" s="17" t="s">
        <v>408</v>
      </c>
      <c r="C65" s="17" t="s">
        <v>407</v>
      </c>
      <c r="D65" s="17" t="s">
        <v>406</v>
      </c>
      <c r="E65" s="17" t="s">
        <v>418</v>
      </c>
      <c r="F65" s="17" t="s">
        <v>417</v>
      </c>
      <c r="G65" s="18" t="s">
        <v>416</v>
      </c>
      <c r="H65" s="17" t="s">
        <v>17</v>
      </c>
      <c r="I65" s="17" t="s">
        <v>415</v>
      </c>
      <c r="J65" s="17" t="s">
        <v>414</v>
      </c>
      <c r="K65" s="17" t="s">
        <v>17</v>
      </c>
      <c r="L65" s="16"/>
      <c r="M65" s="16"/>
      <c r="N65" s="15"/>
      <c r="O65" s="14"/>
    </row>
    <row r="66" spans="1:15" x14ac:dyDescent="0.3">
      <c r="A66" s="19">
        <v>44729</v>
      </c>
      <c r="B66" s="17" t="s">
        <v>408</v>
      </c>
      <c r="C66" s="17" t="s">
        <v>407</v>
      </c>
      <c r="D66" s="17" t="s">
        <v>406</v>
      </c>
      <c r="E66" s="17" t="s">
        <v>413</v>
      </c>
      <c r="F66" s="17" t="s">
        <v>412</v>
      </c>
      <c r="G66" s="18" t="s">
        <v>411</v>
      </c>
      <c r="H66" s="17" t="s">
        <v>17</v>
      </c>
      <c r="I66" s="17" t="s">
        <v>410</v>
      </c>
      <c r="J66" s="17" t="s">
        <v>409</v>
      </c>
      <c r="K66" s="17" t="s">
        <v>17</v>
      </c>
      <c r="L66" s="16"/>
      <c r="M66" s="16"/>
      <c r="N66" s="15"/>
      <c r="O66" s="14"/>
    </row>
    <row r="67" spans="1:15" x14ac:dyDescent="0.3">
      <c r="A67" s="19">
        <v>44729</v>
      </c>
      <c r="B67" s="17" t="s">
        <v>408</v>
      </c>
      <c r="C67" s="17" t="s">
        <v>407</v>
      </c>
      <c r="D67" s="17" t="s">
        <v>406</v>
      </c>
      <c r="E67" s="17" t="s">
        <v>405</v>
      </c>
      <c r="F67" s="17" t="s">
        <v>404</v>
      </c>
      <c r="G67" s="18" t="s">
        <v>403</v>
      </c>
      <c r="H67" s="21" t="s">
        <v>101</v>
      </c>
      <c r="I67" s="21" t="s">
        <v>402</v>
      </c>
      <c r="J67" s="17" t="s">
        <v>401</v>
      </c>
      <c r="K67" s="17" t="s">
        <v>101</v>
      </c>
      <c r="L67" s="16"/>
      <c r="M67" s="16"/>
      <c r="N67" s="15"/>
      <c r="O67" s="14"/>
    </row>
    <row r="68" spans="1:15" x14ac:dyDescent="0.3">
      <c r="A68" s="19">
        <v>44729</v>
      </c>
      <c r="B68" s="17" t="s">
        <v>382</v>
      </c>
      <c r="C68" s="17" t="s">
        <v>381</v>
      </c>
      <c r="D68" s="17" t="s">
        <v>380</v>
      </c>
      <c r="E68" s="17" t="s">
        <v>399</v>
      </c>
      <c r="F68" s="17" t="s">
        <v>400</v>
      </c>
      <c r="G68" s="18" t="s">
        <v>399</v>
      </c>
      <c r="H68" s="17" t="s">
        <v>289</v>
      </c>
      <c r="I68" s="17" t="s">
        <v>398</v>
      </c>
      <c r="J68" s="17" t="s">
        <v>397</v>
      </c>
      <c r="K68" s="22" t="s">
        <v>184</v>
      </c>
      <c r="L68" s="16" t="s">
        <v>375</v>
      </c>
      <c r="M68" s="16" t="s">
        <v>396</v>
      </c>
      <c r="N68" s="15"/>
      <c r="O68" s="14"/>
    </row>
    <row r="69" spans="1:15" x14ac:dyDescent="0.3">
      <c r="A69" s="19">
        <v>44729</v>
      </c>
      <c r="B69" s="17" t="s">
        <v>382</v>
      </c>
      <c r="C69" s="17" t="s">
        <v>381</v>
      </c>
      <c r="D69" s="17" t="s">
        <v>380</v>
      </c>
      <c r="E69" s="17" t="s">
        <v>395</v>
      </c>
      <c r="F69" s="17" t="s">
        <v>394</v>
      </c>
      <c r="G69" s="18" t="s">
        <v>393</v>
      </c>
      <c r="H69" s="17" t="s">
        <v>51</v>
      </c>
      <c r="I69" s="17" t="s">
        <v>392</v>
      </c>
      <c r="J69" s="17" t="s">
        <v>391</v>
      </c>
      <c r="K69" s="22" t="s">
        <v>184</v>
      </c>
      <c r="L69" s="16" t="s">
        <v>375</v>
      </c>
      <c r="M69" s="16" t="s">
        <v>374</v>
      </c>
      <c r="N69" s="15"/>
      <c r="O69" s="14"/>
    </row>
    <row r="70" spans="1:15" x14ac:dyDescent="0.3">
      <c r="A70" s="19">
        <v>44729</v>
      </c>
      <c r="B70" s="17" t="s">
        <v>382</v>
      </c>
      <c r="C70" s="17" t="s">
        <v>381</v>
      </c>
      <c r="D70" s="17" t="s">
        <v>380</v>
      </c>
      <c r="E70" s="17" t="s">
        <v>389</v>
      </c>
      <c r="F70" s="17" t="s">
        <v>390</v>
      </c>
      <c r="G70" s="18" t="s">
        <v>389</v>
      </c>
      <c r="H70" s="17" t="s">
        <v>17</v>
      </c>
      <c r="I70" s="17" t="s">
        <v>388</v>
      </c>
      <c r="J70" s="17" t="s">
        <v>387</v>
      </c>
      <c r="K70" s="22" t="s">
        <v>184</v>
      </c>
      <c r="L70" s="16" t="s">
        <v>375</v>
      </c>
      <c r="M70" s="16" t="s">
        <v>374</v>
      </c>
      <c r="N70" s="15"/>
      <c r="O70" s="14"/>
    </row>
    <row r="71" spans="1:15" x14ac:dyDescent="0.3">
      <c r="A71" s="19">
        <v>44729</v>
      </c>
      <c r="B71" s="17" t="s">
        <v>382</v>
      </c>
      <c r="C71" s="17" t="s">
        <v>381</v>
      </c>
      <c r="D71" s="17" t="s">
        <v>380</v>
      </c>
      <c r="E71" s="17" t="s">
        <v>385</v>
      </c>
      <c r="F71" s="17" t="s">
        <v>386</v>
      </c>
      <c r="G71" s="18" t="s">
        <v>385</v>
      </c>
      <c r="H71" s="17" t="s">
        <v>17</v>
      </c>
      <c r="I71" s="17" t="s">
        <v>384</v>
      </c>
      <c r="J71" s="17" t="s">
        <v>383</v>
      </c>
      <c r="K71" s="22" t="s">
        <v>184</v>
      </c>
      <c r="L71" s="16" t="s">
        <v>375</v>
      </c>
      <c r="M71" s="16" t="s">
        <v>374</v>
      </c>
      <c r="N71" s="15"/>
      <c r="O71" s="14"/>
    </row>
    <row r="72" spans="1:15" x14ac:dyDescent="0.3">
      <c r="A72" s="19">
        <v>44729</v>
      </c>
      <c r="B72" s="17" t="s">
        <v>382</v>
      </c>
      <c r="C72" s="17" t="s">
        <v>381</v>
      </c>
      <c r="D72" s="17" t="s">
        <v>380</v>
      </c>
      <c r="E72" s="17" t="s">
        <v>378</v>
      </c>
      <c r="F72" s="17" t="s">
        <v>379</v>
      </c>
      <c r="G72" s="18" t="s">
        <v>378</v>
      </c>
      <c r="H72" s="17" t="s">
        <v>101</v>
      </c>
      <c r="I72" s="17" t="s">
        <v>377</v>
      </c>
      <c r="J72" s="17" t="s">
        <v>376</v>
      </c>
      <c r="K72" s="22" t="s">
        <v>184</v>
      </c>
      <c r="L72" s="16" t="s">
        <v>375</v>
      </c>
      <c r="M72" s="16" t="s">
        <v>374</v>
      </c>
      <c r="N72" s="15"/>
      <c r="O72" s="14"/>
    </row>
    <row r="73" spans="1:15" x14ac:dyDescent="0.3">
      <c r="A73" s="19">
        <v>44729</v>
      </c>
      <c r="B73" s="17" t="s">
        <v>349</v>
      </c>
      <c r="C73" s="17" t="s">
        <v>348</v>
      </c>
      <c r="D73" s="17" t="s">
        <v>347</v>
      </c>
      <c r="E73" s="17" t="s">
        <v>373</v>
      </c>
      <c r="F73" s="17" t="s">
        <v>372</v>
      </c>
      <c r="G73" s="18" t="s">
        <v>371</v>
      </c>
      <c r="H73" s="17" t="s">
        <v>27</v>
      </c>
      <c r="I73" s="17" t="s">
        <v>370</v>
      </c>
      <c r="J73" s="17" t="s">
        <v>369</v>
      </c>
      <c r="K73" s="17" t="s">
        <v>73</v>
      </c>
      <c r="L73" s="16" t="s">
        <v>368</v>
      </c>
      <c r="M73" s="16"/>
      <c r="N73" s="15"/>
      <c r="O73" s="14"/>
    </row>
    <row r="74" spans="1:15" x14ac:dyDescent="0.3">
      <c r="A74" s="19">
        <v>44729</v>
      </c>
      <c r="B74" s="17" t="s">
        <v>349</v>
      </c>
      <c r="C74" s="17" t="s">
        <v>348</v>
      </c>
      <c r="D74" s="17" t="s">
        <v>347</v>
      </c>
      <c r="E74" s="17" t="s">
        <v>366</v>
      </c>
      <c r="F74" s="17" t="s">
        <v>367</v>
      </c>
      <c r="G74" s="18" t="s">
        <v>366</v>
      </c>
      <c r="H74" s="21" t="s">
        <v>17</v>
      </c>
      <c r="I74" s="21" t="s">
        <v>365</v>
      </c>
      <c r="J74" s="17" t="s">
        <v>364</v>
      </c>
      <c r="K74" s="17" t="s">
        <v>17</v>
      </c>
      <c r="L74" s="16"/>
      <c r="M74" s="16"/>
      <c r="N74" s="15"/>
      <c r="O74" s="14"/>
    </row>
    <row r="75" spans="1:15" x14ac:dyDescent="0.3">
      <c r="A75" s="19">
        <v>44729</v>
      </c>
      <c r="B75" s="17" t="s">
        <v>349</v>
      </c>
      <c r="C75" s="17" t="s">
        <v>348</v>
      </c>
      <c r="D75" s="17" t="s">
        <v>347</v>
      </c>
      <c r="E75" s="17" t="s">
        <v>363</v>
      </c>
      <c r="F75" s="17" t="s">
        <v>362</v>
      </c>
      <c r="G75" s="18" t="s">
        <v>361</v>
      </c>
      <c r="H75" s="17" t="s">
        <v>17</v>
      </c>
      <c r="I75" s="17" t="s">
        <v>360</v>
      </c>
      <c r="J75" s="17" t="s">
        <v>359</v>
      </c>
      <c r="K75" s="17" t="s">
        <v>17</v>
      </c>
      <c r="L75" s="16"/>
      <c r="M75" s="16"/>
      <c r="N75" s="15"/>
      <c r="O75" s="14"/>
    </row>
    <row r="76" spans="1:15" x14ac:dyDescent="0.3">
      <c r="A76" s="19">
        <v>44729</v>
      </c>
      <c r="B76" s="17" t="s">
        <v>349</v>
      </c>
      <c r="C76" s="17" t="s">
        <v>348</v>
      </c>
      <c r="D76" s="17" t="s">
        <v>347</v>
      </c>
      <c r="E76" s="17" t="s">
        <v>357</v>
      </c>
      <c r="F76" s="17" t="s">
        <v>358</v>
      </c>
      <c r="G76" s="18" t="s">
        <v>357</v>
      </c>
      <c r="H76" s="17" t="s">
        <v>51</v>
      </c>
      <c r="I76" s="17" t="s">
        <v>356</v>
      </c>
      <c r="J76" s="17" t="s">
        <v>355</v>
      </c>
      <c r="K76" s="17" t="s">
        <v>51</v>
      </c>
      <c r="L76" s="16"/>
      <c r="M76" s="16"/>
      <c r="N76" s="15"/>
      <c r="O76" s="14"/>
    </row>
    <row r="77" spans="1:15" x14ac:dyDescent="0.3">
      <c r="A77" s="19">
        <v>44729</v>
      </c>
      <c r="B77" s="17" t="s">
        <v>349</v>
      </c>
      <c r="C77" s="17" t="s">
        <v>348</v>
      </c>
      <c r="D77" s="17" t="s">
        <v>347</v>
      </c>
      <c r="E77" s="17" t="s">
        <v>354</v>
      </c>
      <c r="F77" s="17" t="s">
        <v>353</v>
      </c>
      <c r="G77" s="18" t="s">
        <v>352</v>
      </c>
      <c r="H77" s="17" t="s">
        <v>42</v>
      </c>
      <c r="I77" s="17" t="s">
        <v>351</v>
      </c>
      <c r="J77" s="17" t="s">
        <v>350</v>
      </c>
      <c r="K77" s="17" t="s">
        <v>42</v>
      </c>
      <c r="L77" s="16"/>
      <c r="M77" s="16"/>
      <c r="N77" s="16" t="s">
        <v>42</v>
      </c>
      <c r="O77" s="14"/>
    </row>
    <row r="78" spans="1:15" x14ac:dyDescent="0.3">
      <c r="A78" s="19">
        <v>44729</v>
      </c>
      <c r="B78" s="17" t="s">
        <v>349</v>
      </c>
      <c r="C78" s="17" t="s">
        <v>348</v>
      </c>
      <c r="D78" s="17" t="s">
        <v>347</v>
      </c>
      <c r="E78" s="18" t="s">
        <v>345</v>
      </c>
      <c r="F78" s="17" t="s">
        <v>346</v>
      </c>
      <c r="G78" s="18" t="s">
        <v>345</v>
      </c>
      <c r="H78" s="17" t="s">
        <v>101</v>
      </c>
      <c r="I78" s="17" t="s">
        <v>344</v>
      </c>
      <c r="J78" s="17" t="s">
        <v>343</v>
      </c>
      <c r="K78" s="17" t="s">
        <v>101</v>
      </c>
      <c r="L78" s="16"/>
      <c r="M78" s="16"/>
      <c r="N78" s="15"/>
      <c r="O78" s="14"/>
    </row>
    <row r="79" spans="1:15" ht="40.5" x14ac:dyDescent="0.3">
      <c r="A79" s="19">
        <v>44729</v>
      </c>
      <c r="B79" s="17" t="s">
        <v>337</v>
      </c>
      <c r="C79" s="17" t="s">
        <v>336</v>
      </c>
      <c r="D79" s="17" t="s">
        <v>335</v>
      </c>
      <c r="E79" s="17" t="s">
        <v>342</v>
      </c>
      <c r="F79" s="17" t="s">
        <v>341</v>
      </c>
      <c r="G79" s="18" t="s">
        <v>340</v>
      </c>
      <c r="H79" s="17" t="s">
        <v>27</v>
      </c>
      <c r="I79" s="17" t="s">
        <v>339</v>
      </c>
      <c r="J79" s="18" t="s">
        <v>338</v>
      </c>
      <c r="K79" s="17" t="s">
        <v>73</v>
      </c>
      <c r="L79" s="16"/>
      <c r="M79" s="16"/>
      <c r="N79" s="15"/>
      <c r="O79" s="14"/>
    </row>
    <row r="80" spans="1:15" ht="27" x14ac:dyDescent="0.3">
      <c r="A80" s="19">
        <v>44729</v>
      </c>
      <c r="B80" s="17" t="s">
        <v>337</v>
      </c>
      <c r="C80" s="17" t="s">
        <v>336</v>
      </c>
      <c r="D80" s="17" t="s">
        <v>335</v>
      </c>
      <c r="E80" s="17" t="s">
        <v>334</v>
      </c>
      <c r="F80" s="17" t="s">
        <v>333</v>
      </c>
      <c r="G80" s="18" t="s">
        <v>332</v>
      </c>
      <c r="H80" s="17" t="s">
        <v>27</v>
      </c>
      <c r="I80" s="17" t="s">
        <v>331</v>
      </c>
      <c r="J80" s="18" t="s">
        <v>330</v>
      </c>
      <c r="K80" s="17" t="s">
        <v>73</v>
      </c>
      <c r="L80" s="16"/>
      <c r="M80" s="16"/>
      <c r="N80" s="15"/>
      <c r="O80" s="14"/>
    </row>
    <row r="81" spans="1:15" ht="27" x14ac:dyDescent="0.3">
      <c r="A81" s="19">
        <v>44729</v>
      </c>
      <c r="B81" s="17" t="s">
        <v>300</v>
      </c>
      <c r="C81" s="17" t="s">
        <v>329</v>
      </c>
      <c r="D81" s="17" t="s">
        <v>328</v>
      </c>
      <c r="E81" s="17" t="s">
        <v>327</v>
      </c>
      <c r="F81" s="17" t="s">
        <v>326</v>
      </c>
      <c r="G81" s="18" t="s">
        <v>325</v>
      </c>
      <c r="H81" s="17" t="s">
        <v>324</v>
      </c>
      <c r="I81" s="18" t="s">
        <v>323</v>
      </c>
      <c r="J81" s="18" t="s">
        <v>322</v>
      </c>
      <c r="K81" s="17" t="s">
        <v>73</v>
      </c>
      <c r="L81" s="16"/>
      <c r="M81" s="16"/>
      <c r="N81" s="15"/>
      <c r="O81" s="14"/>
    </row>
    <row r="82" spans="1:15" ht="40.5" x14ac:dyDescent="0.3">
      <c r="A82" s="19">
        <v>44729</v>
      </c>
      <c r="B82" s="17" t="s">
        <v>300</v>
      </c>
      <c r="C82" s="17" t="s">
        <v>321</v>
      </c>
      <c r="D82" s="17" t="s">
        <v>320</v>
      </c>
      <c r="E82" s="17" t="s">
        <v>319</v>
      </c>
      <c r="F82" s="17" t="s">
        <v>318</v>
      </c>
      <c r="G82" s="18" t="s">
        <v>317</v>
      </c>
      <c r="H82" s="17" t="s">
        <v>316</v>
      </c>
      <c r="I82" s="18" t="s">
        <v>315</v>
      </c>
      <c r="J82" s="18" t="s">
        <v>314</v>
      </c>
      <c r="K82" s="17" t="s">
        <v>27</v>
      </c>
      <c r="L82" s="16"/>
      <c r="M82" s="16"/>
      <c r="N82" s="15"/>
      <c r="O82" s="14"/>
    </row>
    <row r="83" spans="1:15" x14ac:dyDescent="0.3">
      <c r="A83" s="19">
        <v>44729</v>
      </c>
      <c r="B83" s="17" t="s">
        <v>300</v>
      </c>
      <c r="C83" s="17" t="s">
        <v>313</v>
      </c>
      <c r="D83" s="17" t="s">
        <v>312</v>
      </c>
      <c r="E83" s="17" t="s">
        <v>310</v>
      </c>
      <c r="F83" s="17" t="s">
        <v>311</v>
      </c>
      <c r="G83" s="18" t="s">
        <v>310</v>
      </c>
      <c r="H83" s="17" t="s">
        <v>17</v>
      </c>
      <c r="I83" s="17" t="s">
        <v>309</v>
      </c>
      <c r="J83" s="17" t="s">
        <v>308</v>
      </c>
      <c r="K83" s="17" t="s">
        <v>17</v>
      </c>
      <c r="L83" s="16"/>
      <c r="M83" s="16"/>
      <c r="N83" s="15"/>
      <c r="O83" s="14"/>
    </row>
    <row r="84" spans="1:15" x14ac:dyDescent="0.3">
      <c r="A84" s="19">
        <v>44729</v>
      </c>
      <c r="B84" s="17" t="s">
        <v>300</v>
      </c>
      <c r="C84" s="17" t="s">
        <v>307</v>
      </c>
      <c r="D84" s="17" t="s">
        <v>306</v>
      </c>
      <c r="E84" s="17" t="s">
        <v>305</v>
      </c>
      <c r="F84" s="17" t="s">
        <v>304</v>
      </c>
      <c r="G84" s="18" t="s">
        <v>303</v>
      </c>
      <c r="H84" s="17" t="s">
        <v>17</v>
      </c>
      <c r="I84" s="17" t="s">
        <v>302</v>
      </c>
      <c r="J84" s="17" t="s">
        <v>301</v>
      </c>
      <c r="K84" s="17" t="s">
        <v>17</v>
      </c>
      <c r="L84" s="16"/>
      <c r="M84" s="16"/>
      <c r="N84" s="16" t="s">
        <v>17</v>
      </c>
      <c r="O84" s="14"/>
    </row>
    <row r="85" spans="1:15" ht="27" x14ac:dyDescent="0.3">
      <c r="A85" s="19">
        <v>44729</v>
      </c>
      <c r="B85" s="17" t="s">
        <v>300</v>
      </c>
      <c r="C85" s="17" t="s">
        <v>299</v>
      </c>
      <c r="D85" s="17" t="s">
        <v>298</v>
      </c>
      <c r="E85" s="17" t="s">
        <v>297</v>
      </c>
      <c r="F85" s="17" t="s">
        <v>296</v>
      </c>
      <c r="G85" s="18" t="s">
        <v>295</v>
      </c>
      <c r="H85" s="17" t="s">
        <v>294</v>
      </c>
      <c r="I85" s="18" t="s">
        <v>293</v>
      </c>
      <c r="J85" s="18" t="s">
        <v>292</v>
      </c>
      <c r="K85" s="17" t="s">
        <v>51</v>
      </c>
      <c r="L85" s="16"/>
      <c r="M85" s="16"/>
      <c r="N85" s="15"/>
      <c r="O85" s="14"/>
    </row>
    <row r="86" spans="1:15" x14ac:dyDescent="0.3">
      <c r="A86" s="19">
        <v>44732</v>
      </c>
      <c r="B86" s="17" t="s">
        <v>271</v>
      </c>
      <c r="C86" s="17" t="s">
        <v>286</v>
      </c>
      <c r="D86" s="17" t="s">
        <v>285</v>
      </c>
      <c r="E86" s="17" t="s">
        <v>291</v>
      </c>
      <c r="F86" s="22" t="s">
        <v>283</v>
      </c>
      <c r="G86" s="23" t="s">
        <v>290</v>
      </c>
      <c r="H86" s="17" t="s">
        <v>289</v>
      </c>
      <c r="I86" s="17" t="s">
        <v>288</v>
      </c>
      <c r="J86" s="17" t="s">
        <v>287</v>
      </c>
      <c r="K86" s="22" t="s">
        <v>51</v>
      </c>
      <c r="L86" s="16" t="s">
        <v>131</v>
      </c>
      <c r="M86" s="20" t="s">
        <v>130</v>
      </c>
      <c r="N86" s="15"/>
      <c r="O86" s="14"/>
    </row>
    <row r="87" spans="1:15" ht="27" x14ac:dyDescent="0.3">
      <c r="A87" s="19">
        <v>44732</v>
      </c>
      <c r="B87" s="17" t="s">
        <v>271</v>
      </c>
      <c r="C87" s="17" t="s">
        <v>286</v>
      </c>
      <c r="D87" s="17" t="s">
        <v>285</v>
      </c>
      <c r="E87" s="17" t="s">
        <v>284</v>
      </c>
      <c r="F87" s="22" t="s">
        <v>283</v>
      </c>
      <c r="G87" s="23" t="s">
        <v>282</v>
      </c>
      <c r="H87" s="17" t="s">
        <v>274</v>
      </c>
      <c r="I87" s="18" t="s">
        <v>281</v>
      </c>
      <c r="J87" s="18" t="s">
        <v>280</v>
      </c>
      <c r="K87" s="22" t="s">
        <v>27</v>
      </c>
      <c r="L87" s="20" t="s">
        <v>131</v>
      </c>
      <c r="M87" s="20" t="s">
        <v>130</v>
      </c>
      <c r="N87" s="15"/>
      <c r="O87" s="14"/>
    </row>
    <row r="88" spans="1:15" ht="27" x14ac:dyDescent="0.3">
      <c r="A88" s="19">
        <v>44732</v>
      </c>
      <c r="B88" s="17" t="s">
        <v>271</v>
      </c>
      <c r="C88" s="17" t="s">
        <v>279</v>
      </c>
      <c r="D88" s="17" t="s">
        <v>278</v>
      </c>
      <c r="E88" s="17" t="s">
        <v>277</v>
      </c>
      <c r="F88" s="17" t="s">
        <v>276</v>
      </c>
      <c r="G88" s="18" t="s">
        <v>275</v>
      </c>
      <c r="H88" s="17" t="s">
        <v>274</v>
      </c>
      <c r="I88" s="18" t="s">
        <v>273</v>
      </c>
      <c r="J88" s="18" t="s">
        <v>272</v>
      </c>
      <c r="K88" s="17" t="s">
        <v>27</v>
      </c>
      <c r="L88" s="16"/>
      <c r="M88" s="16"/>
      <c r="N88" s="15"/>
      <c r="O88" s="14"/>
    </row>
    <row r="89" spans="1:15" x14ac:dyDescent="0.3">
      <c r="A89" s="19">
        <v>44732</v>
      </c>
      <c r="B89" s="17" t="s">
        <v>271</v>
      </c>
      <c r="C89" s="17" t="s">
        <v>270</v>
      </c>
      <c r="D89" s="17" t="s">
        <v>269</v>
      </c>
      <c r="E89" s="17" t="s">
        <v>268</v>
      </c>
      <c r="F89" s="17" t="s">
        <v>267</v>
      </c>
      <c r="G89" s="18" t="s">
        <v>266</v>
      </c>
      <c r="H89" s="17" t="s">
        <v>51</v>
      </c>
      <c r="I89" s="17" t="s">
        <v>265</v>
      </c>
      <c r="J89" s="17" t="s">
        <v>264</v>
      </c>
      <c r="K89" s="17" t="s">
        <v>51</v>
      </c>
      <c r="L89" s="16"/>
      <c r="M89" s="16"/>
      <c r="N89" s="15"/>
      <c r="O89" s="14"/>
    </row>
    <row r="90" spans="1:15" x14ac:dyDescent="0.3">
      <c r="A90" s="19">
        <v>44732</v>
      </c>
      <c r="B90" s="17" t="s">
        <v>244</v>
      </c>
      <c r="C90" s="17" t="s">
        <v>243</v>
      </c>
      <c r="D90" s="17" t="s">
        <v>242</v>
      </c>
      <c r="E90" s="17" t="s">
        <v>263</v>
      </c>
      <c r="F90" s="22" t="s">
        <v>262</v>
      </c>
      <c r="G90" s="23" t="s">
        <v>261</v>
      </c>
      <c r="H90" s="17" t="s">
        <v>27</v>
      </c>
      <c r="I90" s="17" t="s">
        <v>260</v>
      </c>
      <c r="J90" s="17" t="s">
        <v>259</v>
      </c>
      <c r="K90" s="22" t="s">
        <v>27</v>
      </c>
      <c r="L90" s="16" t="s">
        <v>131</v>
      </c>
      <c r="M90" s="16" t="s">
        <v>130</v>
      </c>
      <c r="N90" s="15"/>
      <c r="O90" s="14"/>
    </row>
    <row r="91" spans="1:15" x14ac:dyDescent="0.3">
      <c r="A91" s="19">
        <v>44732</v>
      </c>
      <c r="B91" s="17" t="s">
        <v>244</v>
      </c>
      <c r="C91" s="17" t="s">
        <v>243</v>
      </c>
      <c r="D91" s="17" t="s">
        <v>242</v>
      </c>
      <c r="E91" s="17" t="s">
        <v>258</v>
      </c>
      <c r="F91" s="22" t="s">
        <v>257</v>
      </c>
      <c r="G91" s="23" t="s">
        <v>256</v>
      </c>
      <c r="H91" s="17" t="s">
        <v>27</v>
      </c>
      <c r="I91" s="17" t="s">
        <v>255</v>
      </c>
      <c r="J91" s="17" t="s">
        <v>254</v>
      </c>
      <c r="K91" s="22" t="s">
        <v>27</v>
      </c>
      <c r="L91" s="16" t="s">
        <v>131</v>
      </c>
      <c r="M91" s="16" t="s">
        <v>130</v>
      </c>
      <c r="N91" s="15"/>
      <c r="O91" s="14"/>
    </row>
    <row r="92" spans="1:15" x14ac:dyDescent="0.3">
      <c r="A92" s="19">
        <v>44732</v>
      </c>
      <c r="B92" s="17" t="s">
        <v>244</v>
      </c>
      <c r="C92" s="17" t="s">
        <v>243</v>
      </c>
      <c r="D92" s="17" t="s">
        <v>242</v>
      </c>
      <c r="E92" s="17" t="s">
        <v>253</v>
      </c>
      <c r="F92" s="22" t="s">
        <v>252</v>
      </c>
      <c r="G92" s="23" t="s">
        <v>251</v>
      </c>
      <c r="H92" s="17" t="s">
        <v>17</v>
      </c>
      <c r="I92" s="17" t="s">
        <v>250</v>
      </c>
      <c r="J92" s="17" t="s">
        <v>249</v>
      </c>
      <c r="K92" s="22" t="s">
        <v>17</v>
      </c>
      <c r="L92" s="16" t="s">
        <v>131</v>
      </c>
      <c r="M92" s="16" t="s">
        <v>130</v>
      </c>
      <c r="N92" s="15"/>
      <c r="O92" s="14"/>
    </row>
    <row r="93" spans="1:15" x14ac:dyDescent="0.3">
      <c r="A93" s="19">
        <v>44732</v>
      </c>
      <c r="B93" s="17" t="s">
        <v>244</v>
      </c>
      <c r="C93" s="17" t="s">
        <v>243</v>
      </c>
      <c r="D93" s="17" t="s">
        <v>242</v>
      </c>
      <c r="E93" s="17" t="s">
        <v>248</v>
      </c>
      <c r="F93" s="22" t="s">
        <v>247</v>
      </c>
      <c r="G93" s="23" t="s">
        <v>246</v>
      </c>
      <c r="H93" s="17" t="s">
        <v>51</v>
      </c>
      <c r="I93" s="17" t="s">
        <v>238</v>
      </c>
      <c r="J93" s="17" t="s">
        <v>245</v>
      </c>
      <c r="K93" s="22" t="s">
        <v>73</v>
      </c>
      <c r="L93" s="16" t="s">
        <v>131</v>
      </c>
      <c r="M93" s="16" t="s">
        <v>130</v>
      </c>
      <c r="N93" s="15"/>
      <c r="O93" s="14"/>
    </row>
    <row r="94" spans="1:15" x14ac:dyDescent="0.3">
      <c r="A94" s="19">
        <v>44732</v>
      </c>
      <c r="B94" s="17" t="s">
        <v>244</v>
      </c>
      <c r="C94" s="17" t="s">
        <v>243</v>
      </c>
      <c r="D94" s="17" t="s">
        <v>242</v>
      </c>
      <c r="E94" s="19" t="s">
        <v>241</v>
      </c>
      <c r="F94" s="17" t="s">
        <v>240</v>
      </c>
      <c r="G94" s="18" t="s">
        <v>239</v>
      </c>
      <c r="H94" s="17" t="s">
        <v>51</v>
      </c>
      <c r="I94" s="17" t="s">
        <v>238</v>
      </c>
      <c r="J94" s="17" t="s">
        <v>237</v>
      </c>
      <c r="K94" s="17" t="s">
        <v>73</v>
      </c>
      <c r="L94" s="16"/>
      <c r="M94" s="16"/>
      <c r="N94" s="15"/>
      <c r="O94" s="14"/>
    </row>
    <row r="95" spans="1:15" x14ac:dyDescent="0.3">
      <c r="A95" s="19">
        <v>44732</v>
      </c>
      <c r="B95" s="17" t="s">
        <v>232</v>
      </c>
      <c r="C95" s="17" t="s">
        <v>231</v>
      </c>
      <c r="D95" s="17" t="s">
        <v>230</v>
      </c>
      <c r="E95" s="17" t="s">
        <v>235</v>
      </c>
      <c r="F95" s="17" t="s">
        <v>236</v>
      </c>
      <c r="G95" s="18" t="s">
        <v>235</v>
      </c>
      <c r="H95" s="21" t="s">
        <v>51</v>
      </c>
      <c r="I95" s="21" t="s">
        <v>234</v>
      </c>
      <c r="J95" s="17" t="s">
        <v>233</v>
      </c>
      <c r="K95" s="17" t="s">
        <v>51</v>
      </c>
      <c r="L95" s="16"/>
      <c r="M95" s="16"/>
      <c r="N95" s="15"/>
      <c r="O95" s="14"/>
    </row>
    <row r="96" spans="1:15" x14ac:dyDescent="0.3">
      <c r="A96" s="19">
        <v>44732</v>
      </c>
      <c r="B96" s="17" t="s">
        <v>232</v>
      </c>
      <c r="C96" s="17" t="s">
        <v>231</v>
      </c>
      <c r="D96" s="17" t="s">
        <v>230</v>
      </c>
      <c r="E96" s="17" t="s">
        <v>229</v>
      </c>
      <c r="F96" s="17" t="s">
        <v>229</v>
      </c>
      <c r="G96" s="18" t="s">
        <v>228</v>
      </c>
      <c r="H96" s="17" t="s">
        <v>51</v>
      </c>
      <c r="I96" s="17" t="s">
        <v>227</v>
      </c>
      <c r="J96" s="17" t="s">
        <v>226</v>
      </c>
      <c r="K96" s="17" t="s">
        <v>51</v>
      </c>
      <c r="L96" s="16"/>
      <c r="M96" s="16"/>
      <c r="N96" s="15"/>
      <c r="O96" s="14"/>
    </row>
    <row r="97" spans="1:15" x14ac:dyDescent="0.3">
      <c r="A97" s="19">
        <v>44732</v>
      </c>
      <c r="B97" s="17" t="s">
        <v>209</v>
      </c>
      <c r="C97" s="17" t="s">
        <v>208</v>
      </c>
      <c r="D97" s="17" t="s">
        <v>207</v>
      </c>
      <c r="E97" s="17" t="s">
        <v>224</v>
      </c>
      <c r="F97" s="17" t="s">
        <v>225</v>
      </c>
      <c r="G97" s="18" t="s">
        <v>224</v>
      </c>
      <c r="H97" s="17" t="s">
        <v>27</v>
      </c>
      <c r="I97" s="17" t="s">
        <v>223</v>
      </c>
      <c r="J97" s="17" t="s">
        <v>222</v>
      </c>
      <c r="K97" s="17" t="s">
        <v>51</v>
      </c>
      <c r="L97" s="16"/>
      <c r="M97" s="16"/>
      <c r="N97" s="15"/>
      <c r="O97" s="14"/>
    </row>
    <row r="98" spans="1:15" ht="27" x14ac:dyDescent="0.3">
      <c r="A98" s="19">
        <v>44732</v>
      </c>
      <c r="B98" s="17" t="s">
        <v>209</v>
      </c>
      <c r="C98" s="17" t="s">
        <v>208</v>
      </c>
      <c r="D98" s="17" t="s">
        <v>207</v>
      </c>
      <c r="E98" s="17" t="s">
        <v>220</v>
      </c>
      <c r="F98" s="17" t="s">
        <v>221</v>
      </c>
      <c r="G98" s="18" t="s">
        <v>220</v>
      </c>
      <c r="H98" s="17" t="s">
        <v>27</v>
      </c>
      <c r="I98" s="18" t="s">
        <v>219</v>
      </c>
      <c r="J98" s="18" t="s">
        <v>218</v>
      </c>
      <c r="K98" s="17" t="s">
        <v>51</v>
      </c>
      <c r="L98" s="16"/>
      <c r="M98" s="16"/>
      <c r="N98" s="15"/>
      <c r="O98" s="14"/>
    </row>
    <row r="99" spans="1:15" ht="27" x14ac:dyDescent="0.3">
      <c r="A99" s="19">
        <v>44732</v>
      </c>
      <c r="B99" s="17" t="s">
        <v>209</v>
      </c>
      <c r="C99" s="17" t="s">
        <v>208</v>
      </c>
      <c r="D99" s="17" t="s">
        <v>207</v>
      </c>
      <c r="E99" s="17" t="s">
        <v>216</v>
      </c>
      <c r="F99" s="17" t="s">
        <v>217</v>
      </c>
      <c r="G99" s="18" t="s">
        <v>216</v>
      </c>
      <c r="H99" s="17" t="s">
        <v>17</v>
      </c>
      <c r="I99" s="18" t="s">
        <v>215</v>
      </c>
      <c r="J99" s="17" t="s">
        <v>214</v>
      </c>
      <c r="K99" s="17" t="s">
        <v>17</v>
      </c>
      <c r="L99" s="16"/>
      <c r="M99" s="16"/>
      <c r="N99" s="15"/>
      <c r="O99" s="14"/>
    </row>
    <row r="100" spans="1:15" ht="27" x14ac:dyDescent="0.3">
      <c r="A100" s="19">
        <v>44732</v>
      </c>
      <c r="B100" s="17" t="s">
        <v>209</v>
      </c>
      <c r="C100" s="17" t="s">
        <v>208</v>
      </c>
      <c r="D100" s="17" t="s">
        <v>207</v>
      </c>
      <c r="E100" s="17" t="s">
        <v>212</v>
      </c>
      <c r="F100" s="17" t="s">
        <v>213</v>
      </c>
      <c r="G100" s="18" t="s">
        <v>212</v>
      </c>
      <c r="H100" s="17" t="s">
        <v>101</v>
      </c>
      <c r="I100" s="18" t="s">
        <v>211</v>
      </c>
      <c r="J100" s="18" t="s">
        <v>210</v>
      </c>
      <c r="K100" s="17" t="s">
        <v>101</v>
      </c>
      <c r="L100" s="16"/>
      <c r="M100" s="16"/>
      <c r="N100" s="15"/>
      <c r="O100" s="14"/>
    </row>
    <row r="101" spans="1:15" ht="27" x14ac:dyDescent="0.3">
      <c r="A101" s="19">
        <v>44732</v>
      </c>
      <c r="B101" s="17" t="s">
        <v>209</v>
      </c>
      <c r="C101" s="17" t="s">
        <v>208</v>
      </c>
      <c r="D101" s="17" t="s">
        <v>207</v>
      </c>
      <c r="E101" s="17" t="s">
        <v>206</v>
      </c>
      <c r="F101" s="17" t="s">
        <v>205</v>
      </c>
      <c r="G101" s="18" t="s">
        <v>204</v>
      </c>
      <c r="H101" s="17" t="s">
        <v>203</v>
      </c>
      <c r="I101" s="18" t="s">
        <v>202</v>
      </c>
      <c r="J101" s="18" t="s">
        <v>201</v>
      </c>
      <c r="K101" s="17" t="s">
        <v>17</v>
      </c>
      <c r="L101" s="16"/>
      <c r="M101" s="16"/>
      <c r="N101" s="15"/>
      <c r="O101" s="14"/>
    </row>
    <row r="102" spans="1:15" ht="27" x14ac:dyDescent="0.3">
      <c r="A102" s="19">
        <v>44732</v>
      </c>
      <c r="B102" s="17" t="s">
        <v>200</v>
      </c>
      <c r="C102" s="17" t="s">
        <v>199</v>
      </c>
      <c r="D102" s="17" t="s">
        <v>198</v>
      </c>
      <c r="E102" s="17" t="s">
        <v>197</v>
      </c>
      <c r="F102" s="17" t="s">
        <v>196</v>
      </c>
      <c r="G102" s="18" t="s">
        <v>195</v>
      </c>
      <c r="H102" s="17" t="s">
        <v>194</v>
      </c>
      <c r="I102" s="18" t="s">
        <v>193</v>
      </c>
      <c r="J102" s="18" t="s">
        <v>192</v>
      </c>
      <c r="K102" s="17" t="s">
        <v>51</v>
      </c>
      <c r="L102" s="16"/>
      <c r="M102" s="16"/>
      <c r="N102" s="15"/>
      <c r="O102" s="14"/>
    </row>
    <row r="103" spans="1:15" x14ac:dyDescent="0.3">
      <c r="A103" s="19">
        <v>44732</v>
      </c>
      <c r="B103" s="17" t="s">
        <v>188</v>
      </c>
      <c r="C103" s="17" t="s">
        <v>187</v>
      </c>
      <c r="D103" s="17" t="s">
        <v>186</v>
      </c>
      <c r="E103" s="17" t="s">
        <v>191</v>
      </c>
      <c r="F103" s="22" t="s">
        <v>184</v>
      </c>
      <c r="G103" s="22" t="s">
        <v>184</v>
      </c>
      <c r="H103" s="17" t="s">
        <v>17</v>
      </c>
      <c r="I103" s="18" t="s">
        <v>190</v>
      </c>
      <c r="J103" s="17" t="s">
        <v>189</v>
      </c>
      <c r="K103" s="22" t="s">
        <v>17</v>
      </c>
      <c r="L103" s="16" t="s">
        <v>131</v>
      </c>
      <c r="M103" s="20" t="s">
        <v>181</v>
      </c>
      <c r="N103" s="15"/>
      <c r="O103" s="14"/>
    </row>
    <row r="104" spans="1:15" x14ac:dyDescent="0.3">
      <c r="A104" s="19">
        <v>44732</v>
      </c>
      <c r="B104" s="17" t="s">
        <v>188</v>
      </c>
      <c r="C104" s="17" t="s">
        <v>187</v>
      </c>
      <c r="D104" s="17" t="s">
        <v>186</v>
      </c>
      <c r="E104" s="17" t="s">
        <v>185</v>
      </c>
      <c r="F104" s="22" t="s">
        <v>184</v>
      </c>
      <c r="G104" s="22" t="s">
        <v>184</v>
      </c>
      <c r="H104" s="17" t="s">
        <v>17</v>
      </c>
      <c r="I104" s="17" t="s">
        <v>183</v>
      </c>
      <c r="J104" s="17" t="s">
        <v>182</v>
      </c>
      <c r="K104" s="22" t="s">
        <v>17</v>
      </c>
      <c r="L104" s="16" t="s">
        <v>131</v>
      </c>
      <c r="M104" s="20" t="s">
        <v>181</v>
      </c>
      <c r="N104" s="15"/>
      <c r="O104" s="14"/>
    </row>
    <row r="105" spans="1:15" x14ac:dyDescent="0.3">
      <c r="A105" s="19">
        <v>44732</v>
      </c>
      <c r="B105" s="17" t="s">
        <v>174</v>
      </c>
      <c r="C105" s="17" t="s">
        <v>173</v>
      </c>
      <c r="D105" s="17" t="s">
        <v>172</v>
      </c>
      <c r="E105" s="17" t="s">
        <v>178</v>
      </c>
      <c r="F105" s="17" t="s">
        <v>178</v>
      </c>
      <c r="G105" s="18" t="s">
        <v>170</v>
      </c>
      <c r="H105" s="17" t="s">
        <v>17</v>
      </c>
      <c r="I105" s="17" t="s">
        <v>180</v>
      </c>
      <c r="J105" s="17" t="s">
        <v>179</v>
      </c>
      <c r="K105" s="17" t="s">
        <v>17</v>
      </c>
      <c r="L105" s="16"/>
      <c r="M105" s="16"/>
      <c r="N105" s="15"/>
      <c r="O105" s="14"/>
    </row>
    <row r="106" spans="1:15" x14ac:dyDescent="0.3">
      <c r="A106" s="19">
        <v>44732</v>
      </c>
      <c r="B106" s="17" t="s">
        <v>174</v>
      </c>
      <c r="C106" s="17" t="s">
        <v>173</v>
      </c>
      <c r="D106" s="17" t="s">
        <v>172</v>
      </c>
      <c r="E106" s="17" t="s">
        <v>178</v>
      </c>
      <c r="F106" s="17" t="s">
        <v>178</v>
      </c>
      <c r="G106" s="18" t="s">
        <v>170</v>
      </c>
      <c r="H106" s="17" t="s">
        <v>17</v>
      </c>
      <c r="I106" s="17" t="s">
        <v>177</v>
      </c>
      <c r="J106" s="17" t="s">
        <v>176</v>
      </c>
      <c r="K106" s="17" t="s">
        <v>17</v>
      </c>
      <c r="L106" s="16" t="s">
        <v>175</v>
      </c>
      <c r="M106" s="16"/>
      <c r="N106" s="15"/>
      <c r="O106" s="14"/>
    </row>
    <row r="107" spans="1:15" x14ac:dyDescent="0.3">
      <c r="A107" s="19">
        <v>44732</v>
      </c>
      <c r="B107" s="17" t="s">
        <v>174</v>
      </c>
      <c r="C107" s="17" t="s">
        <v>173</v>
      </c>
      <c r="D107" s="17" t="s">
        <v>172</v>
      </c>
      <c r="E107" s="17" t="s">
        <v>171</v>
      </c>
      <c r="F107" s="17" t="s">
        <v>171</v>
      </c>
      <c r="G107" s="18" t="s">
        <v>170</v>
      </c>
      <c r="H107" s="21" t="s">
        <v>17</v>
      </c>
      <c r="I107" s="21" t="s">
        <v>169</v>
      </c>
      <c r="J107" s="17" t="s">
        <v>168</v>
      </c>
      <c r="K107" s="17" t="s">
        <v>17</v>
      </c>
      <c r="L107" s="16"/>
      <c r="M107" s="16"/>
      <c r="N107" s="15"/>
      <c r="O107" s="14"/>
    </row>
    <row r="108" spans="1:15" x14ac:dyDescent="0.3">
      <c r="A108" s="19">
        <v>44732</v>
      </c>
      <c r="B108" s="17" t="s">
        <v>147</v>
      </c>
      <c r="C108" s="17" t="s">
        <v>146</v>
      </c>
      <c r="D108" s="17" t="s">
        <v>145</v>
      </c>
      <c r="E108" s="17" t="s">
        <v>167</v>
      </c>
      <c r="F108" s="17" t="s">
        <v>166</v>
      </c>
      <c r="G108" s="18" t="s">
        <v>165</v>
      </c>
      <c r="H108" s="17" t="s">
        <v>51</v>
      </c>
      <c r="I108" s="17" t="s">
        <v>164</v>
      </c>
      <c r="J108" s="17" t="s">
        <v>163</v>
      </c>
      <c r="K108" s="17" t="s">
        <v>51</v>
      </c>
      <c r="L108" s="16"/>
      <c r="M108" s="16"/>
      <c r="N108" s="15"/>
      <c r="O108" s="14"/>
    </row>
    <row r="109" spans="1:15" x14ac:dyDescent="0.3">
      <c r="A109" s="19">
        <v>44732</v>
      </c>
      <c r="B109" s="17" t="s">
        <v>147</v>
      </c>
      <c r="C109" s="17" t="s">
        <v>146</v>
      </c>
      <c r="D109" s="17" t="s">
        <v>145</v>
      </c>
      <c r="E109" s="17" t="s">
        <v>162</v>
      </c>
      <c r="F109" s="17" t="s">
        <v>161</v>
      </c>
      <c r="G109" s="18" t="s">
        <v>160</v>
      </c>
      <c r="H109" s="17" t="s">
        <v>27</v>
      </c>
      <c r="I109" s="17" t="s">
        <v>159</v>
      </c>
      <c r="J109" s="17" t="s">
        <v>158</v>
      </c>
      <c r="K109" s="17" t="s">
        <v>27</v>
      </c>
      <c r="L109" s="16"/>
      <c r="M109" s="16"/>
      <c r="N109" s="15"/>
      <c r="O109" s="14"/>
    </row>
    <row r="110" spans="1:15" x14ac:dyDescent="0.3">
      <c r="A110" s="19">
        <v>44732</v>
      </c>
      <c r="B110" s="17" t="s">
        <v>147</v>
      </c>
      <c r="C110" s="17" t="s">
        <v>146</v>
      </c>
      <c r="D110" s="17" t="s">
        <v>145</v>
      </c>
      <c r="E110" s="17" t="s">
        <v>157</v>
      </c>
      <c r="F110" s="17" t="s">
        <v>156</v>
      </c>
      <c r="G110" s="18" t="s">
        <v>155</v>
      </c>
      <c r="H110" s="17" t="s">
        <v>17</v>
      </c>
      <c r="I110" s="17" t="s">
        <v>154</v>
      </c>
      <c r="J110" s="17" t="s">
        <v>153</v>
      </c>
      <c r="K110" s="17" t="s">
        <v>17</v>
      </c>
      <c r="L110" s="16"/>
      <c r="M110" s="16"/>
      <c r="N110" s="15"/>
      <c r="O110" s="14"/>
    </row>
    <row r="111" spans="1:15" x14ac:dyDescent="0.3">
      <c r="A111" s="19">
        <v>44732</v>
      </c>
      <c r="B111" s="17" t="s">
        <v>147</v>
      </c>
      <c r="C111" s="17" t="s">
        <v>146</v>
      </c>
      <c r="D111" s="17" t="s">
        <v>145</v>
      </c>
      <c r="E111" s="17" t="s">
        <v>152</v>
      </c>
      <c r="F111" s="17" t="s">
        <v>151</v>
      </c>
      <c r="G111" s="18" t="s">
        <v>150</v>
      </c>
      <c r="H111" s="17" t="s">
        <v>42</v>
      </c>
      <c r="I111" s="17" t="s">
        <v>149</v>
      </c>
      <c r="J111" s="17" t="s">
        <v>148</v>
      </c>
      <c r="K111" s="17" t="s">
        <v>42</v>
      </c>
      <c r="L111" s="16"/>
      <c r="M111" s="16"/>
      <c r="N111" s="15"/>
      <c r="O111" s="14"/>
    </row>
    <row r="112" spans="1:15" x14ac:dyDescent="0.3">
      <c r="A112" s="19">
        <v>44732</v>
      </c>
      <c r="B112" s="17" t="s">
        <v>147</v>
      </c>
      <c r="C112" s="17" t="s">
        <v>146</v>
      </c>
      <c r="D112" s="17" t="s">
        <v>145</v>
      </c>
      <c r="E112" s="17" t="s">
        <v>144</v>
      </c>
      <c r="F112" s="17" t="s">
        <v>143</v>
      </c>
      <c r="G112" s="18" t="s">
        <v>142</v>
      </c>
      <c r="H112" s="17" t="s">
        <v>42</v>
      </c>
      <c r="I112" s="17" t="s">
        <v>141</v>
      </c>
      <c r="J112" s="17" t="s">
        <v>140</v>
      </c>
      <c r="K112" s="17" t="s">
        <v>42</v>
      </c>
      <c r="L112" s="16"/>
      <c r="M112" s="16"/>
      <c r="N112" s="15"/>
      <c r="O112" s="14"/>
    </row>
    <row r="113" spans="1:15" ht="68.25" customHeight="1" x14ac:dyDescent="0.3">
      <c r="A113" s="19">
        <v>44732</v>
      </c>
      <c r="B113" s="17" t="s">
        <v>139</v>
      </c>
      <c r="C113" s="17" t="s">
        <v>138</v>
      </c>
      <c r="D113" s="17" t="s">
        <v>137</v>
      </c>
      <c r="E113" s="17" t="s">
        <v>136</v>
      </c>
      <c r="F113" s="22" t="s">
        <v>136</v>
      </c>
      <c r="G113" s="22" t="s">
        <v>135</v>
      </c>
      <c r="H113" s="17" t="s">
        <v>134</v>
      </c>
      <c r="I113" s="18" t="s">
        <v>133</v>
      </c>
      <c r="J113" s="18" t="s">
        <v>132</v>
      </c>
      <c r="K113" s="22" t="s">
        <v>73</v>
      </c>
      <c r="L113" s="16" t="s">
        <v>131</v>
      </c>
      <c r="M113" s="16" t="s">
        <v>130</v>
      </c>
      <c r="N113" s="15"/>
      <c r="O113" s="14"/>
    </row>
    <row r="114" spans="1:15" ht="27" x14ac:dyDescent="0.3">
      <c r="A114" s="19">
        <v>44732</v>
      </c>
      <c r="B114" s="17" t="s">
        <v>109</v>
      </c>
      <c r="C114" s="17" t="s">
        <v>108</v>
      </c>
      <c r="D114" s="17" t="s">
        <v>107</v>
      </c>
      <c r="E114" s="18" t="s">
        <v>129</v>
      </c>
      <c r="F114" s="17" t="s">
        <v>128</v>
      </c>
      <c r="G114" s="18" t="s">
        <v>127</v>
      </c>
      <c r="H114" s="17" t="s">
        <v>51</v>
      </c>
      <c r="I114" s="17" t="s">
        <v>126</v>
      </c>
      <c r="J114" s="17" t="s">
        <v>125</v>
      </c>
      <c r="K114" s="17" t="s">
        <v>51</v>
      </c>
      <c r="L114" s="16"/>
      <c r="M114" s="16"/>
      <c r="N114" s="16" t="s">
        <v>51</v>
      </c>
      <c r="O114" s="14"/>
    </row>
    <row r="115" spans="1:15" ht="27" x14ac:dyDescent="0.3">
      <c r="A115" s="19">
        <v>44732</v>
      </c>
      <c r="B115" s="17" t="s">
        <v>109</v>
      </c>
      <c r="C115" s="17" t="s">
        <v>108</v>
      </c>
      <c r="D115" s="17" t="s">
        <v>107</v>
      </c>
      <c r="E115" s="18" t="s">
        <v>124</v>
      </c>
      <c r="F115" s="17" t="s">
        <v>123</v>
      </c>
      <c r="G115" s="18" t="s">
        <v>122</v>
      </c>
      <c r="H115" s="17" t="s">
        <v>51</v>
      </c>
      <c r="I115" s="17" t="s">
        <v>121</v>
      </c>
      <c r="J115" s="17" t="s">
        <v>120</v>
      </c>
      <c r="K115" s="17" t="s">
        <v>73</v>
      </c>
      <c r="L115" s="16"/>
      <c r="M115" s="16"/>
      <c r="N115" s="15"/>
      <c r="O115" s="14"/>
    </row>
    <row r="116" spans="1:15" ht="27" x14ac:dyDescent="0.3">
      <c r="A116" s="19">
        <v>44732</v>
      </c>
      <c r="B116" s="17" t="s">
        <v>109</v>
      </c>
      <c r="C116" s="17" t="s">
        <v>108</v>
      </c>
      <c r="D116" s="17" t="s">
        <v>107</v>
      </c>
      <c r="E116" s="18" t="s">
        <v>119</v>
      </c>
      <c r="F116" s="17" t="s">
        <v>118</v>
      </c>
      <c r="G116" s="18" t="s">
        <v>117</v>
      </c>
      <c r="H116" s="17" t="s">
        <v>17</v>
      </c>
      <c r="I116" s="17" t="s">
        <v>116</v>
      </c>
      <c r="J116" s="17" t="s">
        <v>115</v>
      </c>
      <c r="K116" s="17" t="s">
        <v>17</v>
      </c>
      <c r="L116" s="16"/>
      <c r="M116" s="16"/>
      <c r="N116" s="15"/>
      <c r="O116" s="14"/>
    </row>
    <row r="117" spans="1:15" ht="27" x14ac:dyDescent="0.3">
      <c r="A117" s="19">
        <v>44732</v>
      </c>
      <c r="B117" s="17" t="s">
        <v>109</v>
      </c>
      <c r="C117" s="17" t="s">
        <v>108</v>
      </c>
      <c r="D117" s="17" t="s">
        <v>107</v>
      </c>
      <c r="E117" s="18" t="s">
        <v>114</v>
      </c>
      <c r="F117" s="17" t="s">
        <v>113</v>
      </c>
      <c r="G117" s="18" t="s">
        <v>112</v>
      </c>
      <c r="H117" s="17" t="s">
        <v>17</v>
      </c>
      <c r="I117" s="17" t="s">
        <v>111</v>
      </c>
      <c r="J117" s="17" t="s">
        <v>110</v>
      </c>
      <c r="K117" s="17" t="s">
        <v>17</v>
      </c>
      <c r="L117" s="16"/>
      <c r="M117" s="16"/>
      <c r="N117" s="16" t="s">
        <v>17</v>
      </c>
      <c r="O117" s="14"/>
    </row>
    <row r="118" spans="1:15" ht="27" x14ac:dyDescent="0.3">
      <c r="A118" s="19">
        <v>44732</v>
      </c>
      <c r="B118" s="17" t="s">
        <v>109</v>
      </c>
      <c r="C118" s="17" t="s">
        <v>108</v>
      </c>
      <c r="D118" s="17" t="s">
        <v>107</v>
      </c>
      <c r="E118" s="18" t="s">
        <v>106</v>
      </c>
      <c r="F118" s="17" t="s">
        <v>105</v>
      </c>
      <c r="G118" s="18" t="s">
        <v>104</v>
      </c>
      <c r="H118" s="17" t="s">
        <v>101</v>
      </c>
      <c r="I118" s="17" t="s">
        <v>103</v>
      </c>
      <c r="J118" s="17" t="s">
        <v>102</v>
      </c>
      <c r="K118" s="17" t="s">
        <v>101</v>
      </c>
      <c r="L118" s="16"/>
      <c r="M118" s="16"/>
      <c r="N118" s="16" t="s">
        <v>101</v>
      </c>
      <c r="O118" s="14"/>
    </row>
    <row r="119" spans="1:15" x14ac:dyDescent="0.3">
      <c r="A119" s="19">
        <v>44732</v>
      </c>
      <c r="B119" s="19" t="s">
        <v>100</v>
      </c>
      <c r="C119" s="19" t="s">
        <v>99</v>
      </c>
      <c r="D119" s="19" t="s">
        <v>98</v>
      </c>
      <c r="E119" s="19" t="s">
        <v>97</v>
      </c>
      <c r="F119" s="17" t="s">
        <v>96</v>
      </c>
      <c r="G119" s="18" t="s">
        <v>95</v>
      </c>
      <c r="H119" s="19" t="s">
        <v>27</v>
      </c>
      <c r="I119" s="19" t="s">
        <v>94</v>
      </c>
      <c r="J119" s="19" t="s">
        <v>93</v>
      </c>
      <c r="K119" s="19" t="s">
        <v>27</v>
      </c>
      <c r="L119" s="16"/>
      <c r="M119" s="16"/>
      <c r="N119" s="16" t="s">
        <v>27</v>
      </c>
      <c r="O119" s="14"/>
    </row>
    <row r="120" spans="1:15" x14ac:dyDescent="0.3">
      <c r="A120" s="19">
        <v>44732</v>
      </c>
      <c r="B120" s="17" t="s">
        <v>81</v>
      </c>
      <c r="C120" s="17" t="s">
        <v>80</v>
      </c>
      <c r="D120" s="17" t="s">
        <v>79</v>
      </c>
      <c r="E120" s="17" t="s">
        <v>92</v>
      </c>
      <c r="F120" s="17" t="s">
        <v>91</v>
      </c>
      <c r="G120" s="18" t="s">
        <v>90</v>
      </c>
      <c r="H120" s="17" t="s">
        <v>17</v>
      </c>
      <c r="I120" s="17" t="s">
        <v>86</v>
      </c>
      <c r="J120" s="18" t="s">
        <v>85</v>
      </c>
      <c r="K120" s="17" t="s">
        <v>17</v>
      </c>
      <c r="L120" s="16"/>
      <c r="M120" s="16"/>
      <c r="N120" s="15"/>
      <c r="O120" s="14"/>
    </row>
    <row r="121" spans="1:15" x14ac:dyDescent="0.3">
      <c r="A121" s="19">
        <v>44732</v>
      </c>
      <c r="B121" s="17" t="s">
        <v>81</v>
      </c>
      <c r="C121" s="17" t="s">
        <v>80</v>
      </c>
      <c r="D121" s="17" t="s">
        <v>79</v>
      </c>
      <c r="E121" s="17" t="s">
        <v>89</v>
      </c>
      <c r="F121" s="17" t="s">
        <v>88</v>
      </c>
      <c r="G121" s="18" t="s">
        <v>87</v>
      </c>
      <c r="H121" s="17" t="s">
        <v>17</v>
      </c>
      <c r="I121" s="17" t="s">
        <v>86</v>
      </c>
      <c r="J121" s="18" t="s">
        <v>85</v>
      </c>
      <c r="K121" s="17" t="s">
        <v>17</v>
      </c>
      <c r="L121" s="16"/>
      <c r="M121" s="16"/>
      <c r="N121" s="15"/>
      <c r="O121" s="14"/>
    </row>
    <row r="122" spans="1:15" x14ac:dyDescent="0.3">
      <c r="A122" s="19">
        <v>44732</v>
      </c>
      <c r="B122" s="17" t="s">
        <v>81</v>
      </c>
      <c r="C122" s="17" t="s">
        <v>80</v>
      </c>
      <c r="D122" s="17" t="s">
        <v>79</v>
      </c>
      <c r="E122" s="17" t="s">
        <v>84</v>
      </c>
      <c r="F122" s="17" t="s">
        <v>83</v>
      </c>
      <c r="G122" s="18" t="s">
        <v>82</v>
      </c>
      <c r="H122" s="17" t="s">
        <v>27</v>
      </c>
      <c r="I122" s="17" t="s">
        <v>75</v>
      </c>
      <c r="J122" s="17" t="s">
        <v>74</v>
      </c>
      <c r="K122" s="17" t="s">
        <v>73</v>
      </c>
      <c r="L122" s="16"/>
      <c r="M122" s="16"/>
      <c r="N122" s="15"/>
      <c r="O122" s="14"/>
    </row>
    <row r="123" spans="1:15" x14ac:dyDescent="0.3">
      <c r="A123" s="19">
        <v>44732</v>
      </c>
      <c r="B123" s="17" t="s">
        <v>81</v>
      </c>
      <c r="C123" s="17" t="s">
        <v>80</v>
      </c>
      <c r="D123" s="17" t="s">
        <v>79</v>
      </c>
      <c r="E123" s="17" t="s">
        <v>78</v>
      </c>
      <c r="F123" s="17" t="s">
        <v>77</v>
      </c>
      <c r="G123" s="18" t="s">
        <v>76</v>
      </c>
      <c r="H123" s="17" t="s">
        <v>27</v>
      </c>
      <c r="I123" s="17" t="s">
        <v>75</v>
      </c>
      <c r="J123" s="17" t="s">
        <v>74</v>
      </c>
      <c r="K123" s="17" t="s">
        <v>73</v>
      </c>
      <c r="L123" s="16"/>
      <c r="M123" s="16"/>
      <c r="N123" s="15"/>
      <c r="O123" s="14"/>
    </row>
    <row r="124" spans="1:15" x14ac:dyDescent="0.3">
      <c r="A124" s="19">
        <v>44732</v>
      </c>
      <c r="B124" s="17" t="s">
        <v>50</v>
      </c>
      <c r="C124" s="17" t="s">
        <v>49</v>
      </c>
      <c r="D124" s="17" t="s">
        <v>48</v>
      </c>
      <c r="E124" s="17" t="s">
        <v>72</v>
      </c>
      <c r="F124" s="17" t="s">
        <v>71</v>
      </c>
      <c r="G124" s="18" t="s">
        <v>70</v>
      </c>
      <c r="H124" s="17" t="s">
        <v>17</v>
      </c>
      <c r="I124" s="17" t="s">
        <v>69</v>
      </c>
      <c r="J124" s="17" t="s">
        <v>68</v>
      </c>
      <c r="K124" s="17" t="s">
        <v>17</v>
      </c>
      <c r="L124" s="16"/>
      <c r="M124" s="16"/>
      <c r="N124" s="15"/>
      <c r="O124" s="14"/>
    </row>
    <row r="125" spans="1:15" x14ac:dyDescent="0.3">
      <c r="A125" s="19">
        <v>44732</v>
      </c>
      <c r="B125" s="17" t="s">
        <v>50</v>
      </c>
      <c r="C125" s="17" t="s">
        <v>49</v>
      </c>
      <c r="D125" s="17" t="s">
        <v>48</v>
      </c>
      <c r="E125" s="17" t="s">
        <v>67</v>
      </c>
      <c r="F125" s="17" t="s">
        <v>66</v>
      </c>
      <c r="G125" s="18" t="s">
        <v>65</v>
      </c>
      <c r="H125" s="17" t="s">
        <v>27</v>
      </c>
      <c r="I125" s="17" t="s">
        <v>64</v>
      </c>
      <c r="J125" s="17" t="s">
        <v>63</v>
      </c>
      <c r="K125" s="17" t="s">
        <v>27</v>
      </c>
      <c r="L125" s="16"/>
      <c r="M125" s="16"/>
      <c r="N125" s="15"/>
      <c r="O125" s="14"/>
    </row>
    <row r="126" spans="1:15" ht="27" x14ac:dyDescent="0.3">
      <c r="A126" s="19">
        <v>44732</v>
      </c>
      <c r="B126" s="17" t="s">
        <v>50</v>
      </c>
      <c r="C126" s="17" t="s">
        <v>49</v>
      </c>
      <c r="D126" s="17" t="s">
        <v>48</v>
      </c>
      <c r="E126" s="17" t="s">
        <v>62</v>
      </c>
      <c r="F126" s="17" t="s">
        <v>61</v>
      </c>
      <c r="G126" s="18" t="s">
        <v>60</v>
      </c>
      <c r="H126" s="17" t="s">
        <v>59</v>
      </c>
      <c r="I126" s="18" t="s">
        <v>58</v>
      </c>
      <c r="J126" s="18" t="s">
        <v>57</v>
      </c>
      <c r="K126" s="17" t="s">
        <v>17</v>
      </c>
      <c r="L126" s="16"/>
      <c r="M126" s="16"/>
      <c r="N126" s="15"/>
      <c r="O126" s="14"/>
    </row>
    <row r="127" spans="1:15" x14ac:dyDescent="0.3">
      <c r="A127" s="19">
        <v>44732</v>
      </c>
      <c r="B127" s="17" t="s">
        <v>50</v>
      </c>
      <c r="C127" s="17" t="s">
        <v>49</v>
      </c>
      <c r="D127" s="17" t="s">
        <v>48</v>
      </c>
      <c r="E127" s="17" t="s">
        <v>56</v>
      </c>
      <c r="F127" s="17" t="s">
        <v>55</v>
      </c>
      <c r="G127" s="18" t="s">
        <v>54</v>
      </c>
      <c r="H127" s="21" t="s">
        <v>51</v>
      </c>
      <c r="I127" s="21" t="s">
        <v>53</v>
      </c>
      <c r="J127" s="17" t="s">
        <v>52</v>
      </c>
      <c r="K127" s="17" t="s">
        <v>51</v>
      </c>
      <c r="L127" s="16"/>
      <c r="M127" s="16"/>
      <c r="N127" s="15"/>
      <c r="O127" s="14"/>
    </row>
    <row r="128" spans="1:15" x14ac:dyDescent="0.3">
      <c r="A128" s="19">
        <v>44732</v>
      </c>
      <c r="B128" s="17" t="s">
        <v>50</v>
      </c>
      <c r="C128" s="17" t="s">
        <v>49</v>
      </c>
      <c r="D128" s="17" t="s">
        <v>48</v>
      </c>
      <c r="E128" s="17" t="s">
        <v>47</v>
      </c>
      <c r="F128" s="17" t="s">
        <v>46</v>
      </c>
      <c r="G128" s="18" t="s">
        <v>45</v>
      </c>
      <c r="H128" s="17" t="s">
        <v>42</v>
      </c>
      <c r="I128" s="17" t="s">
        <v>44</v>
      </c>
      <c r="J128" s="17" t="s">
        <v>43</v>
      </c>
      <c r="K128" s="17" t="s">
        <v>42</v>
      </c>
      <c r="L128" s="16"/>
      <c r="M128" s="16"/>
      <c r="N128" s="15"/>
      <c r="O128" s="14"/>
    </row>
    <row r="129" spans="1:15" x14ac:dyDescent="0.3">
      <c r="A129" s="19">
        <v>44734</v>
      </c>
      <c r="B129" s="17" t="s">
        <v>36</v>
      </c>
      <c r="C129" s="17" t="s">
        <v>35</v>
      </c>
      <c r="D129" s="17" t="s">
        <v>34</v>
      </c>
      <c r="E129" s="18" t="s">
        <v>41</v>
      </c>
      <c r="F129" s="17" t="s">
        <v>40</v>
      </c>
      <c r="G129" s="17" t="s">
        <v>39</v>
      </c>
      <c r="H129" s="17" t="s">
        <v>17</v>
      </c>
      <c r="I129" s="16" t="s">
        <v>38</v>
      </c>
      <c r="J129" s="16" t="s">
        <v>37</v>
      </c>
      <c r="K129" s="16" t="s">
        <v>17</v>
      </c>
      <c r="L129" s="15"/>
      <c r="M129" s="15"/>
      <c r="N129" s="15"/>
      <c r="O129" s="14"/>
    </row>
    <row r="130" spans="1:15" ht="27" x14ac:dyDescent="0.3">
      <c r="A130" s="19">
        <v>44734</v>
      </c>
      <c r="B130" s="17" t="s">
        <v>36</v>
      </c>
      <c r="C130" s="17" t="s">
        <v>35</v>
      </c>
      <c r="D130" s="17" t="s">
        <v>34</v>
      </c>
      <c r="E130" s="17" t="s">
        <v>33</v>
      </c>
      <c r="F130" s="17" t="s">
        <v>32</v>
      </c>
      <c r="G130" s="17" t="s">
        <v>31</v>
      </c>
      <c r="H130" s="17" t="s">
        <v>30</v>
      </c>
      <c r="I130" s="20" t="s">
        <v>29</v>
      </c>
      <c r="J130" s="20" t="s">
        <v>28</v>
      </c>
      <c r="K130" s="16" t="s">
        <v>27</v>
      </c>
      <c r="L130" s="15"/>
      <c r="M130" s="15"/>
      <c r="N130" s="15"/>
      <c r="O130" s="14"/>
    </row>
    <row r="131" spans="1:15" ht="27" x14ac:dyDescent="0.3">
      <c r="A131" s="19">
        <v>44734</v>
      </c>
      <c r="B131" s="17" t="s">
        <v>26</v>
      </c>
      <c r="C131" s="18" t="s">
        <v>25</v>
      </c>
      <c r="D131" s="18" t="s">
        <v>24</v>
      </c>
      <c r="E131" s="18" t="s">
        <v>23</v>
      </c>
      <c r="F131" s="17" t="s">
        <v>22</v>
      </c>
      <c r="G131" s="17" t="s">
        <v>21</v>
      </c>
      <c r="H131" s="17" t="s">
        <v>20</v>
      </c>
      <c r="I131" s="16" t="s">
        <v>19</v>
      </c>
      <c r="J131" s="16" t="s">
        <v>18</v>
      </c>
      <c r="K131" s="16" t="s">
        <v>17</v>
      </c>
      <c r="L131" s="15"/>
      <c r="M131" s="15"/>
      <c r="N131" s="15"/>
      <c r="O131" s="14"/>
    </row>
    <row r="132" spans="1:15" x14ac:dyDescent="0.3">
      <c r="A132" s="13"/>
      <c r="B132" s="13"/>
      <c r="C132" s="13"/>
      <c r="D132" s="13"/>
      <c r="E132" s="13"/>
      <c r="F132" s="13"/>
      <c r="G132" s="13"/>
      <c r="H132" s="13"/>
      <c r="I132" s="12"/>
      <c r="J132" s="12"/>
      <c r="K132" s="12"/>
      <c r="L132" s="12"/>
      <c r="M132" s="12"/>
      <c r="N132" s="12"/>
    </row>
    <row r="1048359" spans="14:14" x14ac:dyDescent="0.3">
      <c r="N1048359" s="11"/>
    </row>
    <row r="1048360" spans="14:14" x14ac:dyDescent="0.3">
      <c r="N1048360" s="10"/>
    </row>
    <row r="1048361" spans="14:14" x14ac:dyDescent="0.3">
      <c r="N1048361" s="10"/>
    </row>
    <row r="1048362" spans="14:14" x14ac:dyDescent="0.3">
      <c r="N1048362" s="10"/>
    </row>
    <row r="1048363" spans="14:14" x14ac:dyDescent="0.3">
      <c r="N1048363" s="10"/>
    </row>
    <row r="1048364" spans="14:14" x14ac:dyDescent="0.3">
      <c r="N1048364" s="10"/>
    </row>
    <row r="1048365" spans="14:14" x14ac:dyDescent="0.3">
      <c r="N1048365" s="10"/>
    </row>
    <row r="1048366" spans="14:14" x14ac:dyDescent="0.3">
      <c r="N1048366" s="10"/>
    </row>
    <row r="1048367" spans="14:14" x14ac:dyDescent="0.3">
      <c r="N1048367" s="10"/>
    </row>
    <row r="1048368" spans="14:14" x14ac:dyDescent="0.3">
      <c r="N1048368" s="10"/>
    </row>
    <row r="1048369" spans="14:14" x14ac:dyDescent="0.3">
      <c r="N1048369" s="10"/>
    </row>
    <row r="1048370" spans="14:14" x14ac:dyDescent="0.3">
      <c r="N1048370" s="10"/>
    </row>
    <row r="1048371" spans="14:14" x14ac:dyDescent="0.3">
      <c r="N1048371" s="10"/>
    </row>
    <row r="1048477" spans="14:14" x14ac:dyDescent="0.3">
      <c r="N1048477" s="11"/>
    </row>
    <row r="1048478" spans="14:14" x14ac:dyDescent="0.3">
      <c r="N1048478" s="10"/>
    </row>
  </sheetData>
  <autoFilter ref="A1:AA131" xr:uid="{8ACC4276-F931-4169-97F1-FC73E61B4A18}"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303B2-DE8A-4DA5-B1AC-91840625F95B}">
  <sheetPr codeName="Sheet3" filterMode="1">
    <tabColor rgb="FFFFC000"/>
  </sheetPr>
  <dimension ref="A1:N1048471"/>
  <sheetViews>
    <sheetView zoomScaleNormal="100" workbookViewId="0">
      <pane ySplit="1" topLeftCell="A2" activePane="bottomLeft" state="frozen"/>
      <selection activeCell="F4" sqref="F4"/>
      <selection pane="bottomLeft" activeCell="B43" sqref="B43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7" width="9" style="8"/>
    <col min="18" max="18" width="8.625" style="8" bestFit="1" customWidth="1"/>
    <col min="19" max="19" width="12.375" style="8" bestFit="1" customWidth="1"/>
    <col min="20" max="16384" width="9" style="8"/>
  </cols>
  <sheetData>
    <row r="1" spans="1:14" x14ac:dyDescent="0.3">
      <c r="A1" s="11" t="s">
        <v>805</v>
      </c>
      <c r="B1" s="11" t="s">
        <v>804</v>
      </c>
      <c r="C1" s="11" t="s">
        <v>803</v>
      </c>
      <c r="D1" s="11" t="s">
        <v>802</v>
      </c>
      <c r="E1" s="11" t="s">
        <v>801</v>
      </c>
      <c r="F1" s="11" t="s">
        <v>800</v>
      </c>
      <c r="G1" s="11" t="s">
        <v>799</v>
      </c>
      <c r="H1" s="11" t="s">
        <v>798</v>
      </c>
      <c r="I1" s="51" t="s">
        <v>797</v>
      </c>
      <c r="J1" s="51" t="s">
        <v>796</v>
      </c>
      <c r="K1" s="11" t="s">
        <v>795</v>
      </c>
      <c r="L1" s="11" t="s">
        <v>794</v>
      </c>
      <c r="M1" s="50" t="s">
        <v>793</v>
      </c>
      <c r="N1" s="49" t="s">
        <v>792</v>
      </c>
    </row>
    <row r="2" spans="1:14" ht="58.5" hidden="1" customHeight="1" x14ac:dyDescent="0.3">
      <c r="A2" s="39">
        <v>44721</v>
      </c>
      <c r="B2" s="38" t="s">
        <v>791</v>
      </c>
      <c r="C2" s="38" t="s">
        <v>790</v>
      </c>
      <c r="D2" s="38" t="s">
        <v>789</v>
      </c>
      <c r="E2" s="38" t="s">
        <v>788</v>
      </c>
      <c r="F2" s="9" t="s">
        <v>787</v>
      </c>
      <c r="G2" s="9" t="s">
        <v>786</v>
      </c>
      <c r="H2" s="38" t="s">
        <v>30</v>
      </c>
      <c r="I2" s="41" t="s">
        <v>785</v>
      </c>
      <c r="J2" s="41" t="s">
        <v>784</v>
      </c>
      <c r="K2" s="38" t="s">
        <v>17</v>
      </c>
      <c r="L2" s="28"/>
      <c r="M2" s="28"/>
      <c r="N2" s="10"/>
    </row>
    <row r="3" spans="1:14" hidden="1" x14ac:dyDescent="0.3">
      <c r="A3" s="39">
        <v>44722</v>
      </c>
      <c r="B3" s="38" t="s">
        <v>769</v>
      </c>
      <c r="C3" s="38" t="s">
        <v>768</v>
      </c>
      <c r="D3" s="38" t="s">
        <v>767</v>
      </c>
      <c r="E3" s="38" t="s">
        <v>781</v>
      </c>
      <c r="F3" s="9" t="s">
        <v>780</v>
      </c>
      <c r="G3" s="9" t="s">
        <v>779</v>
      </c>
      <c r="H3" s="38" t="s">
        <v>778</v>
      </c>
      <c r="I3" s="41" t="s">
        <v>777</v>
      </c>
      <c r="J3" s="41" t="s">
        <v>776</v>
      </c>
      <c r="K3" s="38" t="s">
        <v>27</v>
      </c>
      <c r="L3" s="28" t="s">
        <v>175</v>
      </c>
      <c r="M3" s="28"/>
      <c r="N3" s="10"/>
    </row>
    <row r="4" spans="1:14" hidden="1" x14ac:dyDescent="0.3">
      <c r="A4" s="39">
        <v>44722</v>
      </c>
      <c r="B4" s="38" t="s">
        <v>769</v>
      </c>
      <c r="C4" s="38" t="s">
        <v>768</v>
      </c>
      <c r="D4" s="38" t="s">
        <v>767</v>
      </c>
      <c r="E4" s="41" t="s">
        <v>775</v>
      </c>
      <c r="F4" s="35" t="s">
        <v>774</v>
      </c>
      <c r="G4" s="35" t="s">
        <v>773</v>
      </c>
      <c r="H4" s="38" t="s">
        <v>27</v>
      </c>
      <c r="I4" s="41" t="s">
        <v>772</v>
      </c>
      <c r="J4" s="41" t="s">
        <v>771</v>
      </c>
      <c r="K4" s="38" t="s">
        <v>27</v>
      </c>
      <c r="L4" s="28"/>
      <c r="M4" s="28"/>
      <c r="N4" s="10"/>
    </row>
    <row r="5" spans="1:14" hidden="1" x14ac:dyDescent="0.3">
      <c r="A5" s="39">
        <v>44722</v>
      </c>
      <c r="B5" s="38" t="s">
        <v>769</v>
      </c>
      <c r="C5" s="38" t="s">
        <v>768</v>
      </c>
      <c r="D5" s="38" t="s">
        <v>767</v>
      </c>
      <c r="E5" s="41" t="s">
        <v>765</v>
      </c>
      <c r="F5" s="35" t="s">
        <v>766</v>
      </c>
      <c r="G5" s="35" t="s">
        <v>765</v>
      </c>
      <c r="H5" s="38" t="s">
        <v>27</v>
      </c>
      <c r="I5" s="41" t="s">
        <v>764</v>
      </c>
      <c r="J5" s="41" t="s">
        <v>763</v>
      </c>
      <c r="K5" s="38" t="s">
        <v>27</v>
      </c>
      <c r="L5" s="28"/>
      <c r="M5" s="28"/>
      <c r="N5" s="10"/>
    </row>
    <row r="6" spans="1:14" hidden="1" x14ac:dyDescent="0.3">
      <c r="A6" s="39">
        <v>44722</v>
      </c>
      <c r="B6" s="38" t="s">
        <v>757</v>
      </c>
      <c r="C6" s="38" t="s">
        <v>756</v>
      </c>
      <c r="D6" s="38" t="s">
        <v>755</v>
      </c>
      <c r="E6" s="38" t="s">
        <v>762</v>
      </c>
      <c r="F6" s="9" t="s">
        <v>761</v>
      </c>
      <c r="G6" s="9" t="s">
        <v>760</v>
      </c>
      <c r="H6" s="38" t="s">
        <v>42</v>
      </c>
      <c r="I6" s="41" t="s">
        <v>759</v>
      </c>
      <c r="J6" s="41" t="s">
        <v>758</v>
      </c>
      <c r="K6" s="38" t="s">
        <v>42</v>
      </c>
      <c r="L6" s="28"/>
      <c r="M6" s="28"/>
      <c r="N6" s="10"/>
    </row>
    <row r="7" spans="1:14" hidden="1" x14ac:dyDescent="0.3">
      <c r="A7" s="39">
        <v>44722</v>
      </c>
      <c r="B7" s="38" t="s">
        <v>757</v>
      </c>
      <c r="C7" s="38" t="s">
        <v>756</v>
      </c>
      <c r="D7" s="38" t="s">
        <v>755</v>
      </c>
      <c r="E7" s="41" t="s">
        <v>754</v>
      </c>
      <c r="F7" s="35" t="s">
        <v>753</v>
      </c>
      <c r="G7" s="35" t="s">
        <v>752</v>
      </c>
      <c r="H7" s="38" t="s">
        <v>42</v>
      </c>
      <c r="I7" s="41" t="s">
        <v>751</v>
      </c>
      <c r="J7" s="41" t="s">
        <v>750</v>
      </c>
      <c r="K7" s="38" t="s">
        <v>42</v>
      </c>
      <c r="L7" s="28"/>
      <c r="M7" s="28"/>
      <c r="N7" s="10" t="s">
        <v>42</v>
      </c>
    </row>
    <row r="8" spans="1:14" hidden="1" x14ac:dyDescent="0.3">
      <c r="A8" s="39">
        <v>44722</v>
      </c>
      <c r="B8" s="38" t="s">
        <v>730</v>
      </c>
      <c r="C8" s="38" t="s">
        <v>729</v>
      </c>
      <c r="D8" s="38" t="s">
        <v>728</v>
      </c>
      <c r="E8" s="38" t="s">
        <v>749</v>
      </c>
      <c r="F8" s="9" t="s">
        <v>748</v>
      </c>
      <c r="G8" s="35" t="s">
        <v>747</v>
      </c>
      <c r="H8" s="38" t="s">
        <v>683</v>
      </c>
      <c r="I8" s="41" t="s">
        <v>746</v>
      </c>
      <c r="J8" s="41" t="s">
        <v>745</v>
      </c>
      <c r="K8" s="38" t="s">
        <v>683</v>
      </c>
      <c r="L8" s="28"/>
      <c r="M8" s="28"/>
      <c r="N8" s="10"/>
    </row>
    <row r="9" spans="1:14" hidden="1" x14ac:dyDescent="0.3">
      <c r="A9" s="39">
        <v>44722</v>
      </c>
      <c r="B9" s="38" t="s">
        <v>730</v>
      </c>
      <c r="C9" s="38" t="s">
        <v>729</v>
      </c>
      <c r="D9" s="38" t="s">
        <v>728</v>
      </c>
      <c r="E9" s="38" t="s">
        <v>744</v>
      </c>
      <c r="F9" s="9" t="s">
        <v>743</v>
      </c>
      <c r="G9" s="35" t="s">
        <v>742</v>
      </c>
      <c r="H9" s="38" t="s">
        <v>101</v>
      </c>
      <c r="I9" s="41" t="s">
        <v>741</v>
      </c>
      <c r="J9" s="41" t="s">
        <v>736</v>
      </c>
      <c r="K9" s="38" t="s">
        <v>101</v>
      </c>
      <c r="L9" s="28"/>
      <c r="M9" s="28"/>
      <c r="N9" s="10"/>
    </row>
    <row r="10" spans="1:14" hidden="1" x14ac:dyDescent="0.3">
      <c r="A10" s="39">
        <v>44722</v>
      </c>
      <c r="B10" s="38" t="s">
        <v>730</v>
      </c>
      <c r="C10" s="38" t="s">
        <v>729</v>
      </c>
      <c r="D10" s="38" t="s">
        <v>728</v>
      </c>
      <c r="E10" s="38" t="s">
        <v>740</v>
      </c>
      <c r="F10" s="9" t="s">
        <v>739</v>
      </c>
      <c r="G10" s="35" t="s">
        <v>738</v>
      </c>
      <c r="H10" s="38" t="s">
        <v>101</v>
      </c>
      <c r="I10" s="41" t="s">
        <v>737</v>
      </c>
      <c r="J10" s="41" t="s">
        <v>736</v>
      </c>
      <c r="K10" s="38" t="s">
        <v>101</v>
      </c>
      <c r="L10" s="28"/>
      <c r="M10" s="28"/>
      <c r="N10" s="10"/>
    </row>
    <row r="11" spans="1:14" hidden="1" x14ac:dyDescent="0.3">
      <c r="A11" s="39">
        <v>44722</v>
      </c>
      <c r="B11" s="38" t="s">
        <v>730</v>
      </c>
      <c r="C11" s="38" t="s">
        <v>729</v>
      </c>
      <c r="D11" s="38" t="s">
        <v>728</v>
      </c>
      <c r="E11" s="38" t="s">
        <v>735</v>
      </c>
      <c r="F11" s="9" t="s">
        <v>734</v>
      </c>
      <c r="G11" s="35" t="s">
        <v>733</v>
      </c>
      <c r="H11" s="38" t="s">
        <v>17</v>
      </c>
      <c r="I11" s="41" t="s">
        <v>732</v>
      </c>
      <c r="J11" s="41" t="s">
        <v>731</v>
      </c>
      <c r="K11" s="38" t="s">
        <v>17</v>
      </c>
      <c r="L11" s="28"/>
      <c r="M11" s="28"/>
      <c r="N11" s="10"/>
    </row>
    <row r="12" spans="1:14" hidden="1" x14ac:dyDescent="0.3">
      <c r="A12" s="39">
        <v>44722</v>
      </c>
      <c r="B12" s="38" t="s">
        <v>730</v>
      </c>
      <c r="C12" s="38" t="s">
        <v>729</v>
      </c>
      <c r="D12" s="38" t="s">
        <v>728</v>
      </c>
      <c r="E12" s="38" t="s">
        <v>727</v>
      </c>
      <c r="F12" s="9" t="s">
        <v>726</v>
      </c>
      <c r="G12" s="35" t="s">
        <v>725</v>
      </c>
      <c r="H12" s="38" t="s">
        <v>17</v>
      </c>
      <c r="I12" s="41" t="s">
        <v>724</v>
      </c>
      <c r="J12" s="41" t="s">
        <v>723</v>
      </c>
      <c r="K12" s="38" t="s">
        <v>17</v>
      </c>
      <c r="L12" s="28"/>
      <c r="M12" s="28"/>
      <c r="N12" s="10"/>
    </row>
    <row r="13" spans="1:14" ht="27" x14ac:dyDescent="0.3">
      <c r="A13" s="36">
        <v>44727</v>
      </c>
      <c r="B13" s="36" t="s">
        <v>722</v>
      </c>
      <c r="C13" s="36" t="s">
        <v>721</v>
      </c>
      <c r="D13" s="36" t="s">
        <v>720</v>
      </c>
      <c r="E13" s="36" t="s">
        <v>719</v>
      </c>
      <c r="F13" s="9" t="s">
        <v>718</v>
      </c>
      <c r="G13" s="35" t="s">
        <v>717</v>
      </c>
      <c r="H13" s="36" t="s">
        <v>716</v>
      </c>
      <c r="I13" s="48" t="s">
        <v>715</v>
      </c>
      <c r="J13" s="48" t="s">
        <v>714</v>
      </c>
      <c r="K13" s="42" t="s">
        <v>101</v>
      </c>
      <c r="L13" s="10" t="s">
        <v>659</v>
      </c>
      <c r="M13" s="37" t="s">
        <v>713</v>
      </c>
      <c r="N13" s="10"/>
    </row>
    <row r="14" spans="1:14" ht="27" hidden="1" x14ac:dyDescent="0.3">
      <c r="A14" s="36">
        <v>44727</v>
      </c>
      <c r="B14" s="9" t="s">
        <v>712</v>
      </c>
      <c r="C14" s="9" t="s">
        <v>711</v>
      </c>
      <c r="D14" s="9" t="s">
        <v>710</v>
      </c>
      <c r="E14" s="9" t="s">
        <v>708</v>
      </c>
      <c r="F14" s="9" t="s">
        <v>709</v>
      </c>
      <c r="G14" s="35" t="s">
        <v>708</v>
      </c>
      <c r="H14" s="9" t="s">
        <v>707</v>
      </c>
      <c r="I14" s="35" t="s">
        <v>706</v>
      </c>
      <c r="J14" s="35" t="s">
        <v>705</v>
      </c>
      <c r="K14" s="9" t="s">
        <v>101</v>
      </c>
      <c r="L14" s="10"/>
      <c r="M14" s="10"/>
      <c r="N14" s="10" t="s">
        <v>101</v>
      </c>
    </row>
    <row r="15" spans="1:14" hidden="1" x14ac:dyDescent="0.3">
      <c r="A15" s="39">
        <v>44727</v>
      </c>
      <c r="B15" s="39" t="s">
        <v>704</v>
      </c>
      <c r="C15" s="39" t="s">
        <v>703</v>
      </c>
      <c r="D15" s="39" t="s">
        <v>702</v>
      </c>
      <c r="E15" s="39" t="s">
        <v>701</v>
      </c>
      <c r="F15" s="9" t="s">
        <v>700</v>
      </c>
      <c r="G15" s="35" t="s">
        <v>699</v>
      </c>
      <c r="H15" s="39" t="s">
        <v>17</v>
      </c>
      <c r="I15" s="39" t="s">
        <v>698</v>
      </c>
      <c r="J15" s="39" t="s">
        <v>697</v>
      </c>
      <c r="K15" s="39" t="s">
        <v>17</v>
      </c>
      <c r="L15" s="28"/>
      <c r="M15" s="28"/>
      <c r="N15" s="10" t="s">
        <v>17</v>
      </c>
    </row>
    <row r="16" spans="1:14" ht="27" hidden="1" x14ac:dyDescent="0.3">
      <c r="A16" s="39">
        <v>44727</v>
      </c>
      <c r="B16" s="39" t="s">
        <v>696</v>
      </c>
      <c r="C16" s="39" t="s">
        <v>695</v>
      </c>
      <c r="D16" s="39" t="s">
        <v>694</v>
      </c>
      <c r="E16" s="39" t="s">
        <v>693</v>
      </c>
      <c r="F16" s="9" t="s">
        <v>692</v>
      </c>
      <c r="G16" s="35" t="s">
        <v>691</v>
      </c>
      <c r="H16" s="39" t="s">
        <v>27</v>
      </c>
      <c r="I16" s="47" t="s">
        <v>690</v>
      </c>
      <c r="J16" s="47" t="s">
        <v>689</v>
      </c>
      <c r="K16" s="39" t="s">
        <v>27</v>
      </c>
      <c r="L16" s="28"/>
      <c r="M16" s="28"/>
    </row>
    <row r="17" spans="1:13" ht="40.5" hidden="1" x14ac:dyDescent="0.3">
      <c r="A17" s="39">
        <v>44727</v>
      </c>
      <c r="B17" s="38" t="s">
        <v>682</v>
      </c>
      <c r="C17" s="38" t="s">
        <v>681</v>
      </c>
      <c r="D17" s="38" t="s">
        <v>680</v>
      </c>
      <c r="E17" s="38" t="s">
        <v>687</v>
      </c>
      <c r="F17" s="9" t="s">
        <v>688</v>
      </c>
      <c r="G17" s="35" t="s">
        <v>687</v>
      </c>
      <c r="H17" s="38" t="s">
        <v>686</v>
      </c>
      <c r="I17" s="41" t="s">
        <v>685</v>
      </c>
      <c r="J17" s="41" t="s">
        <v>684</v>
      </c>
      <c r="K17" s="38" t="s">
        <v>683</v>
      </c>
      <c r="L17" s="28"/>
      <c r="M17" s="28"/>
    </row>
    <row r="18" spans="1:13" ht="40.5" hidden="1" x14ac:dyDescent="0.3">
      <c r="A18" s="39">
        <v>44727</v>
      </c>
      <c r="B18" s="38" t="s">
        <v>682</v>
      </c>
      <c r="C18" s="38" t="s">
        <v>681</v>
      </c>
      <c r="D18" s="38" t="s">
        <v>680</v>
      </c>
      <c r="E18" s="38" t="s">
        <v>678</v>
      </c>
      <c r="F18" s="9" t="s">
        <v>679</v>
      </c>
      <c r="G18" s="35" t="s">
        <v>678</v>
      </c>
      <c r="H18" s="38" t="s">
        <v>27</v>
      </c>
      <c r="I18" s="41" t="s">
        <v>677</v>
      </c>
      <c r="J18" s="38" t="s">
        <v>676</v>
      </c>
      <c r="K18" s="38" t="s">
        <v>27</v>
      </c>
      <c r="L18" s="28"/>
      <c r="M18" s="28"/>
    </row>
    <row r="19" spans="1:13" ht="54" x14ac:dyDescent="0.3">
      <c r="A19" s="36">
        <v>44727</v>
      </c>
      <c r="B19" s="9" t="s">
        <v>653</v>
      </c>
      <c r="C19" s="9" t="s">
        <v>652</v>
      </c>
      <c r="D19" s="9" t="s">
        <v>651</v>
      </c>
      <c r="E19" s="9" t="s">
        <v>675</v>
      </c>
      <c r="F19" s="9" t="s">
        <v>674</v>
      </c>
      <c r="G19" s="35" t="s">
        <v>673</v>
      </c>
      <c r="H19" s="9" t="s">
        <v>194</v>
      </c>
      <c r="I19" s="35" t="s">
        <v>672</v>
      </c>
      <c r="J19" s="35" t="s">
        <v>671</v>
      </c>
      <c r="K19" s="42" t="s">
        <v>184</v>
      </c>
      <c r="L19" s="10" t="s">
        <v>375</v>
      </c>
      <c r="M19" s="37" t="s">
        <v>658</v>
      </c>
    </row>
    <row r="20" spans="1:13" ht="67.5" x14ac:dyDescent="0.3">
      <c r="A20" s="36">
        <v>44727</v>
      </c>
      <c r="B20" s="9" t="s">
        <v>653</v>
      </c>
      <c r="C20" s="9" t="s">
        <v>652</v>
      </c>
      <c r="D20" s="9" t="s">
        <v>651</v>
      </c>
      <c r="E20" s="9" t="s">
        <v>670</v>
      </c>
      <c r="F20" s="9" t="s">
        <v>669</v>
      </c>
      <c r="G20" s="35" t="s">
        <v>668</v>
      </c>
      <c r="H20" s="9" t="s">
        <v>667</v>
      </c>
      <c r="I20" s="35" t="s">
        <v>666</v>
      </c>
      <c r="J20" s="35" t="s">
        <v>665</v>
      </c>
      <c r="K20" s="42" t="s">
        <v>184</v>
      </c>
      <c r="L20" s="10" t="s">
        <v>375</v>
      </c>
      <c r="M20" s="37" t="s">
        <v>658</v>
      </c>
    </row>
    <row r="21" spans="1:13" ht="27" x14ac:dyDescent="0.3">
      <c r="A21" s="36">
        <v>44727</v>
      </c>
      <c r="B21" s="9" t="s">
        <v>653</v>
      </c>
      <c r="C21" s="9" t="s">
        <v>652</v>
      </c>
      <c r="D21" s="9" t="s">
        <v>651</v>
      </c>
      <c r="E21" s="9" t="s">
        <v>664</v>
      </c>
      <c r="F21" s="9" t="s">
        <v>664</v>
      </c>
      <c r="G21" s="35" t="s">
        <v>663</v>
      </c>
      <c r="H21" s="9" t="s">
        <v>662</v>
      </c>
      <c r="I21" s="35" t="s">
        <v>661</v>
      </c>
      <c r="J21" s="35" t="s">
        <v>660</v>
      </c>
      <c r="K21" s="42" t="s">
        <v>184</v>
      </c>
      <c r="L21" s="10" t="s">
        <v>659</v>
      </c>
      <c r="M21" s="37" t="s">
        <v>658</v>
      </c>
    </row>
    <row r="22" spans="1:13" x14ac:dyDescent="0.3">
      <c r="A22" s="36">
        <v>44727</v>
      </c>
      <c r="B22" s="9" t="s">
        <v>653</v>
      </c>
      <c r="C22" s="9" t="s">
        <v>652</v>
      </c>
      <c r="D22" s="9" t="s">
        <v>651</v>
      </c>
      <c r="E22" s="9" t="s">
        <v>657</v>
      </c>
      <c r="F22" s="9" t="s">
        <v>657</v>
      </c>
      <c r="G22" s="35" t="s">
        <v>656</v>
      </c>
      <c r="H22" s="9" t="s">
        <v>27</v>
      </c>
      <c r="I22" s="35" t="s">
        <v>655</v>
      </c>
      <c r="J22" s="35" t="s">
        <v>654</v>
      </c>
      <c r="K22" s="42" t="s">
        <v>184</v>
      </c>
      <c r="L22" s="10" t="s">
        <v>375</v>
      </c>
      <c r="M22" s="37" t="s">
        <v>396</v>
      </c>
    </row>
    <row r="23" spans="1:13" x14ac:dyDescent="0.3">
      <c r="A23" s="36">
        <v>44727</v>
      </c>
      <c r="B23" s="9" t="s">
        <v>653</v>
      </c>
      <c r="C23" s="9" t="s">
        <v>652</v>
      </c>
      <c r="D23" s="9" t="s">
        <v>651</v>
      </c>
      <c r="E23" s="9" t="s">
        <v>650</v>
      </c>
      <c r="F23" s="9" t="s">
        <v>650</v>
      </c>
      <c r="G23" s="35" t="s">
        <v>649</v>
      </c>
      <c r="H23" s="9" t="s">
        <v>27</v>
      </c>
      <c r="I23" s="35" t="s">
        <v>648</v>
      </c>
      <c r="J23" s="9" t="s">
        <v>647</v>
      </c>
      <c r="K23" s="42" t="s">
        <v>184</v>
      </c>
      <c r="L23" s="10" t="s">
        <v>375</v>
      </c>
      <c r="M23" s="37" t="s">
        <v>396</v>
      </c>
    </row>
    <row r="24" spans="1:13" hidden="1" x14ac:dyDescent="0.3">
      <c r="A24" s="39">
        <v>44727</v>
      </c>
      <c r="B24" s="39" t="s">
        <v>623</v>
      </c>
      <c r="C24" s="38" t="s">
        <v>622</v>
      </c>
      <c r="D24" s="38" t="s">
        <v>621</v>
      </c>
      <c r="E24" s="38" t="s">
        <v>646</v>
      </c>
      <c r="F24" s="9" t="s">
        <v>638</v>
      </c>
      <c r="G24" s="35" t="s">
        <v>646</v>
      </c>
      <c r="H24" s="38" t="s">
        <v>27</v>
      </c>
      <c r="I24" s="38" t="s">
        <v>645</v>
      </c>
      <c r="J24" s="38" t="s">
        <v>644</v>
      </c>
      <c r="K24" s="38" t="s">
        <v>27</v>
      </c>
      <c r="L24" s="28"/>
      <c r="M24" s="28"/>
    </row>
    <row r="25" spans="1:13" hidden="1" x14ac:dyDescent="0.3">
      <c r="A25" s="39">
        <v>44727</v>
      </c>
      <c r="B25" s="39" t="s">
        <v>623</v>
      </c>
      <c r="C25" s="38" t="s">
        <v>622</v>
      </c>
      <c r="D25" s="38" t="s">
        <v>621</v>
      </c>
      <c r="E25" s="38" t="s">
        <v>643</v>
      </c>
      <c r="F25" s="9" t="s">
        <v>638</v>
      </c>
      <c r="G25" s="35" t="s">
        <v>642</v>
      </c>
      <c r="H25" s="38" t="s">
        <v>27</v>
      </c>
      <c r="I25" s="38" t="s">
        <v>641</v>
      </c>
      <c r="J25" s="38" t="s">
        <v>640</v>
      </c>
      <c r="K25" s="38" t="s">
        <v>27</v>
      </c>
      <c r="L25" s="28"/>
      <c r="M25" s="28"/>
    </row>
    <row r="26" spans="1:13" hidden="1" x14ac:dyDescent="0.3">
      <c r="A26" s="39">
        <v>44727</v>
      </c>
      <c r="B26" s="39" t="s">
        <v>623</v>
      </c>
      <c r="C26" s="38" t="s">
        <v>622</v>
      </c>
      <c r="D26" s="38" t="s">
        <v>621</v>
      </c>
      <c r="E26" s="38" t="s">
        <v>639</v>
      </c>
      <c r="F26" s="9" t="s">
        <v>638</v>
      </c>
      <c r="G26" s="35" t="s">
        <v>637</v>
      </c>
      <c r="H26" s="38" t="s">
        <v>636</v>
      </c>
      <c r="I26" s="38" t="s">
        <v>635</v>
      </c>
      <c r="J26" s="38" t="s">
        <v>634</v>
      </c>
      <c r="K26" s="38" t="s">
        <v>101</v>
      </c>
      <c r="L26" s="28"/>
      <c r="M26" s="28"/>
    </row>
    <row r="27" spans="1:13" ht="27" hidden="1" x14ac:dyDescent="0.3">
      <c r="A27" s="39">
        <v>44727</v>
      </c>
      <c r="B27" s="39" t="s">
        <v>623</v>
      </c>
      <c r="C27" s="38" t="s">
        <v>622</v>
      </c>
      <c r="D27" s="38" t="s">
        <v>621</v>
      </c>
      <c r="E27" s="41" t="s">
        <v>633</v>
      </c>
      <c r="F27" s="9" t="s">
        <v>632</v>
      </c>
      <c r="G27" s="35" t="s">
        <v>631</v>
      </c>
      <c r="H27" s="38" t="s">
        <v>59</v>
      </c>
      <c r="I27" s="38" t="s">
        <v>630</v>
      </c>
      <c r="J27" s="38" t="s">
        <v>629</v>
      </c>
      <c r="K27" s="38" t="s">
        <v>73</v>
      </c>
      <c r="L27" s="46" t="s">
        <v>628</v>
      </c>
      <c r="M27" s="46"/>
    </row>
    <row r="28" spans="1:13" hidden="1" x14ac:dyDescent="0.3">
      <c r="A28" s="39">
        <v>44727</v>
      </c>
      <c r="B28" s="39" t="s">
        <v>623</v>
      </c>
      <c r="C28" s="38" t="s">
        <v>622</v>
      </c>
      <c r="D28" s="38" t="s">
        <v>621</v>
      </c>
      <c r="E28" s="38" t="s">
        <v>626</v>
      </c>
      <c r="F28" s="9" t="s">
        <v>627</v>
      </c>
      <c r="G28" s="35" t="s">
        <v>626</v>
      </c>
      <c r="H28" s="38" t="s">
        <v>42</v>
      </c>
      <c r="I28" s="38" t="s">
        <v>625</v>
      </c>
      <c r="J28" s="38" t="s">
        <v>624</v>
      </c>
      <c r="K28" s="38" t="s">
        <v>42</v>
      </c>
      <c r="L28" s="28"/>
      <c r="M28" s="28"/>
    </row>
    <row r="29" spans="1:13" hidden="1" x14ac:dyDescent="0.3">
      <c r="A29" s="39">
        <v>44727</v>
      </c>
      <c r="B29" s="39" t="s">
        <v>623</v>
      </c>
      <c r="C29" s="38" t="s">
        <v>622</v>
      </c>
      <c r="D29" s="38" t="s">
        <v>621</v>
      </c>
      <c r="E29" s="38" t="s">
        <v>619</v>
      </c>
      <c r="F29" s="9" t="s">
        <v>620</v>
      </c>
      <c r="G29" s="35" t="s">
        <v>619</v>
      </c>
      <c r="H29" s="38" t="s">
        <v>42</v>
      </c>
      <c r="I29" s="38" t="s">
        <v>618</v>
      </c>
      <c r="J29" s="38" t="s">
        <v>617</v>
      </c>
      <c r="K29" s="38" t="s">
        <v>42</v>
      </c>
      <c r="L29" s="28"/>
      <c r="M29" s="28"/>
    </row>
    <row r="30" spans="1:13" x14ac:dyDescent="0.3">
      <c r="A30" s="36">
        <v>44729</v>
      </c>
      <c r="B30" s="9" t="s">
        <v>612</v>
      </c>
      <c r="C30" s="9" t="s">
        <v>611</v>
      </c>
      <c r="D30" s="9" t="s">
        <v>610</v>
      </c>
      <c r="E30" s="9" t="s">
        <v>615</v>
      </c>
      <c r="F30" s="9" t="s">
        <v>616</v>
      </c>
      <c r="G30" s="35" t="s">
        <v>615</v>
      </c>
      <c r="H30" s="9" t="s">
        <v>17</v>
      </c>
      <c r="I30" s="9" t="s">
        <v>614</v>
      </c>
      <c r="J30" s="9" t="s">
        <v>613</v>
      </c>
      <c r="K30" s="42" t="s">
        <v>184</v>
      </c>
      <c r="L30" s="10" t="s">
        <v>375</v>
      </c>
      <c r="M30" s="10" t="s">
        <v>396</v>
      </c>
    </row>
    <row r="31" spans="1:13" x14ac:dyDescent="0.3">
      <c r="A31" s="36">
        <v>44729</v>
      </c>
      <c r="B31" s="9" t="s">
        <v>612</v>
      </c>
      <c r="C31" s="9" t="s">
        <v>611</v>
      </c>
      <c r="D31" s="9" t="s">
        <v>610</v>
      </c>
      <c r="E31" s="9" t="s">
        <v>608</v>
      </c>
      <c r="F31" s="9" t="s">
        <v>609</v>
      </c>
      <c r="G31" s="35" t="s">
        <v>608</v>
      </c>
      <c r="H31" s="9" t="s">
        <v>17</v>
      </c>
      <c r="I31" s="9" t="s">
        <v>607</v>
      </c>
      <c r="J31" s="9" t="s">
        <v>606</v>
      </c>
      <c r="K31" s="42" t="s">
        <v>184</v>
      </c>
      <c r="L31" s="10" t="s">
        <v>375</v>
      </c>
      <c r="M31" s="10" t="s">
        <v>374</v>
      </c>
    </row>
    <row r="32" spans="1:13" ht="27" hidden="1" x14ac:dyDescent="0.3">
      <c r="A32" s="39">
        <v>44729</v>
      </c>
      <c r="B32" s="38" t="s">
        <v>588</v>
      </c>
      <c r="C32" s="38" t="s">
        <v>587</v>
      </c>
      <c r="D32" s="38" t="s">
        <v>586</v>
      </c>
      <c r="E32" s="38" t="s">
        <v>604</v>
      </c>
      <c r="F32" s="9" t="s">
        <v>605</v>
      </c>
      <c r="G32" s="35" t="s">
        <v>604</v>
      </c>
      <c r="H32" s="38" t="s">
        <v>59</v>
      </c>
      <c r="I32" s="41" t="s">
        <v>603</v>
      </c>
      <c r="J32" s="41" t="s">
        <v>602</v>
      </c>
      <c r="K32" s="38" t="s">
        <v>17</v>
      </c>
      <c r="L32" s="28"/>
      <c r="M32" s="28"/>
    </row>
    <row r="33" spans="1:14" hidden="1" x14ac:dyDescent="0.3">
      <c r="A33" s="39">
        <v>44729</v>
      </c>
      <c r="B33" s="38" t="s">
        <v>588</v>
      </c>
      <c r="C33" s="38" t="s">
        <v>587</v>
      </c>
      <c r="D33" s="38" t="s">
        <v>586</v>
      </c>
      <c r="E33" s="38" t="s">
        <v>600</v>
      </c>
      <c r="F33" s="9" t="s">
        <v>601</v>
      </c>
      <c r="G33" s="35" t="s">
        <v>600</v>
      </c>
      <c r="H33" s="38" t="s">
        <v>17</v>
      </c>
      <c r="I33" s="38" t="s">
        <v>599</v>
      </c>
      <c r="J33" s="38" t="s">
        <v>598</v>
      </c>
      <c r="K33" s="38" t="s">
        <v>17</v>
      </c>
      <c r="L33" s="28"/>
      <c r="M33" s="28"/>
    </row>
    <row r="34" spans="1:14" hidden="1" x14ac:dyDescent="0.3">
      <c r="A34" s="39">
        <v>44729</v>
      </c>
      <c r="B34" s="38" t="s">
        <v>588</v>
      </c>
      <c r="C34" s="38" t="s">
        <v>587</v>
      </c>
      <c r="D34" s="38" t="s">
        <v>586</v>
      </c>
      <c r="E34" s="38" t="s">
        <v>596</v>
      </c>
      <c r="F34" s="9" t="s">
        <v>597</v>
      </c>
      <c r="G34" s="35" t="s">
        <v>596</v>
      </c>
      <c r="H34" s="38" t="s">
        <v>51</v>
      </c>
      <c r="I34" s="38" t="s">
        <v>595</v>
      </c>
      <c r="J34" s="38" t="s">
        <v>594</v>
      </c>
      <c r="K34" s="38" t="s">
        <v>73</v>
      </c>
      <c r="L34" s="28"/>
      <c r="M34" s="28"/>
    </row>
    <row r="35" spans="1:14" hidden="1" x14ac:dyDescent="0.3">
      <c r="A35" s="39">
        <v>44729</v>
      </c>
      <c r="B35" s="38" t="s">
        <v>588</v>
      </c>
      <c r="C35" s="38" t="s">
        <v>587</v>
      </c>
      <c r="D35" s="38" t="s">
        <v>586</v>
      </c>
      <c r="E35" s="38" t="s">
        <v>592</v>
      </c>
      <c r="F35" s="9" t="s">
        <v>593</v>
      </c>
      <c r="G35" s="35" t="s">
        <v>592</v>
      </c>
      <c r="H35" s="38" t="s">
        <v>591</v>
      </c>
      <c r="I35" s="38" t="s">
        <v>590</v>
      </c>
      <c r="J35" s="38" t="s">
        <v>589</v>
      </c>
      <c r="K35" s="38" t="s">
        <v>73</v>
      </c>
      <c r="L35" s="28"/>
      <c r="M35" s="28"/>
    </row>
    <row r="36" spans="1:14" hidden="1" x14ac:dyDescent="0.3">
      <c r="A36" s="39">
        <v>44729</v>
      </c>
      <c r="B36" s="38" t="s">
        <v>588</v>
      </c>
      <c r="C36" s="38" t="s">
        <v>587</v>
      </c>
      <c r="D36" s="38" t="s">
        <v>586</v>
      </c>
      <c r="E36" s="38" t="s">
        <v>584</v>
      </c>
      <c r="F36" s="9" t="s">
        <v>585</v>
      </c>
      <c r="G36" s="35" t="s">
        <v>584</v>
      </c>
      <c r="H36" s="38" t="s">
        <v>583</v>
      </c>
      <c r="I36" s="38" t="s">
        <v>582</v>
      </c>
      <c r="J36" s="38" t="s">
        <v>581</v>
      </c>
      <c r="K36" s="38" t="s">
        <v>51</v>
      </c>
      <c r="L36" s="28"/>
      <c r="M36" s="28"/>
    </row>
    <row r="37" spans="1:14" hidden="1" x14ac:dyDescent="0.3">
      <c r="A37" s="39">
        <v>44729</v>
      </c>
      <c r="B37" s="39" t="s">
        <v>580</v>
      </c>
      <c r="C37" s="39" t="s">
        <v>579</v>
      </c>
      <c r="D37" s="39" t="s">
        <v>578</v>
      </c>
      <c r="E37" s="39" t="s">
        <v>576</v>
      </c>
      <c r="F37" s="9" t="s">
        <v>577</v>
      </c>
      <c r="G37" s="35" t="s">
        <v>576</v>
      </c>
      <c r="H37" s="39" t="s">
        <v>17</v>
      </c>
      <c r="I37" s="39" t="s">
        <v>575</v>
      </c>
      <c r="J37" s="39" t="s">
        <v>574</v>
      </c>
      <c r="K37" s="39" t="s">
        <v>17</v>
      </c>
      <c r="L37" s="28"/>
      <c r="M37" s="28"/>
    </row>
    <row r="38" spans="1:14" hidden="1" x14ac:dyDescent="0.3">
      <c r="A38" s="39">
        <v>44729</v>
      </c>
      <c r="B38" s="38" t="s">
        <v>555</v>
      </c>
      <c r="C38" s="38" t="s">
        <v>554</v>
      </c>
      <c r="D38" s="38" t="s">
        <v>553</v>
      </c>
      <c r="E38" s="38" t="s">
        <v>572</v>
      </c>
      <c r="F38" s="9" t="s">
        <v>573</v>
      </c>
      <c r="G38" s="35" t="s">
        <v>572</v>
      </c>
      <c r="H38" s="38" t="s">
        <v>101</v>
      </c>
      <c r="I38" s="38" t="s">
        <v>567</v>
      </c>
      <c r="J38" s="38" t="s">
        <v>571</v>
      </c>
      <c r="K38" s="38" t="s">
        <v>101</v>
      </c>
      <c r="L38" s="28"/>
      <c r="M38" s="28"/>
      <c r="N38" s="10" t="s">
        <v>101</v>
      </c>
    </row>
    <row r="39" spans="1:14" hidden="1" x14ac:dyDescent="0.3">
      <c r="A39" s="39">
        <v>44729</v>
      </c>
      <c r="B39" s="38" t="s">
        <v>555</v>
      </c>
      <c r="C39" s="38" t="s">
        <v>554</v>
      </c>
      <c r="D39" s="38" t="s">
        <v>553</v>
      </c>
      <c r="E39" s="38" t="s">
        <v>570</v>
      </c>
      <c r="F39" s="9" t="s">
        <v>569</v>
      </c>
      <c r="G39" s="35" t="s">
        <v>568</v>
      </c>
      <c r="H39" s="38" t="s">
        <v>101</v>
      </c>
      <c r="I39" s="38" t="s">
        <v>567</v>
      </c>
      <c r="J39" s="38" t="s">
        <v>566</v>
      </c>
      <c r="K39" s="38" t="s">
        <v>101</v>
      </c>
      <c r="L39" s="28"/>
      <c r="M39" s="28"/>
    </row>
    <row r="40" spans="1:14" ht="40.5" hidden="1" x14ac:dyDescent="0.3">
      <c r="A40" s="39">
        <v>44729</v>
      </c>
      <c r="B40" s="38" t="s">
        <v>555</v>
      </c>
      <c r="C40" s="38" t="s">
        <v>554</v>
      </c>
      <c r="D40" s="38" t="s">
        <v>553</v>
      </c>
      <c r="E40" s="38" t="s">
        <v>565</v>
      </c>
      <c r="F40" s="9" t="s">
        <v>564</v>
      </c>
      <c r="G40" s="35" t="s">
        <v>563</v>
      </c>
      <c r="H40" s="38" t="s">
        <v>439</v>
      </c>
      <c r="I40" s="41" t="s">
        <v>562</v>
      </c>
      <c r="J40" s="41" t="s">
        <v>561</v>
      </c>
      <c r="K40" s="38" t="s">
        <v>17</v>
      </c>
      <c r="L40" s="28"/>
      <c r="M40" s="28"/>
    </row>
    <row r="41" spans="1:14" hidden="1" x14ac:dyDescent="0.3">
      <c r="A41" s="39">
        <v>44729</v>
      </c>
      <c r="B41" s="38" t="s">
        <v>555</v>
      </c>
      <c r="C41" s="38" t="s">
        <v>554</v>
      </c>
      <c r="D41" s="38" t="s">
        <v>553</v>
      </c>
      <c r="E41" s="38" t="s">
        <v>560</v>
      </c>
      <c r="F41" s="9" t="s">
        <v>559</v>
      </c>
      <c r="G41" s="35" t="s">
        <v>558</v>
      </c>
      <c r="H41" s="38" t="s">
        <v>51</v>
      </c>
      <c r="I41" s="38" t="s">
        <v>557</v>
      </c>
      <c r="J41" s="41" t="s">
        <v>556</v>
      </c>
      <c r="K41" s="38" t="s">
        <v>51</v>
      </c>
      <c r="L41" s="28"/>
      <c r="M41" s="28"/>
    </row>
    <row r="42" spans="1:14" hidden="1" x14ac:dyDescent="0.3">
      <c r="A42" s="39">
        <v>44729</v>
      </c>
      <c r="B42" s="38" t="s">
        <v>555</v>
      </c>
      <c r="C42" s="38" t="s">
        <v>554</v>
      </c>
      <c r="D42" s="38" t="s">
        <v>553</v>
      </c>
      <c r="E42" s="38" t="s">
        <v>551</v>
      </c>
      <c r="F42" s="9" t="s">
        <v>552</v>
      </c>
      <c r="G42" s="35" t="s">
        <v>551</v>
      </c>
      <c r="H42" s="38" t="s">
        <v>51</v>
      </c>
      <c r="I42" s="38" t="s">
        <v>550</v>
      </c>
      <c r="J42" s="38" t="s">
        <v>549</v>
      </c>
      <c r="K42" s="38" t="s">
        <v>73</v>
      </c>
      <c r="L42" s="28"/>
      <c r="M42" s="28"/>
    </row>
    <row r="43" spans="1:14" x14ac:dyDescent="0.3">
      <c r="A43" s="36">
        <v>44729</v>
      </c>
      <c r="B43" s="36" t="s">
        <v>548</v>
      </c>
      <c r="C43" s="36" t="s">
        <v>547</v>
      </c>
      <c r="D43" s="36" t="s">
        <v>546</v>
      </c>
      <c r="E43" s="36" t="s">
        <v>545</v>
      </c>
      <c r="F43" s="9" t="s">
        <v>545</v>
      </c>
      <c r="G43" s="35" t="s">
        <v>544</v>
      </c>
      <c r="H43" s="36" t="s">
        <v>27</v>
      </c>
      <c r="I43" s="45" t="s">
        <v>543</v>
      </c>
      <c r="J43" s="36" t="s">
        <v>543</v>
      </c>
      <c r="K43" s="44" t="s">
        <v>184</v>
      </c>
      <c r="L43" s="10" t="s">
        <v>375</v>
      </c>
      <c r="M43" s="10" t="s">
        <v>374</v>
      </c>
    </row>
    <row r="44" spans="1:14" ht="27" hidden="1" x14ac:dyDescent="0.3">
      <c r="A44" s="39">
        <v>44729</v>
      </c>
      <c r="B44" s="38" t="s">
        <v>542</v>
      </c>
      <c r="C44" s="38" t="s">
        <v>541</v>
      </c>
      <c r="D44" s="38" t="s">
        <v>540</v>
      </c>
      <c r="E44" s="39" t="s">
        <v>539</v>
      </c>
      <c r="F44" s="9" t="s">
        <v>538</v>
      </c>
      <c r="G44" s="35" t="s">
        <v>537</v>
      </c>
      <c r="H44" s="38" t="s">
        <v>27</v>
      </c>
      <c r="I44" s="38" t="s">
        <v>536</v>
      </c>
      <c r="J44" s="41" t="s">
        <v>535</v>
      </c>
      <c r="K44" s="38" t="s">
        <v>27</v>
      </c>
      <c r="L44" s="28"/>
      <c r="M44" s="28"/>
      <c r="N44" s="10" t="s">
        <v>27</v>
      </c>
    </row>
    <row r="45" spans="1:14" ht="27" hidden="1" x14ac:dyDescent="0.3">
      <c r="A45" s="39">
        <v>44729</v>
      </c>
      <c r="B45" s="38" t="s">
        <v>529</v>
      </c>
      <c r="C45" s="38" t="s">
        <v>528</v>
      </c>
      <c r="D45" s="38" t="s">
        <v>527</v>
      </c>
      <c r="E45" s="38" t="s">
        <v>533</v>
      </c>
      <c r="F45" s="9" t="s">
        <v>534</v>
      </c>
      <c r="G45" s="35" t="s">
        <v>533</v>
      </c>
      <c r="H45" s="38" t="s">
        <v>532</v>
      </c>
      <c r="I45" s="41" t="s">
        <v>531</v>
      </c>
      <c r="J45" s="41" t="s">
        <v>530</v>
      </c>
      <c r="K45" s="38" t="s">
        <v>27</v>
      </c>
      <c r="L45" s="28"/>
      <c r="M45" s="28"/>
    </row>
    <row r="46" spans="1:14" hidden="1" x14ac:dyDescent="0.3">
      <c r="A46" s="39">
        <v>44729</v>
      </c>
      <c r="B46" s="38" t="s">
        <v>529</v>
      </c>
      <c r="C46" s="38" t="s">
        <v>528</v>
      </c>
      <c r="D46" s="38" t="s">
        <v>527</v>
      </c>
      <c r="E46" s="38" t="s">
        <v>525</v>
      </c>
      <c r="F46" s="9" t="s">
        <v>526</v>
      </c>
      <c r="G46" s="35" t="s">
        <v>525</v>
      </c>
      <c r="H46" s="38" t="s">
        <v>524</v>
      </c>
      <c r="I46" s="38" t="s">
        <v>523</v>
      </c>
      <c r="J46" s="38" t="s">
        <v>522</v>
      </c>
      <c r="K46" s="38" t="s">
        <v>73</v>
      </c>
      <c r="L46" s="28"/>
      <c r="M46" s="28"/>
    </row>
    <row r="47" spans="1:14" hidden="1" x14ac:dyDescent="0.3">
      <c r="A47" s="39">
        <v>44729</v>
      </c>
      <c r="B47" s="39" t="s">
        <v>521</v>
      </c>
      <c r="C47" s="39" t="s">
        <v>520</v>
      </c>
      <c r="D47" s="39" t="s">
        <v>519</v>
      </c>
      <c r="E47" s="39" t="s">
        <v>518</v>
      </c>
      <c r="F47" s="9" t="s">
        <v>517</v>
      </c>
      <c r="G47" s="35" t="s">
        <v>516</v>
      </c>
      <c r="H47" s="39" t="s">
        <v>51</v>
      </c>
      <c r="I47" s="39" t="s">
        <v>515</v>
      </c>
      <c r="J47" s="39" t="s">
        <v>514</v>
      </c>
      <c r="K47" s="39" t="s">
        <v>51</v>
      </c>
      <c r="L47" s="28"/>
      <c r="M47" s="28"/>
      <c r="N47" s="10" t="s">
        <v>51</v>
      </c>
    </row>
    <row r="48" spans="1:14" hidden="1" x14ac:dyDescent="0.3">
      <c r="A48" s="39">
        <v>44729</v>
      </c>
      <c r="B48" s="38" t="s">
        <v>501</v>
      </c>
      <c r="C48" s="38" t="s">
        <v>500</v>
      </c>
      <c r="D48" s="38" t="s">
        <v>499</v>
      </c>
      <c r="E48" s="38" t="s">
        <v>512</v>
      </c>
      <c r="F48" s="9" t="s">
        <v>513</v>
      </c>
      <c r="G48" s="35" t="s">
        <v>512</v>
      </c>
      <c r="H48" s="40" t="s">
        <v>101</v>
      </c>
      <c r="I48" s="40" t="s">
        <v>511</v>
      </c>
      <c r="J48" s="38" t="s">
        <v>510</v>
      </c>
      <c r="K48" s="38" t="s">
        <v>101</v>
      </c>
      <c r="L48" s="28"/>
      <c r="M48" s="28"/>
    </row>
    <row r="49" spans="1:13" hidden="1" x14ac:dyDescent="0.3">
      <c r="A49" s="39">
        <v>44729</v>
      </c>
      <c r="B49" s="38" t="s">
        <v>501</v>
      </c>
      <c r="C49" s="38" t="s">
        <v>500</v>
      </c>
      <c r="D49" s="38" t="s">
        <v>499</v>
      </c>
      <c r="E49" s="38" t="s">
        <v>509</v>
      </c>
      <c r="F49" s="9" t="s">
        <v>509</v>
      </c>
      <c r="G49" s="35" t="s">
        <v>509</v>
      </c>
      <c r="H49" s="40" t="s">
        <v>17</v>
      </c>
      <c r="I49" s="40" t="s">
        <v>508</v>
      </c>
      <c r="J49" s="38" t="s">
        <v>507</v>
      </c>
      <c r="K49" s="38" t="s">
        <v>17</v>
      </c>
      <c r="L49" s="28"/>
      <c r="M49" s="28"/>
    </row>
    <row r="50" spans="1:13" ht="27" hidden="1" x14ac:dyDescent="0.3">
      <c r="A50" s="39">
        <v>44729</v>
      </c>
      <c r="B50" s="38" t="s">
        <v>501</v>
      </c>
      <c r="C50" s="38" t="s">
        <v>500</v>
      </c>
      <c r="D50" s="38" t="s">
        <v>499</v>
      </c>
      <c r="E50" s="38" t="s">
        <v>506</v>
      </c>
      <c r="F50" s="9" t="s">
        <v>505</v>
      </c>
      <c r="G50" s="35" t="s">
        <v>504</v>
      </c>
      <c r="H50" s="38" t="s">
        <v>27</v>
      </c>
      <c r="I50" s="41" t="s">
        <v>503</v>
      </c>
      <c r="J50" s="41" t="s">
        <v>502</v>
      </c>
      <c r="K50" s="38" t="s">
        <v>27</v>
      </c>
      <c r="L50" s="28"/>
      <c r="M50" s="28"/>
    </row>
    <row r="51" spans="1:13" hidden="1" x14ac:dyDescent="0.3">
      <c r="A51" s="39">
        <v>44729</v>
      </c>
      <c r="B51" s="38" t="s">
        <v>501</v>
      </c>
      <c r="C51" s="38" t="s">
        <v>500</v>
      </c>
      <c r="D51" s="38" t="s">
        <v>499</v>
      </c>
      <c r="E51" s="38" t="s">
        <v>498</v>
      </c>
      <c r="F51" s="9" t="s">
        <v>497</v>
      </c>
      <c r="G51" s="35" t="s">
        <v>496</v>
      </c>
      <c r="H51" s="40" t="s">
        <v>17</v>
      </c>
      <c r="I51" s="40" t="s">
        <v>495</v>
      </c>
      <c r="J51" s="38" t="s">
        <v>494</v>
      </c>
      <c r="K51" s="38" t="s">
        <v>17</v>
      </c>
      <c r="L51" s="28"/>
      <c r="M51" s="28"/>
    </row>
    <row r="52" spans="1:13" hidden="1" x14ac:dyDescent="0.3">
      <c r="A52" s="39">
        <v>44729</v>
      </c>
      <c r="B52" s="38" t="s">
        <v>493</v>
      </c>
      <c r="C52" s="38" t="s">
        <v>492</v>
      </c>
      <c r="D52" s="38" t="s">
        <v>491</v>
      </c>
      <c r="E52" s="39" t="s">
        <v>490</v>
      </c>
      <c r="F52" s="9" t="s">
        <v>489</v>
      </c>
      <c r="G52" s="35" t="s">
        <v>488</v>
      </c>
      <c r="H52" s="38" t="s">
        <v>20</v>
      </c>
      <c r="I52" s="38" t="s">
        <v>487</v>
      </c>
      <c r="J52" s="38" t="s">
        <v>486</v>
      </c>
      <c r="K52" s="38" t="s">
        <v>17</v>
      </c>
      <c r="L52" s="28"/>
      <c r="M52" s="28"/>
    </row>
    <row r="53" spans="1:13" x14ac:dyDescent="0.3">
      <c r="A53" s="36">
        <v>44729</v>
      </c>
      <c r="B53" s="9" t="s">
        <v>464</v>
      </c>
      <c r="C53" s="9" t="s">
        <v>463</v>
      </c>
      <c r="D53" s="9" t="s">
        <v>462</v>
      </c>
      <c r="E53" s="9" t="s">
        <v>485</v>
      </c>
      <c r="F53" s="9" t="s">
        <v>484</v>
      </c>
      <c r="G53" s="35" t="s">
        <v>483</v>
      </c>
      <c r="H53" s="9" t="s">
        <v>20</v>
      </c>
      <c r="I53" s="9" t="s">
        <v>482</v>
      </c>
      <c r="J53" s="9" t="s">
        <v>481</v>
      </c>
      <c r="K53" s="42" t="s">
        <v>184</v>
      </c>
      <c r="L53" s="10" t="s">
        <v>375</v>
      </c>
      <c r="M53" s="37" t="s">
        <v>396</v>
      </c>
    </row>
    <row r="54" spans="1:13" x14ac:dyDescent="0.3">
      <c r="A54" s="36">
        <v>44729</v>
      </c>
      <c r="B54" s="9" t="s">
        <v>464</v>
      </c>
      <c r="C54" s="9" t="s">
        <v>463</v>
      </c>
      <c r="D54" s="9" t="s">
        <v>462</v>
      </c>
      <c r="E54" s="9" t="s">
        <v>480</v>
      </c>
      <c r="F54" s="9" t="s">
        <v>479</v>
      </c>
      <c r="G54" s="35" t="s">
        <v>478</v>
      </c>
      <c r="H54" s="9" t="s">
        <v>20</v>
      </c>
      <c r="I54" s="9" t="s">
        <v>477</v>
      </c>
      <c r="J54" s="9" t="s">
        <v>476</v>
      </c>
      <c r="K54" s="42" t="s">
        <v>184</v>
      </c>
      <c r="L54" s="10" t="s">
        <v>375</v>
      </c>
      <c r="M54" s="37" t="s">
        <v>396</v>
      </c>
    </row>
    <row r="55" spans="1:13" x14ac:dyDescent="0.3">
      <c r="A55" s="36">
        <v>44729</v>
      </c>
      <c r="B55" s="9" t="s">
        <v>464</v>
      </c>
      <c r="C55" s="9" t="s">
        <v>463</v>
      </c>
      <c r="D55" s="9" t="s">
        <v>462</v>
      </c>
      <c r="E55" s="9" t="s">
        <v>475</v>
      </c>
      <c r="F55" s="9" t="s">
        <v>474</v>
      </c>
      <c r="G55" s="35" t="s">
        <v>473</v>
      </c>
      <c r="H55" s="9" t="s">
        <v>467</v>
      </c>
      <c r="I55" s="9" t="s">
        <v>472</v>
      </c>
      <c r="J55" s="9" t="s">
        <v>471</v>
      </c>
      <c r="K55" s="42" t="s">
        <v>184</v>
      </c>
      <c r="L55" s="10" t="s">
        <v>375</v>
      </c>
      <c r="M55" s="37" t="s">
        <v>396</v>
      </c>
    </row>
    <row r="56" spans="1:13" x14ac:dyDescent="0.3">
      <c r="A56" s="36">
        <v>44729</v>
      </c>
      <c r="B56" s="9" t="s">
        <v>464</v>
      </c>
      <c r="C56" s="9" t="s">
        <v>463</v>
      </c>
      <c r="D56" s="9" t="s">
        <v>462</v>
      </c>
      <c r="E56" s="9" t="s">
        <v>470</v>
      </c>
      <c r="F56" s="9" t="s">
        <v>469</v>
      </c>
      <c r="G56" s="35" t="s">
        <v>468</v>
      </c>
      <c r="H56" s="9" t="s">
        <v>467</v>
      </c>
      <c r="I56" s="9" t="s">
        <v>466</v>
      </c>
      <c r="J56" s="9" t="s">
        <v>465</v>
      </c>
      <c r="K56" s="42" t="s">
        <v>184</v>
      </c>
      <c r="L56" s="10" t="s">
        <v>375</v>
      </c>
      <c r="M56" s="37" t="s">
        <v>396</v>
      </c>
    </row>
    <row r="57" spans="1:13" x14ac:dyDescent="0.3">
      <c r="A57" s="36">
        <v>44729</v>
      </c>
      <c r="B57" s="9" t="s">
        <v>464</v>
      </c>
      <c r="C57" s="9" t="s">
        <v>463</v>
      </c>
      <c r="D57" s="9" t="s">
        <v>462</v>
      </c>
      <c r="E57" s="9" t="s">
        <v>461</v>
      </c>
      <c r="F57" s="9" t="s">
        <v>460</v>
      </c>
      <c r="G57" s="35" t="s">
        <v>459</v>
      </c>
      <c r="H57" s="9" t="s">
        <v>289</v>
      </c>
      <c r="I57" s="9" t="s">
        <v>458</v>
      </c>
      <c r="J57" s="9" t="s">
        <v>457</v>
      </c>
      <c r="K57" s="42" t="s">
        <v>184</v>
      </c>
      <c r="L57" s="10" t="s">
        <v>375</v>
      </c>
      <c r="M57" s="37" t="s">
        <v>396</v>
      </c>
    </row>
    <row r="58" spans="1:13" x14ac:dyDescent="0.3">
      <c r="A58" s="36">
        <v>44729</v>
      </c>
      <c r="B58" s="36" t="s">
        <v>434</v>
      </c>
      <c r="C58" s="9" t="s">
        <v>433</v>
      </c>
      <c r="D58" s="9" t="s">
        <v>432</v>
      </c>
      <c r="E58" s="9" t="s">
        <v>456</v>
      </c>
      <c r="F58" s="9" t="s">
        <v>455</v>
      </c>
      <c r="G58" s="35" t="s">
        <v>454</v>
      </c>
      <c r="H58" s="9" t="s">
        <v>17</v>
      </c>
      <c r="I58" s="9" t="s">
        <v>453</v>
      </c>
      <c r="J58" s="9" t="s">
        <v>452</v>
      </c>
      <c r="K58" s="42" t="s">
        <v>184</v>
      </c>
      <c r="L58" s="10" t="s">
        <v>375</v>
      </c>
      <c r="M58" s="10" t="s">
        <v>396</v>
      </c>
    </row>
    <row r="59" spans="1:13" ht="27" hidden="1" x14ac:dyDescent="0.3">
      <c r="A59" s="39">
        <v>44729</v>
      </c>
      <c r="B59" s="38" t="s">
        <v>434</v>
      </c>
      <c r="C59" s="38" t="s">
        <v>433</v>
      </c>
      <c r="D59" s="38" t="s">
        <v>432</v>
      </c>
      <c r="E59" s="38" t="s">
        <v>451</v>
      </c>
      <c r="F59" s="9" t="s">
        <v>450</v>
      </c>
      <c r="G59" s="35" t="s">
        <v>449</v>
      </c>
      <c r="H59" s="38" t="s">
        <v>448</v>
      </c>
      <c r="I59" s="41" t="s">
        <v>447</v>
      </c>
      <c r="J59" s="38" t="s">
        <v>446</v>
      </c>
      <c r="K59" s="38" t="s">
        <v>51</v>
      </c>
      <c r="L59" s="28"/>
      <c r="M59" s="28"/>
    </row>
    <row r="60" spans="1:13" hidden="1" x14ac:dyDescent="0.3">
      <c r="A60" s="39">
        <v>44729</v>
      </c>
      <c r="B60" s="38" t="s">
        <v>434</v>
      </c>
      <c r="C60" s="38" t="s">
        <v>433</v>
      </c>
      <c r="D60" s="38" t="s">
        <v>432</v>
      </c>
      <c r="E60" s="38" t="s">
        <v>445</v>
      </c>
      <c r="F60" s="9" t="s">
        <v>444</v>
      </c>
      <c r="G60" s="35" t="s">
        <v>443</v>
      </c>
      <c r="H60" s="38" t="s">
        <v>17</v>
      </c>
      <c r="I60" s="38" t="s">
        <v>442</v>
      </c>
      <c r="J60" s="38" t="s">
        <v>441</v>
      </c>
      <c r="K60" s="38" t="s">
        <v>17</v>
      </c>
      <c r="L60" s="28"/>
      <c r="M60" s="28"/>
    </row>
    <row r="61" spans="1:13" x14ac:dyDescent="0.3">
      <c r="A61" s="36">
        <v>44729</v>
      </c>
      <c r="B61" s="9" t="s">
        <v>434</v>
      </c>
      <c r="C61" s="9" t="s">
        <v>433</v>
      </c>
      <c r="D61" s="9" t="s">
        <v>432</v>
      </c>
      <c r="E61" s="9" t="s">
        <v>440</v>
      </c>
      <c r="F61" s="42" t="s">
        <v>184</v>
      </c>
      <c r="G61" s="43" t="s">
        <v>184</v>
      </c>
      <c r="H61" s="9" t="s">
        <v>439</v>
      </c>
      <c r="I61" s="9" t="s">
        <v>438</v>
      </c>
      <c r="J61" s="9" t="s">
        <v>437</v>
      </c>
      <c r="K61" s="42" t="s">
        <v>184</v>
      </c>
      <c r="L61" s="10" t="s">
        <v>436</v>
      </c>
      <c r="M61" s="10" t="s">
        <v>435</v>
      </c>
    </row>
    <row r="62" spans="1:13" hidden="1" x14ac:dyDescent="0.3">
      <c r="A62" s="39">
        <v>44729</v>
      </c>
      <c r="B62" s="38" t="s">
        <v>434</v>
      </c>
      <c r="C62" s="38" t="s">
        <v>433</v>
      </c>
      <c r="D62" s="38" t="s">
        <v>432</v>
      </c>
      <c r="E62" s="38" t="s">
        <v>431</v>
      </c>
      <c r="F62" s="9" t="s">
        <v>430</v>
      </c>
      <c r="G62" s="35" t="s">
        <v>429</v>
      </c>
      <c r="H62" s="40" t="s">
        <v>51</v>
      </c>
      <c r="I62" s="40" t="s">
        <v>428</v>
      </c>
      <c r="J62" s="38" t="s">
        <v>427</v>
      </c>
      <c r="K62" s="38" t="s">
        <v>51</v>
      </c>
      <c r="L62" s="28"/>
      <c r="M62" s="28"/>
    </row>
    <row r="63" spans="1:13" hidden="1" x14ac:dyDescent="0.3">
      <c r="A63" s="39">
        <v>44729</v>
      </c>
      <c r="B63" s="38" t="s">
        <v>408</v>
      </c>
      <c r="C63" s="38" t="s">
        <v>407</v>
      </c>
      <c r="D63" s="38" t="s">
        <v>406</v>
      </c>
      <c r="E63" s="38" t="s">
        <v>426</v>
      </c>
      <c r="F63" s="9" t="s">
        <v>425</v>
      </c>
      <c r="G63" s="35" t="s">
        <v>424</v>
      </c>
      <c r="H63" s="38" t="s">
        <v>51</v>
      </c>
      <c r="I63" s="38" t="s">
        <v>238</v>
      </c>
      <c r="J63" s="41" t="s">
        <v>423</v>
      </c>
      <c r="K63" s="38" t="s">
        <v>73</v>
      </c>
      <c r="L63" s="28"/>
      <c r="M63" s="28"/>
    </row>
    <row r="64" spans="1:13" hidden="1" x14ac:dyDescent="0.3">
      <c r="A64" s="39">
        <v>44729</v>
      </c>
      <c r="B64" s="38" t="s">
        <v>408</v>
      </c>
      <c r="C64" s="38" t="s">
        <v>407</v>
      </c>
      <c r="D64" s="38" t="s">
        <v>406</v>
      </c>
      <c r="E64" s="38" t="s">
        <v>421</v>
      </c>
      <c r="F64" s="9" t="s">
        <v>422</v>
      </c>
      <c r="G64" s="35" t="s">
        <v>421</v>
      </c>
      <c r="H64" s="38" t="s">
        <v>51</v>
      </c>
      <c r="I64" s="38" t="s">
        <v>420</v>
      </c>
      <c r="J64" s="38" t="s">
        <v>419</v>
      </c>
      <c r="K64" s="38" t="s">
        <v>51</v>
      </c>
      <c r="L64" s="28"/>
      <c r="M64" s="28"/>
    </row>
    <row r="65" spans="1:14" hidden="1" x14ac:dyDescent="0.3">
      <c r="A65" s="39">
        <v>44729</v>
      </c>
      <c r="B65" s="38" t="s">
        <v>408</v>
      </c>
      <c r="C65" s="38" t="s">
        <v>407</v>
      </c>
      <c r="D65" s="38" t="s">
        <v>406</v>
      </c>
      <c r="E65" s="38" t="s">
        <v>418</v>
      </c>
      <c r="F65" s="9" t="s">
        <v>417</v>
      </c>
      <c r="G65" s="35" t="s">
        <v>416</v>
      </c>
      <c r="H65" s="38" t="s">
        <v>17</v>
      </c>
      <c r="I65" s="38" t="s">
        <v>415</v>
      </c>
      <c r="J65" s="38" t="s">
        <v>414</v>
      </c>
      <c r="K65" s="38" t="s">
        <v>17</v>
      </c>
      <c r="L65" s="28"/>
      <c r="M65" s="28"/>
    </row>
    <row r="66" spans="1:14" hidden="1" x14ac:dyDescent="0.3">
      <c r="A66" s="39">
        <v>44729</v>
      </c>
      <c r="B66" s="38" t="s">
        <v>408</v>
      </c>
      <c r="C66" s="38" t="s">
        <v>407</v>
      </c>
      <c r="D66" s="38" t="s">
        <v>406</v>
      </c>
      <c r="E66" s="38" t="s">
        <v>413</v>
      </c>
      <c r="F66" s="9" t="s">
        <v>412</v>
      </c>
      <c r="G66" s="35" t="s">
        <v>411</v>
      </c>
      <c r="H66" s="38" t="s">
        <v>17</v>
      </c>
      <c r="I66" s="38" t="s">
        <v>410</v>
      </c>
      <c r="J66" s="38" t="s">
        <v>409</v>
      </c>
      <c r="K66" s="38" t="s">
        <v>17</v>
      </c>
      <c r="L66" s="28"/>
      <c r="M66" s="28"/>
    </row>
    <row r="67" spans="1:14" hidden="1" x14ac:dyDescent="0.3">
      <c r="A67" s="39">
        <v>44729</v>
      </c>
      <c r="B67" s="38" t="s">
        <v>408</v>
      </c>
      <c r="C67" s="38" t="s">
        <v>407</v>
      </c>
      <c r="D67" s="38" t="s">
        <v>406</v>
      </c>
      <c r="E67" s="38" t="s">
        <v>405</v>
      </c>
      <c r="F67" s="9" t="s">
        <v>404</v>
      </c>
      <c r="G67" s="35" t="s">
        <v>403</v>
      </c>
      <c r="H67" s="40" t="s">
        <v>101</v>
      </c>
      <c r="I67" s="40" t="s">
        <v>402</v>
      </c>
      <c r="J67" s="38" t="s">
        <v>401</v>
      </c>
      <c r="K67" s="38" t="s">
        <v>101</v>
      </c>
      <c r="L67" s="28"/>
      <c r="M67" s="28"/>
    </row>
    <row r="68" spans="1:14" x14ac:dyDescent="0.3">
      <c r="A68" s="36">
        <v>44729</v>
      </c>
      <c r="B68" s="9" t="s">
        <v>382</v>
      </c>
      <c r="C68" s="9" t="s">
        <v>381</v>
      </c>
      <c r="D68" s="9" t="s">
        <v>380</v>
      </c>
      <c r="E68" s="9" t="s">
        <v>399</v>
      </c>
      <c r="F68" s="9" t="s">
        <v>400</v>
      </c>
      <c r="G68" s="35" t="s">
        <v>399</v>
      </c>
      <c r="H68" s="9" t="s">
        <v>289</v>
      </c>
      <c r="I68" s="9" t="s">
        <v>398</v>
      </c>
      <c r="J68" s="9" t="s">
        <v>397</v>
      </c>
      <c r="K68" s="42" t="s">
        <v>184</v>
      </c>
      <c r="L68" s="10" t="s">
        <v>375</v>
      </c>
      <c r="M68" s="10" t="s">
        <v>396</v>
      </c>
    </row>
    <row r="69" spans="1:14" x14ac:dyDescent="0.3">
      <c r="A69" s="36">
        <v>44729</v>
      </c>
      <c r="B69" s="9" t="s">
        <v>382</v>
      </c>
      <c r="C69" s="9" t="s">
        <v>381</v>
      </c>
      <c r="D69" s="9" t="s">
        <v>380</v>
      </c>
      <c r="E69" s="9" t="s">
        <v>395</v>
      </c>
      <c r="F69" s="9" t="s">
        <v>394</v>
      </c>
      <c r="G69" s="35" t="s">
        <v>393</v>
      </c>
      <c r="H69" s="9" t="s">
        <v>51</v>
      </c>
      <c r="I69" s="9" t="s">
        <v>392</v>
      </c>
      <c r="J69" s="9" t="s">
        <v>391</v>
      </c>
      <c r="K69" s="42" t="s">
        <v>184</v>
      </c>
      <c r="L69" s="10" t="s">
        <v>375</v>
      </c>
      <c r="M69" s="10" t="s">
        <v>374</v>
      </c>
    </row>
    <row r="70" spans="1:14" x14ac:dyDescent="0.3">
      <c r="A70" s="36">
        <v>44729</v>
      </c>
      <c r="B70" s="9" t="s">
        <v>382</v>
      </c>
      <c r="C70" s="9" t="s">
        <v>381</v>
      </c>
      <c r="D70" s="9" t="s">
        <v>380</v>
      </c>
      <c r="E70" s="9" t="s">
        <v>389</v>
      </c>
      <c r="F70" s="9" t="s">
        <v>390</v>
      </c>
      <c r="G70" s="35" t="s">
        <v>389</v>
      </c>
      <c r="H70" s="9" t="s">
        <v>17</v>
      </c>
      <c r="I70" s="9" t="s">
        <v>388</v>
      </c>
      <c r="J70" s="9" t="s">
        <v>387</v>
      </c>
      <c r="K70" s="42" t="s">
        <v>184</v>
      </c>
      <c r="L70" s="10" t="s">
        <v>375</v>
      </c>
      <c r="M70" s="10" t="s">
        <v>374</v>
      </c>
    </row>
    <row r="71" spans="1:14" x14ac:dyDescent="0.3">
      <c r="A71" s="36">
        <v>44729</v>
      </c>
      <c r="B71" s="9" t="s">
        <v>382</v>
      </c>
      <c r="C71" s="9" t="s">
        <v>381</v>
      </c>
      <c r="D71" s="9" t="s">
        <v>380</v>
      </c>
      <c r="E71" s="9" t="s">
        <v>385</v>
      </c>
      <c r="F71" s="9" t="s">
        <v>386</v>
      </c>
      <c r="G71" s="35" t="s">
        <v>385</v>
      </c>
      <c r="H71" s="9" t="s">
        <v>17</v>
      </c>
      <c r="I71" s="9" t="s">
        <v>384</v>
      </c>
      <c r="J71" s="9" t="s">
        <v>383</v>
      </c>
      <c r="K71" s="42" t="s">
        <v>184</v>
      </c>
      <c r="L71" s="10" t="s">
        <v>375</v>
      </c>
      <c r="M71" s="10" t="s">
        <v>374</v>
      </c>
    </row>
    <row r="72" spans="1:14" x14ac:dyDescent="0.3">
      <c r="A72" s="36">
        <v>44729</v>
      </c>
      <c r="B72" s="9" t="s">
        <v>382</v>
      </c>
      <c r="C72" s="9" t="s">
        <v>381</v>
      </c>
      <c r="D72" s="9" t="s">
        <v>380</v>
      </c>
      <c r="E72" s="9" t="s">
        <v>378</v>
      </c>
      <c r="F72" s="9" t="s">
        <v>379</v>
      </c>
      <c r="G72" s="35" t="s">
        <v>378</v>
      </c>
      <c r="H72" s="9" t="s">
        <v>101</v>
      </c>
      <c r="I72" s="9" t="s">
        <v>377</v>
      </c>
      <c r="J72" s="9" t="s">
        <v>376</v>
      </c>
      <c r="K72" s="42" t="s">
        <v>184</v>
      </c>
      <c r="L72" s="10" t="s">
        <v>375</v>
      </c>
      <c r="M72" s="10" t="s">
        <v>374</v>
      </c>
    </row>
    <row r="73" spans="1:14" hidden="1" x14ac:dyDescent="0.3">
      <c r="A73" s="39">
        <v>44729</v>
      </c>
      <c r="B73" s="38" t="s">
        <v>349</v>
      </c>
      <c r="C73" s="38" t="s">
        <v>348</v>
      </c>
      <c r="D73" s="38" t="s">
        <v>347</v>
      </c>
      <c r="E73" s="38" t="s">
        <v>373</v>
      </c>
      <c r="F73" s="9" t="s">
        <v>372</v>
      </c>
      <c r="G73" s="35" t="s">
        <v>371</v>
      </c>
      <c r="H73" s="38" t="s">
        <v>27</v>
      </c>
      <c r="I73" s="38" t="s">
        <v>370</v>
      </c>
      <c r="J73" s="38" t="s">
        <v>369</v>
      </c>
      <c r="K73" s="38" t="s">
        <v>73</v>
      </c>
      <c r="L73" s="28" t="s">
        <v>368</v>
      </c>
      <c r="M73" s="28"/>
    </row>
    <row r="74" spans="1:14" hidden="1" x14ac:dyDescent="0.3">
      <c r="A74" s="39">
        <v>44729</v>
      </c>
      <c r="B74" s="38" t="s">
        <v>349</v>
      </c>
      <c r="C74" s="38" t="s">
        <v>348</v>
      </c>
      <c r="D74" s="38" t="s">
        <v>347</v>
      </c>
      <c r="E74" s="38" t="s">
        <v>366</v>
      </c>
      <c r="F74" s="9" t="s">
        <v>367</v>
      </c>
      <c r="G74" s="35" t="s">
        <v>366</v>
      </c>
      <c r="H74" s="40" t="s">
        <v>17</v>
      </c>
      <c r="I74" s="40" t="s">
        <v>365</v>
      </c>
      <c r="J74" s="38" t="s">
        <v>364</v>
      </c>
      <c r="K74" s="38" t="s">
        <v>17</v>
      </c>
      <c r="L74" s="28"/>
      <c r="M74" s="28"/>
    </row>
    <row r="75" spans="1:14" hidden="1" x14ac:dyDescent="0.3">
      <c r="A75" s="39">
        <v>44729</v>
      </c>
      <c r="B75" s="38" t="s">
        <v>349</v>
      </c>
      <c r="C75" s="38" t="s">
        <v>348</v>
      </c>
      <c r="D75" s="38" t="s">
        <v>347</v>
      </c>
      <c r="E75" s="38" t="s">
        <v>363</v>
      </c>
      <c r="F75" s="9" t="s">
        <v>362</v>
      </c>
      <c r="G75" s="35" t="s">
        <v>361</v>
      </c>
      <c r="H75" s="38" t="s">
        <v>17</v>
      </c>
      <c r="I75" s="38" t="s">
        <v>360</v>
      </c>
      <c r="J75" s="38" t="s">
        <v>359</v>
      </c>
      <c r="K75" s="38" t="s">
        <v>17</v>
      </c>
      <c r="L75" s="28"/>
      <c r="M75" s="28"/>
    </row>
    <row r="76" spans="1:14" hidden="1" x14ac:dyDescent="0.3">
      <c r="A76" s="39">
        <v>44729</v>
      </c>
      <c r="B76" s="38" t="s">
        <v>349</v>
      </c>
      <c r="C76" s="38" t="s">
        <v>348</v>
      </c>
      <c r="D76" s="38" t="s">
        <v>347</v>
      </c>
      <c r="E76" s="38" t="s">
        <v>357</v>
      </c>
      <c r="F76" s="9" t="s">
        <v>358</v>
      </c>
      <c r="G76" s="35" t="s">
        <v>357</v>
      </c>
      <c r="H76" s="38" t="s">
        <v>51</v>
      </c>
      <c r="I76" s="38" t="s">
        <v>356</v>
      </c>
      <c r="J76" s="38" t="s">
        <v>355</v>
      </c>
      <c r="K76" s="38" t="s">
        <v>51</v>
      </c>
      <c r="L76" s="28"/>
      <c r="M76" s="28"/>
    </row>
    <row r="77" spans="1:14" hidden="1" x14ac:dyDescent="0.3">
      <c r="A77" s="39">
        <v>44729</v>
      </c>
      <c r="B77" s="38" t="s">
        <v>349</v>
      </c>
      <c r="C77" s="38" t="s">
        <v>348</v>
      </c>
      <c r="D77" s="38" t="s">
        <v>347</v>
      </c>
      <c r="E77" s="38" t="s">
        <v>354</v>
      </c>
      <c r="F77" s="9" t="s">
        <v>353</v>
      </c>
      <c r="G77" s="35" t="s">
        <v>352</v>
      </c>
      <c r="H77" s="38" t="s">
        <v>42</v>
      </c>
      <c r="I77" s="38" t="s">
        <v>351</v>
      </c>
      <c r="J77" s="38" t="s">
        <v>350</v>
      </c>
      <c r="K77" s="38" t="s">
        <v>42</v>
      </c>
      <c r="L77" s="28"/>
      <c r="M77" s="28"/>
      <c r="N77" s="10" t="s">
        <v>42</v>
      </c>
    </row>
    <row r="78" spans="1:14" hidden="1" x14ac:dyDescent="0.3">
      <c r="A78" s="39">
        <v>44729</v>
      </c>
      <c r="B78" s="38" t="s">
        <v>349</v>
      </c>
      <c r="C78" s="38" t="s">
        <v>348</v>
      </c>
      <c r="D78" s="38" t="s">
        <v>347</v>
      </c>
      <c r="E78" s="41" t="s">
        <v>345</v>
      </c>
      <c r="F78" s="9" t="s">
        <v>346</v>
      </c>
      <c r="G78" s="35" t="s">
        <v>345</v>
      </c>
      <c r="H78" s="38" t="s">
        <v>101</v>
      </c>
      <c r="I78" s="38" t="s">
        <v>344</v>
      </c>
      <c r="J78" s="38" t="s">
        <v>343</v>
      </c>
      <c r="K78" s="38" t="s">
        <v>101</v>
      </c>
      <c r="L78" s="28"/>
      <c r="M78" s="28"/>
    </row>
    <row r="79" spans="1:14" ht="40.5" hidden="1" x14ac:dyDescent="0.3">
      <c r="A79" s="39">
        <v>44729</v>
      </c>
      <c r="B79" s="38" t="s">
        <v>337</v>
      </c>
      <c r="C79" s="38" t="s">
        <v>336</v>
      </c>
      <c r="D79" s="38" t="s">
        <v>335</v>
      </c>
      <c r="E79" s="38" t="s">
        <v>342</v>
      </c>
      <c r="F79" s="9" t="s">
        <v>341</v>
      </c>
      <c r="G79" s="35" t="s">
        <v>340</v>
      </c>
      <c r="H79" s="38" t="s">
        <v>27</v>
      </c>
      <c r="I79" s="38" t="s">
        <v>339</v>
      </c>
      <c r="J79" s="41" t="s">
        <v>338</v>
      </c>
      <c r="K79" s="38" t="s">
        <v>73</v>
      </c>
      <c r="L79" s="28"/>
      <c r="M79" s="28"/>
    </row>
    <row r="80" spans="1:14" ht="27" hidden="1" x14ac:dyDescent="0.3">
      <c r="A80" s="39">
        <v>44729</v>
      </c>
      <c r="B80" s="38" t="s">
        <v>337</v>
      </c>
      <c r="C80" s="38" t="s">
        <v>336</v>
      </c>
      <c r="D80" s="38" t="s">
        <v>335</v>
      </c>
      <c r="E80" s="38" t="s">
        <v>334</v>
      </c>
      <c r="F80" s="9" t="s">
        <v>333</v>
      </c>
      <c r="G80" s="35" t="s">
        <v>332</v>
      </c>
      <c r="H80" s="38" t="s">
        <v>27</v>
      </c>
      <c r="I80" s="38" t="s">
        <v>331</v>
      </c>
      <c r="J80" s="41" t="s">
        <v>330</v>
      </c>
      <c r="K80" s="38" t="s">
        <v>73</v>
      </c>
      <c r="L80" s="28"/>
      <c r="M80" s="28"/>
    </row>
    <row r="81" spans="1:14" ht="27" hidden="1" x14ac:dyDescent="0.3">
      <c r="A81" s="39">
        <v>44729</v>
      </c>
      <c r="B81" s="38" t="s">
        <v>300</v>
      </c>
      <c r="C81" s="38" t="s">
        <v>329</v>
      </c>
      <c r="D81" s="38" t="s">
        <v>328</v>
      </c>
      <c r="E81" s="38" t="s">
        <v>327</v>
      </c>
      <c r="F81" s="9" t="s">
        <v>326</v>
      </c>
      <c r="G81" s="35" t="s">
        <v>325</v>
      </c>
      <c r="H81" s="38" t="s">
        <v>324</v>
      </c>
      <c r="I81" s="41" t="s">
        <v>323</v>
      </c>
      <c r="J81" s="41" t="s">
        <v>322</v>
      </c>
      <c r="K81" s="38" t="s">
        <v>73</v>
      </c>
      <c r="L81" s="28"/>
      <c r="M81" s="28"/>
    </row>
    <row r="82" spans="1:14" ht="40.5" hidden="1" x14ac:dyDescent="0.3">
      <c r="A82" s="39">
        <v>44729</v>
      </c>
      <c r="B82" s="38" t="s">
        <v>300</v>
      </c>
      <c r="C82" s="38" t="s">
        <v>321</v>
      </c>
      <c r="D82" s="38" t="s">
        <v>320</v>
      </c>
      <c r="E82" s="38" t="s">
        <v>319</v>
      </c>
      <c r="F82" s="9" t="s">
        <v>318</v>
      </c>
      <c r="G82" s="35" t="s">
        <v>317</v>
      </c>
      <c r="H82" s="38" t="s">
        <v>316</v>
      </c>
      <c r="I82" s="41" t="s">
        <v>315</v>
      </c>
      <c r="J82" s="41" t="s">
        <v>314</v>
      </c>
      <c r="K82" s="38" t="s">
        <v>27</v>
      </c>
      <c r="L82" s="28"/>
      <c r="M82" s="28"/>
    </row>
    <row r="83" spans="1:14" hidden="1" x14ac:dyDescent="0.3">
      <c r="A83" s="39">
        <v>44729</v>
      </c>
      <c r="B83" s="38" t="s">
        <v>300</v>
      </c>
      <c r="C83" s="38" t="s">
        <v>313</v>
      </c>
      <c r="D83" s="38" t="s">
        <v>312</v>
      </c>
      <c r="E83" s="38" t="s">
        <v>310</v>
      </c>
      <c r="F83" s="9" t="s">
        <v>311</v>
      </c>
      <c r="G83" s="35" t="s">
        <v>310</v>
      </c>
      <c r="H83" s="38" t="s">
        <v>17</v>
      </c>
      <c r="I83" s="38" t="s">
        <v>309</v>
      </c>
      <c r="J83" s="38" t="s">
        <v>308</v>
      </c>
      <c r="K83" s="38" t="s">
        <v>17</v>
      </c>
      <c r="L83" s="28"/>
      <c r="M83" s="28"/>
    </row>
    <row r="84" spans="1:14" hidden="1" x14ac:dyDescent="0.3">
      <c r="A84" s="39">
        <v>44729</v>
      </c>
      <c r="B84" s="38" t="s">
        <v>300</v>
      </c>
      <c r="C84" s="38" t="s">
        <v>307</v>
      </c>
      <c r="D84" s="38" t="s">
        <v>306</v>
      </c>
      <c r="E84" s="38" t="s">
        <v>305</v>
      </c>
      <c r="F84" s="9" t="s">
        <v>304</v>
      </c>
      <c r="G84" s="35" t="s">
        <v>303</v>
      </c>
      <c r="H84" s="38" t="s">
        <v>17</v>
      </c>
      <c r="I84" s="38" t="s">
        <v>302</v>
      </c>
      <c r="J84" s="38" t="s">
        <v>301</v>
      </c>
      <c r="K84" s="38" t="s">
        <v>17</v>
      </c>
      <c r="L84" s="28"/>
      <c r="M84" s="28"/>
      <c r="N84" s="10" t="s">
        <v>17</v>
      </c>
    </row>
    <row r="85" spans="1:14" ht="27" hidden="1" x14ac:dyDescent="0.3">
      <c r="A85" s="39">
        <v>44729</v>
      </c>
      <c r="B85" s="38" t="s">
        <v>300</v>
      </c>
      <c r="C85" s="38" t="s">
        <v>299</v>
      </c>
      <c r="D85" s="38" t="s">
        <v>298</v>
      </c>
      <c r="E85" s="38" t="s">
        <v>297</v>
      </c>
      <c r="F85" s="9" t="s">
        <v>296</v>
      </c>
      <c r="G85" s="35" t="s">
        <v>295</v>
      </c>
      <c r="H85" s="38" t="s">
        <v>294</v>
      </c>
      <c r="I85" s="41" t="s">
        <v>293</v>
      </c>
      <c r="J85" s="41" t="s">
        <v>292</v>
      </c>
      <c r="K85" s="38" t="s">
        <v>51</v>
      </c>
      <c r="L85" s="28"/>
      <c r="M85" s="28"/>
    </row>
    <row r="86" spans="1:14" x14ac:dyDescent="0.3">
      <c r="A86" s="36">
        <v>44732</v>
      </c>
      <c r="B86" s="9" t="s">
        <v>271</v>
      </c>
      <c r="C86" s="9" t="s">
        <v>286</v>
      </c>
      <c r="D86" s="9" t="s">
        <v>285</v>
      </c>
      <c r="E86" s="9" t="s">
        <v>291</v>
      </c>
      <c r="F86" s="42" t="s">
        <v>283</v>
      </c>
      <c r="G86" s="43" t="s">
        <v>290</v>
      </c>
      <c r="H86" s="9" t="s">
        <v>289</v>
      </c>
      <c r="I86" s="9" t="s">
        <v>288</v>
      </c>
      <c r="J86" s="9" t="s">
        <v>287</v>
      </c>
      <c r="K86" s="42" t="s">
        <v>51</v>
      </c>
      <c r="L86" s="10" t="s">
        <v>131</v>
      </c>
      <c r="M86" s="37" t="s">
        <v>130</v>
      </c>
    </row>
    <row r="87" spans="1:14" ht="27" x14ac:dyDescent="0.3">
      <c r="A87" s="36">
        <v>44732</v>
      </c>
      <c r="B87" s="9" t="s">
        <v>271</v>
      </c>
      <c r="C87" s="9" t="s">
        <v>286</v>
      </c>
      <c r="D87" s="9" t="s">
        <v>285</v>
      </c>
      <c r="E87" s="9" t="s">
        <v>284</v>
      </c>
      <c r="F87" s="42" t="s">
        <v>283</v>
      </c>
      <c r="G87" s="43" t="s">
        <v>282</v>
      </c>
      <c r="H87" s="9" t="s">
        <v>274</v>
      </c>
      <c r="I87" s="35" t="s">
        <v>281</v>
      </c>
      <c r="J87" s="35" t="s">
        <v>280</v>
      </c>
      <c r="K87" s="42" t="s">
        <v>27</v>
      </c>
      <c r="L87" s="37" t="s">
        <v>131</v>
      </c>
      <c r="M87" s="37" t="s">
        <v>130</v>
      </c>
    </row>
    <row r="88" spans="1:14" ht="27" hidden="1" x14ac:dyDescent="0.3">
      <c r="A88" s="39">
        <v>44732</v>
      </c>
      <c r="B88" s="38" t="s">
        <v>271</v>
      </c>
      <c r="C88" s="38" t="s">
        <v>279</v>
      </c>
      <c r="D88" s="38" t="s">
        <v>278</v>
      </c>
      <c r="E88" s="38" t="s">
        <v>277</v>
      </c>
      <c r="F88" s="9" t="s">
        <v>276</v>
      </c>
      <c r="G88" s="35" t="s">
        <v>275</v>
      </c>
      <c r="H88" s="38" t="s">
        <v>274</v>
      </c>
      <c r="I88" s="41" t="s">
        <v>273</v>
      </c>
      <c r="J88" s="41" t="s">
        <v>272</v>
      </c>
      <c r="K88" s="38" t="s">
        <v>27</v>
      </c>
      <c r="L88" s="28"/>
      <c r="M88" s="28"/>
    </row>
    <row r="89" spans="1:14" hidden="1" x14ac:dyDescent="0.3">
      <c r="A89" s="39">
        <v>44732</v>
      </c>
      <c r="B89" s="38" t="s">
        <v>271</v>
      </c>
      <c r="C89" s="38" t="s">
        <v>270</v>
      </c>
      <c r="D89" s="38" t="s">
        <v>269</v>
      </c>
      <c r="E89" s="38" t="s">
        <v>268</v>
      </c>
      <c r="F89" s="9" t="s">
        <v>267</v>
      </c>
      <c r="G89" s="35" t="s">
        <v>266</v>
      </c>
      <c r="H89" s="38" t="s">
        <v>51</v>
      </c>
      <c r="I89" s="38" t="s">
        <v>265</v>
      </c>
      <c r="J89" s="38" t="s">
        <v>264</v>
      </c>
      <c r="K89" s="38" t="s">
        <v>51</v>
      </c>
      <c r="L89" s="28"/>
      <c r="M89" s="28"/>
    </row>
    <row r="90" spans="1:14" x14ac:dyDescent="0.3">
      <c r="A90" s="36">
        <v>44732</v>
      </c>
      <c r="B90" s="9" t="s">
        <v>244</v>
      </c>
      <c r="C90" s="9" t="s">
        <v>243</v>
      </c>
      <c r="D90" s="9" t="s">
        <v>242</v>
      </c>
      <c r="E90" s="9" t="s">
        <v>263</v>
      </c>
      <c r="F90" s="42" t="s">
        <v>262</v>
      </c>
      <c r="G90" s="43" t="s">
        <v>261</v>
      </c>
      <c r="H90" s="9" t="s">
        <v>27</v>
      </c>
      <c r="I90" s="9" t="s">
        <v>260</v>
      </c>
      <c r="J90" s="9" t="s">
        <v>259</v>
      </c>
      <c r="K90" s="42" t="s">
        <v>27</v>
      </c>
      <c r="L90" s="10" t="s">
        <v>131</v>
      </c>
      <c r="M90" s="10" t="s">
        <v>130</v>
      </c>
    </row>
    <row r="91" spans="1:14" x14ac:dyDescent="0.3">
      <c r="A91" s="36">
        <v>44732</v>
      </c>
      <c r="B91" s="9" t="s">
        <v>244</v>
      </c>
      <c r="C91" s="9" t="s">
        <v>243</v>
      </c>
      <c r="D91" s="9" t="s">
        <v>242</v>
      </c>
      <c r="E91" s="9" t="s">
        <v>258</v>
      </c>
      <c r="F91" s="42" t="s">
        <v>257</v>
      </c>
      <c r="G91" s="43" t="s">
        <v>256</v>
      </c>
      <c r="H91" s="9" t="s">
        <v>27</v>
      </c>
      <c r="I91" s="9" t="s">
        <v>255</v>
      </c>
      <c r="J91" s="9" t="s">
        <v>254</v>
      </c>
      <c r="K91" s="42" t="s">
        <v>27</v>
      </c>
      <c r="L91" s="10" t="s">
        <v>131</v>
      </c>
      <c r="M91" s="10" t="s">
        <v>130</v>
      </c>
    </row>
    <row r="92" spans="1:14" x14ac:dyDescent="0.3">
      <c r="A92" s="36">
        <v>44732</v>
      </c>
      <c r="B92" s="9" t="s">
        <v>244</v>
      </c>
      <c r="C92" s="9" t="s">
        <v>243</v>
      </c>
      <c r="D92" s="9" t="s">
        <v>242</v>
      </c>
      <c r="E92" s="9" t="s">
        <v>253</v>
      </c>
      <c r="F92" s="42" t="s">
        <v>252</v>
      </c>
      <c r="G92" s="43" t="s">
        <v>251</v>
      </c>
      <c r="H92" s="9" t="s">
        <v>17</v>
      </c>
      <c r="I92" s="9" t="s">
        <v>250</v>
      </c>
      <c r="J92" s="9" t="s">
        <v>249</v>
      </c>
      <c r="K92" s="42" t="s">
        <v>17</v>
      </c>
      <c r="L92" s="10" t="s">
        <v>131</v>
      </c>
      <c r="M92" s="10" t="s">
        <v>130</v>
      </c>
    </row>
    <row r="93" spans="1:14" x14ac:dyDescent="0.3">
      <c r="A93" s="36">
        <v>44732</v>
      </c>
      <c r="B93" s="9" t="s">
        <v>244</v>
      </c>
      <c r="C93" s="9" t="s">
        <v>243</v>
      </c>
      <c r="D93" s="9" t="s">
        <v>242</v>
      </c>
      <c r="E93" s="9" t="s">
        <v>248</v>
      </c>
      <c r="F93" s="42" t="s">
        <v>247</v>
      </c>
      <c r="G93" s="43" t="s">
        <v>246</v>
      </c>
      <c r="H93" s="9" t="s">
        <v>51</v>
      </c>
      <c r="I93" s="9" t="s">
        <v>238</v>
      </c>
      <c r="J93" s="9" t="s">
        <v>245</v>
      </c>
      <c r="K93" s="42" t="s">
        <v>73</v>
      </c>
      <c r="L93" s="10" t="s">
        <v>131</v>
      </c>
      <c r="M93" s="10" t="s">
        <v>130</v>
      </c>
    </row>
    <row r="94" spans="1:14" hidden="1" x14ac:dyDescent="0.3">
      <c r="A94" s="36">
        <v>44732</v>
      </c>
      <c r="B94" s="9" t="s">
        <v>244</v>
      </c>
      <c r="C94" s="38" t="s">
        <v>243</v>
      </c>
      <c r="D94" s="38" t="s">
        <v>242</v>
      </c>
      <c r="E94" s="36" t="s">
        <v>241</v>
      </c>
      <c r="F94" s="9" t="s">
        <v>240</v>
      </c>
      <c r="G94" s="35" t="s">
        <v>239</v>
      </c>
      <c r="H94" s="9" t="s">
        <v>51</v>
      </c>
      <c r="I94" s="9" t="s">
        <v>238</v>
      </c>
      <c r="J94" s="9" t="s">
        <v>237</v>
      </c>
      <c r="K94" s="9" t="s">
        <v>73</v>
      </c>
      <c r="L94" s="10"/>
      <c r="M94" s="10"/>
    </row>
    <row r="95" spans="1:14" hidden="1" x14ac:dyDescent="0.3">
      <c r="A95" s="39">
        <v>44732</v>
      </c>
      <c r="B95" s="38" t="s">
        <v>232</v>
      </c>
      <c r="C95" s="38" t="s">
        <v>231</v>
      </c>
      <c r="D95" s="38" t="s">
        <v>230</v>
      </c>
      <c r="E95" s="38" t="s">
        <v>235</v>
      </c>
      <c r="F95" s="9" t="s">
        <v>236</v>
      </c>
      <c r="G95" s="35" t="s">
        <v>235</v>
      </c>
      <c r="H95" s="40" t="s">
        <v>51</v>
      </c>
      <c r="I95" s="40" t="s">
        <v>234</v>
      </c>
      <c r="J95" s="38" t="s">
        <v>233</v>
      </c>
      <c r="K95" s="38" t="s">
        <v>51</v>
      </c>
      <c r="L95" s="28"/>
      <c r="M95" s="28"/>
    </row>
    <row r="96" spans="1:14" hidden="1" x14ac:dyDescent="0.3">
      <c r="A96" s="39">
        <v>44732</v>
      </c>
      <c r="B96" s="38" t="s">
        <v>232</v>
      </c>
      <c r="C96" s="38" t="s">
        <v>231</v>
      </c>
      <c r="D96" s="38" t="s">
        <v>230</v>
      </c>
      <c r="E96" s="38" t="s">
        <v>229</v>
      </c>
      <c r="F96" s="9" t="s">
        <v>229</v>
      </c>
      <c r="G96" s="35" t="s">
        <v>228</v>
      </c>
      <c r="H96" s="38" t="s">
        <v>51</v>
      </c>
      <c r="I96" s="38" t="s">
        <v>227</v>
      </c>
      <c r="J96" s="38" t="s">
        <v>226</v>
      </c>
      <c r="K96" s="38" t="s">
        <v>51</v>
      </c>
      <c r="L96" s="28"/>
      <c r="M96" s="28"/>
    </row>
    <row r="97" spans="1:13" hidden="1" x14ac:dyDescent="0.3">
      <c r="A97" s="39">
        <v>44732</v>
      </c>
      <c r="B97" s="38" t="s">
        <v>209</v>
      </c>
      <c r="C97" s="38" t="s">
        <v>208</v>
      </c>
      <c r="D97" s="38" t="s">
        <v>207</v>
      </c>
      <c r="E97" s="38" t="s">
        <v>224</v>
      </c>
      <c r="F97" s="9" t="s">
        <v>225</v>
      </c>
      <c r="G97" s="35" t="s">
        <v>224</v>
      </c>
      <c r="H97" s="38" t="s">
        <v>27</v>
      </c>
      <c r="I97" s="38" t="s">
        <v>223</v>
      </c>
      <c r="J97" s="38" t="s">
        <v>222</v>
      </c>
      <c r="K97" s="38" t="s">
        <v>51</v>
      </c>
      <c r="L97" s="28"/>
      <c r="M97" s="28"/>
    </row>
    <row r="98" spans="1:13" ht="27" hidden="1" x14ac:dyDescent="0.3">
      <c r="A98" s="39">
        <v>44732</v>
      </c>
      <c r="B98" s="38" t="s">
        <v>209</v>
      </c>
      <c r="C98" s="38" t="s">
        <v>208</v>
      </c>
      <c r="D98" s="38" t="s">
        <v>207</v>
      </c>
      <c r="E98" s="38" t="s">
        <v>220</v>
      </c>
      <c r="F98" s="9" t="s">
        <v>221</v>
      </c>
      <c r="G98" s="35" t="s">
        <v>220</v>
      </c>
      <c r="H98" s="38" t="s">
        <v>27</v>
      </c>
      <c r="I98" s="41" t="s">
        <v>219</v>
      </c>
      <c r="J98" s="41" t="s">
        <v>218</v>
      </c>
      <c r="K98" s="38" t="s">
        <v>51</v>
      </c>
      <c r="L98" s="28"/>
      <c r="M98" s="28"/>
    </row>
    <row r="99" spans="1:13" ht="27" hidden="1" x14ac:dyDescent="0.3">
      <c r="A99" s="39">
        <v>44732</v>
      </c>
      <c r="B99" s="38" t="s">
        <v>209</v>
      </c>
      <c r="C99" s="38" t="s">
        <v>208</v>
      </c>
      <c r="D99" s="38" t="s">
        <v>207</v>
      </c>
      <c r="E99" s="38" t="s">
        <v>216</v>
      </c>
      <c r="F99" s="9" t="s">
        <v>217</v>
      </c>
      <c r="G99" s="35" t="s">
        <v>216</v>
      </c>
      <c r="H99" s="38" t="s">
        <v>17</v>
      </c>
      <c r="I99" s="41" t="s">
        <v>215</v>
      </c>
      <c r="J99" s="38" t="s">
        <v>214</v>
      </c>
      <c r="K99" s="38" t="s">
        <v>17</v>
      </c>
      <c r="L99" s="28"/>
      <c r="M99" s="28"/>
    </row>
    <row r="100" spans="1:13" ht="27" hidden="1" x14ac:dyDescent="0.3">
      <c r="A100" s="39">
        <v>44732</v>
      </c>
      <c r="B100" s="38" t="s">
        <v>209</v>
      </c>
      <c r="C100" s="38" t="s">
        <v>208</v>
      </c>
      <c r="D100" s="38" t="s">
        <v>207</v>
      </c>
      <c r="E100" s="38" t="s">
        <v>212</v>
      </c>
      <c r="F100" s="9" t="s">
        <v>213</v>
      </c>
      <c r="G100" s="35" t="s">
        <v>212</v>
      </c>
      <c r="H100" s="38" t="s">
        <v>101</v>
      </c>
      <c r="I100" s="41" t="s">
        <v>211</v>
      </c>
      <c r="J100" s="41" t="s">
        <v>210</v>
      </c>
      <c r="K100" s="38" t="s">
        <v>101</v>
      </c>
      <c r="L100" s="28"/>
      <c r="M100" s="28"/>
    </row>
    <row r="101" spans="1:13" ht="27" hidden="1" x14ac:dyDescent="0.3">
      <c r="A101" s="39">
        <v>44732</v>
      </c>
      <c r="B101" s="38" t="s">
        <v>209</v>
      </c>
      <c r="C101" s="38" t="s">
        <v>208</v>
      </c>
      <c r="D101" s="38" t="s">
        <v>207</v>
      </c>
      <c r="E101" s="38" t="s">
        <v>206</v>
      </c>
      <c r="F101" s="9" t="s">
        <v>205</v>
      </c>
      <c r="G101" s="35" t="s">
        <v>204</v>
      </c>
      <c r="H101" s="38" t="s">
        <v>203</v>
      </c>
      <c r="I101" s="41" t="s">
        <v>202</v>
      </c>
      <c r="J101" s="41" t="s">
        <v>201</v>
      </c>
      <c r="K101" s="38" t="s">
        <v>17</v>
      </c>
      <c r="L101" s="28"/>
      <c r="M101" s="28"/>
    </row>
    <row r="102" spans="1:13" ht="27" hidden="1" x14ac:dyDescent="0.3">
      <c r="A102" s="39">
        <v>44732</v>
      </c>
      <c r="B102" s="38" t="s">
        <v>200</v>
      </c>
      <c r="C102" s="38" t="s">
        <v>199</v>
      </c>
      <c r="D102" s="38" t="s">
        <v>198</v>
      </c>
      <c r="E102" s="38" t="s">
        <v>197</v>
      </c>
      <c r="F102" s="9" t="s">
        <v>196</v>
      </c>
      <c r="G102" s="35" t="s">
        <v>195</v>
      </c>
      <c r="H102" s="38" t="s">
        <v>194</v>
      </c>
      <c r="I102" s="41" t="s">
        <v>193</v>
      </c>
      <c r="J102" s="41" t="s">
        <v>192</v>
      </c>
      <c r="K102" s="38" t="s">
        <v>51</v>
      </c>
      <c r="L102" s="28"/>
      <c r="M102" s="28"/>
    </row>
    <row r="103" spans="1:13" x14ac:dyDescent="0.3">
      <c r="A103" s="36">
        <v>44732</v>
      </c>
      <c r="B103" s="9" t="s">
        <v>188</v>
      </c>
      <c r="C103" s="9" t="s">
        <v>187</v>
      </c>
      <c r="D103" s="9" t="s">
        <v>186</v>
      </c>
      <c r="E103" s="9" t="s">
        <v>191</v>
      </c>
      <c r="F103" s="42" t="s">
        <v>184</v>
      </c>
      <c r="G103" s="42" t="s">
        <v>184</v>
      </c>
      <c r="H103" s="9" t="s">
        <v>17</v>
      </c>
      <c r="I103" s="35" t="s">
        <v>190</v>
      </c>
      <c r="J103" s="9" t="s">
        <v>189</v>
      </c>
      <c r="K103" s="42" t="s">
        <v>17</v>
      </c>
      <c r="L103" s="10" t="s">
        <v>131</v>
      </c>
      <c r="M103" s="37" t="s">
        <v>181</v>
      </c>
    </row>
    <row r="104" spans="1:13" x14ac:dyDescent="0.3">
      <c r="A104" s="36">
        <v>44732</v>
      </c>
      <c r="B104" s="9" t="s">
        <v>188</v>
      </c>
      <c r="C104" s="9" t="s">
        <v>187</v>
      </c>
      <c r="D104" s="9" t="s">
        <v>186</v>
      </c>
      <c r="E104" s="9" t="s">
        <v>185</v>
      </c>
      <c r="F104" s="42" t="s">
        <v>184</v>
      </c>
      <c r="G104" s="42" t="s">
        <v>184</v>
      </c>
      <c r="H104" s="9" t="s">
        <v>17</v>
      </c>
      <c r="I104" s="9" t="s">
        <v>183</v>
      </c>
      <c r="J104" s="9" t="s">
        <v>182</v>
      </c>
      <c r="K104" s="42" t="s">
        <v>17</v>
      </c>
      <c r="L104" s="10" t="s">
        <v>131</v>
      </c>
      <c r="M104" s="37" t="s">
        <v>181</v>
      </c>
    </row>
    <row r="105" spans="1:13" hidden="1" x14ac:dyDescent="0.3">
      <c r="A105" s="39">
        <v>44732</v>
      </c>
      <c r="B105" s="38" t="s">
        <v>174</v>
      </c>
      <c r="C105" s="38" t="s">
        <v>173</v>
      </c>
      <c r="D105" s="38" t="s">
        <v>172</v>
      </c>
      <c r="E105" s="38" t="s">
        <v>178</v>
      </c>
      <c r="F105" s="9" t="s">
        <v>178</v>
      </c>
      <c r="G105" s="35" t="s">
        <v>170</v>
      </c>
      <c r="H105" s="38" t="s">
        <v>17</v>
      </c>
      <c r="I105" s="38" t="s">
        <v>180</v>
      </c>
      <c r="J105" s="38" t="s">
        <v>179</v>
      </c>
      <c r="K105" s="38" t="s">
        <v>17</v>
      </c>
      <c r="L105" s="28"/>
      <c r="M105" s="28"/>
    </row>
    <row r="106" spans="1:13" hidden="1" x14ac:dyDescent="0.3">
      <c r="A106" s="39">
        <v>44732</v>
      </c>
      <c r="B106" s="38" t="s">
        <v>174</v>
      </c>
      <c r="C106" s="38" t="s">
        <v>173</v>
      </c>
      <c r="D106" s="38" t="s">
        <v>172</v>
      </c>
      <c r="E106" s="38" t="s">
        <v>178</v>
      </c>
      <c r="F106" s="9" t="s">
        <v>178</v>
      </c>
      <c r="G106" s="35" t="s">
        <v>170</v>
      </c>
      <c r="H106" s="38" t="s">
        <v>17</v>
      </c>
      <c r="I106" s="38" t="s">
        <v>177</v>
      </c>
      <c r="J106" s="38" t="s">
        <v>176</v>
      </c>
      <c r="K106" s="38" t="s">
        <v>17</v>
      </c>
      <c r="L106" s="28" t="s">
        <v>175</v>
      </c>
      <c r="M106" s="28"/>
    </row>
    <row r="107" spans="1:13" hidden="1" x14ac:dyDescent="0.3">
      <c r="A107" s="39">
        <v>44732</v>
      </c>
      <c r="B107" s="38" t="s">
        <v>174</v>
      </c>
      <c r="C107" s="38" t="s">
        <v>173</v>
      </c>
      <c r="D107" s="38" t="s">
        <v>172</v>
      </c>
      <c r="E107" s="38" t="s">
        <v>171</v>
      </c>
      <c r="F107" s="9" t="s">
        <v>171</v>
      </c>
      <c r="G107" s="35" t="s">
        <v>170</v>
      </c>
      <c r="H107" s="40" t="s">
        <v>17</v>
      </c>
      <c r="I107" s="40" t="s">
        <v>169</v>
      </c>
      <c r="J107" s="38" t="s">
        <v>168</v>
      </c>
      <c r="K107" s="38" t="s">
        <v>17</v>
      </c>
      <c r="L107" s="28"/>
      <c r="M107" s="28"/>
    </row>
    <row r="108" spans="1:13" hidden="1" x14ac:dyDescent="0.3">
      <c r="A108" s="39">
        <v>44732</v>
      </c>
      <c r="B108" s="38" t="s">
        <v>147</v>
      </c>
      <c r="C108" s="38" t="s">
        <v>146</v>
      </c>
      <c r="D108" s="38" t="s">
        <v>145</v>
      </c>
      <c r="E108" s="38" t="s">
        <v>167</v>
      </c>
      <c r="F108" s="9" t="s">
        <v>166</v>
      </c>
      <c r="G108" s="35" t="s">
        <v>165</v>
      </c>
      <c r="H108" s="38" t="s">
        <v>51</v>
      </c>
      <c r="I108" s="38" t="s">
        <v>164</v>
      </c>
      <c r="J108" s="38" t="s">
        <v>163</v>
      </c>
      <c r="K108" s="38" t="s">
        <v>51</v>
      </c>
      <c r="L108" s="28"/>
      <c r="M108" s="28"/>
    </row>
    <row r="109" spans="1:13" hidden="1" x14ac:dyDescent="0.3">
      <c r="A109" s="39">
        <v>44732</v>
      </c>
      <c r="B109" s="38" t="s">
        <v>147</v>
      </c>
      <c r="C109" s="38" t="s">
        <v>146</v>
      </c>
      <c r="D109" s="38" t="s">
        <v>145</v>
      </c>
      <c r="E109" s="38" t="s">
        <v>162</v>
      </c>
      <c r="F109" s="9" t="s">
        <v>161</v>
      </c>
      <c r="G109" s="35" t="s">
        <v>160</v>
      </c>
      <c r="H109" s="38" t="s">
        <v>27</v>
      </c>
      <c r="I109" s="38" t="s">
        <v>159</v>
      </c>
      <c r="J109" s="38" t="s">
        <v>158</v>
      </c>
      <c r="K109" s="38" t="s">
        <v>27</v>
      </c>
      <c r="L109" s="28"/>
      <c r="M109" s="28"/>
    </row>
    <row r="110" spans="1:13" hidden="1" x14ac:dyDescent="0.3">
      <c r="A110" s="39">
        <v>44732</v>
      </c>
      <c r="B110" s="38" t="s">
        <v>147</v>
      </c>
      <c r="C110" s="38" t="s">
        <v>146</v>
      </c>
      <c r="D110" s="38" t="s">
        <v>145</v>
      </c>
      <c r="E110" s="38" t="s">
        <v>157</v>
      </c>
      <c r="F110" s="9" t="s">
        <v>156</v>
      </c>
      <c r="G110" s="35" t="s">
        <v>155</v>
      </c>
      <c r="H110" s="38" t="s">
        <v>17</v>
      </c>
      <c r="I110" s="38" t="s">
        <v>154</v>
      </c>
      <c r="J110" s="38" t="s">
        <v>153</v>
      </c>
      <c r="K110" s="38" t="s">
        <v>17</v>
      </c>
      <c r="L110" s="28"/>
      <c r="M110" s="28"/>
    </row>
    <row r="111" spans="1:13" hidden="1" x14ac:dyDescent="0.3">
      <c r="A111" s="39">
        <v>44732</v>
      </c>
      <c r="B111" s="38" t="s">
        <v>147</v>
      </c>
      <c r="C111" s="38" t="s">
        <v>146</v>
      </c>
      <c r="D111" s="38" t="s">
        <v>145</v>
      </c>
      <c r="E111" s="38" t="s">
        <v>152</v>
      </c>
      <c r="F111" s="9" t="s">
        <v>151</v>
      </c>
      <c r="G111" s="35" t="s">
        <v>150</v>
      </c>
      <c r="H111" s="38" t="s">
        <v>42</v>
      </c>
      <c r="I111" s="38" t="s">
        <v>149</v>
      </c>
      <c r="J111" s="38" t="s">
        <v>148</v>
      </c>
      <c r="K111" s="38" t="s">
        <v>42</v>
      </c>
      <c r="L111" s="28"/>
      <c r="M111" s="28"/>
    </row>
    <row r="112" spans="1:13" hidden="1" x14ac:dyDescent="0.3">
      <c r="A112" s="39">
        <v>44732</v>
      </c>
      <c r="B112" s="38" t="s">
        <v>147</v>
      </c>
      <c r="C112" s="38" t="s">
        <v>146</v>
      </c>
      <c r="D112" s="38" t="s">
        <v>145</v>
      </c>
      <c r="E112" s="38" t="s">
        <v>144</v>
      </c>
      <c r="F112" s="9" t="s">
        <v>143</v>
      </c>
      <c r="G112" s="35" t="s">
        <v>142</v>
      </c>
      <c r="H112" s="38" t="s">
        <v>42</v>
      </c>
      <c r="I112" s="38" t="s">
        <v>141</v>
      </c>
      <c r="J112" s="38" t="s">
        <v>140</v>
      </c>
      <c r="K112" s="38" t="s">
        <v>42</v>
      </c>
      <c r="L112" s="28"/>
      <c r="M112" s="28"/>
    </row>
    <row r="113" spans="1:14" ht="68.25" customHeight="1" x14ac:dyDescent="0.3">
      <c r="A113" s="36">
        <v>44732</v>
      </c>
      <c r="B113" s="9" t="s">
        <v>139</v>
      </c>
      <c r="C113" s="9" t="s">
        <v>138</v>
      </c>
      <c r="D113" s="9" t="s">
        <v>137</v>
      </c>
      <c r="E113" s="9" t="s">
        <v>136</v>
      </c>
      <c r="F113" s="42" t="s">
        <v>136</v>
      </c>
      <c r="G113" s="42" t="s">
        <v>135</v>
      </c>
      <c r="H113" s="9" t="s">
        <v>134</v>
      </c>
      <c r="I113" s="35" t="s">
        <v>133</v>
      </c>
      <c r="J113" s="35" t="s">
        <v>132</v>
      </c>
      <c r="K113" s="42" t="s">
        <v>73</v>
      </c>
      <c r="L113" s="10" t="s">
        <v>131</v>
      </c>
      <c r="M113" s="37" t="s">
        <v>130</v>
      </c>
    </row>
    <row r="114" spans="1:14" ht="27" hidden="1" x14ac:dyDescent="0.3">
      <c r="A114" s="39">
        <v>44732</v>
      </c>
      <c r="B114" s="38" t="s">
        <v>109</v>
      </c>
      <c r="C114" s="38" t="s">
        <v>108</v>
      </c>
      <c r="D114" s="38" t="s">
        <v>107</v>
      </c>
      <c r="E114" s="41" t="s">
        <v>129</v>
      </c>
      <c r="F114" s="9" t="s">
        <v>128</v>
      </c>
      <c r="G114" s="35" t="s">
        <v>127</v>
      </c>
      <c r="H114" s="38" t="s">
        <v>51</v>
      </c>
      <c r="I114" s="38" t="s">
        <v>126</v>
      </c>
      <c r="J114" s="38" t="s">
        <v>125</v>
      </c>
      <c r="K114" s="38" t="s">
        <v>51</v>
      </c>
      <c r="L114" s="28"/>
      <c r="M114" s="28"/>
      <c r="N114" s="10" t="s">
        <v>51</v>
      </c>
    </row>
    <row r="115" spans="1:14" ht="27" hidden="1" x14ac:dyDescent="0.3">
      <c r="A115" s="39">
        <v>44732</v>
      </c>
      <c r="B115" s="38" t="s">
        <v>109</v>
      </c>
      <c r="C115" s="38" t="s">
        <v>108</v>
      </c>
      <c r="D115" s="38" t="s">
        <v>107</v>
      </c>
      <c r="E115" s="41" t="s">
        <v>124</v>
      </c>
      <c r="F115" s="9" t="s">
        <v>123</v>
      </c>
      <c r="G115" s="35" t="s">
        <v>122</v>
      </c>
      <c r="H115" s="38" t="s">
        <v>51</v>
      </c>
      <c r="I115" s="38" t="s">
        <v>121</v>
      </c>
      <c r="J115" s="38" t="s">
        <v>120</v>
      </c>
      <c r="K115" s="38" t="s">
        <v>73</v>
      </c>
      <c r="L115" s="28"/>
      <c r="M115" s="28"/>
    </row>
    <row r="116" spans="1:14" ht="27" hidden="1" x14ac:dyDescent="0.3">
      <c r="A116" s="39">
        <v>44732</v>
      </c>
      <c r="B116" s="38" t="s">
        <v>109</v>
      </c>
      <c r="C116" s="38" t="s">
        <v>108</v>
      </c>
      <c r="D116" s="38" t="s">
        <v>107</v>
      </c>
      <c r="E116" s="41" t="s">
        <v>119</v>
      </c>
      <c r="F116" s="9" t="s">
        <v>118</v>
      </c>
      <c r="G116" s="35" t="s">
        <v>117</v>
      </c>
      <c r="H116" s="38" t="s">
        <v>17</v>
      </c>
      <c r="I116" s="38" t="s">
        <v>116</v>
      </c>
      <c r="J116" s="38" t="s">
        <v>115</v>
      </c>
      <c r="K116" s="38" t="s">
        <v>17</v>
      </c>
      <c r="L116" s="28"/>
      <c r="M116" s="28"/>
    </row>
    <row r="117" spans="1:14" ht="27" hidden="1" x14ac:dyDescent="0.3">
      <c r="A117" s="39">
        <v>44732</v>
      </c>
      <c r="B117" s="38" t="s">
        <v>109</v>
      </c>
      <c r="C117" s="38" t="s">
        <v>108</v>
      </c>
      <c r="D117" s="38" t="s">
        <v>107</v>
      </c>
      <c r="E117" s="41" t="s">
        <v>114</v>
      </c>
      <c r="F117" s="9" t="s">
        <v>113</v>
      </c>
      <c r="G117" s="35" t="s">
        <v>112</v>
      </c>
      <c r="H117" s="38" t="s">
        <v>17</v>
      </c>
      <c r="I117" s="38" t="s">
        <v>111</v>
      </c>
      <c r="J117" s="38" t="s">
        <v>110</v>
      </c>
      <c r="K117" s="38" t="s">
        <v>17</v>
      </c>
      <c r="L117" s="28"/>
      <c r="M117" s="28"/>
      <c r="N117" s="10" t="s">
        <v>17</v>
      </c>
    </row>
    <row r="118" spans="1:14" ht="27" hidden="1" x14ac:dyDescent="0.3">
      <c r="A118" s="39">
        <v>44732</v>
      </c>
      <c r="B118" s="38" t="s">
        <v>109</v>
      </c>
      <c r="C118" s="38" t="s">
        <v>108</v>
      </c>
      <c r="D118" s="38" t="s">
        <v>107</v>
      </c>
      <c r="E118" s="41" t="s">
        <v>106</v>
      </c>
      <c r="F118" s="9" t="s">
        <v>105</v>
      </c>
      <c r="G118" s="35" t="s">
        <v>104</v>
      </c>
      <c r="H118" s="38" t="s">
        <v>101</v>
      </c>
      <c r="I118" s="38" t="s">
        <v>103</v>
      </c>
      <c r="J118" s="38" t="s">
        <v>102</v>
      </c>
      <c r="K118" s="38" t="s">
        <v>101</v>
      </c>
      <c r="L118" s="28"/>
      <c r="M118" s="28"/>
      <c r="N118" s="10" t="s">
        <v>101</v>
      </c>
    </row>
    <row r="119" spans="1:14" hidden="1" x14ac:dyDescent="0.3">
      <c r="A119" s="39">
        <v>44732</v>
      </c>
      <c r="B119" s="39" t="s">
        <v>100</v>
      </c>
      <c r="C119" s="39" t="s">
        <v>99</v>
      </c>
      <c r="D119" s="39" t="s">
        <v>98</v>
      </c>
      <c r="E119" s="39" t="s">
        <v>97</v>
      </c>
      <c r="F119" s="9" t="s">
        <v>96</v>
      </c>
      <c r="G119" s="35" t="s">
        <v>95</v>
      </c>
      <c r="H119" s="39" t="s">
        <v>27</v>
      </c>
      <c r="I119" s="39" t="s">
        <v>94</v>
      </c>
      <c r="J119" s="39" t="s">
        <v>93</v>
      </c>
      <c r="K119" s="39" t="s">
        <v>27</v>
      </c>
      <c r="L119" s="28"/>
      <c r="M119" s="28"/>
      <c r="N119" s="10" t="s">
        <v>27</v>
      </c>
    </row>
    <row r="120" spans="1:14" hidden="1" x14ac:dyDescent="0.3">
      <c r="A120" s="39">
        <v>44732</v>
      </c>
      <c r="B120" s="38" t="s">
        <v>81</v>
      </c>
      <c r="C120" s="38" t="s">
        <v>80</v>
      </c>
      <c r="D120" s="38" t="s">
        <v>79</v>
      </c>
      <c r="E120" s="38" t="s">
        <v>92</v>
      </c>
      <c r="F120" s="9" t="s">
        <v>91</v>
      </c>
      <c r="G120" s="35" t="s">
        <v>90</v>
      </c>
      <c r="H120" s="38" t="s">
        <v>17</v>
      </c>
      <c r="I120" s="38" t="s">
        <v>86</v>
      </c>
      <c r="J120" s="41" t="s">
        <v>85</v>
      </c>
      <c r="K120" s="38" t="s">
        <v>17</v>
      </c>
      <c r="L120" s="28"/>
      <c r="M120" s="28"/>
    </row>
    <row r="121" spans="1:14" hidden="1" x14ac:dyDescent="0.3">
      <c r="A121" s="39">
        <v>44732</v>
      </c>
      <c r="B121" s="38" t="s">
        <v>81</v>
      </c>
      <c r="C121" s="38" t="s">
        <v>80</v>
      </c>
      <c r="D121" s="38" t="s">
        <v>79</v>
      </c>
      <c r="E121" s="38" t="s">
        <v>89</v>
      </c>
      <c r="F121" s="9" t="s">
        <v>88</v>
      </c>
      <c r="G121" s="35" t="s">
        <v>87</v>
      </c>
      <c r="H121" s="38" t="s">
        <v>17</v>
      </c>
      <c r="I121" s="38" t="s">
        <v>86</v>
      </c>
      <c r="J121" s="41" t="s">
        <v>85</v>
      </c>
      <c r="K121" s="38" t="s">
        <v>17</v>
      </c>
      <c r="L121" s="28"/>
      <c r="M121" s="28"/>
    </row>
    <row r="122" spans="1:14" hidden="1" x14ac:dyDescent="0.3">
      <c r="A122" s="39">
        <v>44732</v>
      </c>
      <c r="B122" s="38" t="s">
        <v>81</v>
      </c>
      <c r="C122" s="38" t="s">
        <v>80</v>
      </c>
      <c r="D122" s="38" t="s">
        <v>79</v>
      </c>
      <c r="E122" s="38" t="s">
        <v>84</v>
      </c>
      <c r="F122" s="9" t="s">
        <v>83</v>
      </c>
      <c r="G122" s="35" t="s">
        <v>82</v>
      </c>
      <c r="H122" s="38" t="s">
        <v>27</v>
      </c>
      <c r="I122" s="38" t="s">
        <v>75</v>
      </c>
      <c r="J122" s="38" t="s">
        <v>74</v>
      </c>
      <c r="K122" s="38" t="s">
        <v>73</v>
      </c>
      <c r="L122" s="28"/>
      <c r="M122" s="28"/>
    </row>
    <row r="123" spans="1:14" hidden="1" x14ac:dyDescent="0.3">
      <c r="A123" s="39">
        <v>44732</v>
      </c>
      <c r="B123" s="38" t="s">
        <v>81</v>
      </c>
      <c r="C123" s="38" t="s">
        <v>80</v>
      </c>
      <c r="D123" s="38" t="s">
        <v>79</v>
      </c>
      <c r="E123" s="38" t="s">
        <v>78</v>
      </c>
      <c r="F123" s="9" t="s">
        <v>77</v>
      </c>
      <c r="G123" s="35" t="s">
        <v>76</v>
      </c>
      <c r="H123" s="38" t="s">
        <v>27</v>
      </c>
      <c r="I123" s="38" t="s">
        <v>75</v>
      </c>
      <c r="J123" s="38" t="s">
        <v>74</v>
      </c>
      <c r="K123" s="38" t="s">
        <v>73</v>
      </c>
      <c r="L123" s="28"/>
      <c r="M123" s="28"/>
    </row>
    <row r="124" spans="1:14" hidden="1" x14ac:dyDescent="0.3">
      <c r="A124" s="39">
        <v>44732</v>
      </c>
      <c r="B124" s="38" t="s">
        <v>50</v>
      </c>
      <c r="C124" s="38" t="s">
        <v>49</v>
      </c>
      <c r="D124" s="38" t="s">
        <v>48</v>
      </c>
      <c r="E124" s="38" t="s">
        <v>72</v>
      </c>
      <c r="F124" s="9" t="s">
        <v>71</v>
      </c>
      <c r="G124" s="35" t="s">
        <v>70</v>
      </c>
      <c r="H124" s="38" t="s">
        <v>17</v>
      </c>
      <c r="I124" s="38" t="s">
        <v>69</v>
      </c>
      <c r="J124" s="38" t="s">
        <v>68</v>
      </c>
      <c r="K124" s="38" t="s">
        <v>17</v>
      </c>
      <c r="L124" s="28"/>
      <c r="M124" s="28"/>
    </row>
    <row r="125" spans="1:14" hidden="1" x14ac:dyDescent="0.3">
      <c r="A125" s="39">
        <v>44732</v>
      </c>
      <c r="B125" s="38" t="s">
        <v>50</v>
      </c>
      <c r="C125" s="38" t="s">
        <v>49</v>
      </c>
      <c r="D125" s="38" t="s">
        <v>48</v>
      </c>
      <c r="E125" s="38" t="s">
        <v>67</v>
      </c>
      <c r="F125" s="9" t="s">
        <v>66</v>
      </c>
      <c r="G125" s="35" t="s">
        <v>65</v>
      </c>
      <c r="H125" s="38" t="s">
        <v>27</v>
      </c>
      <c r="I125" s="38" t="s">
        <v>64</v>
      </c>
      <c r="J125" s="38" t="s">
        <v>63</v>
      </c>
      <c r="K125" s="38" t="s">
        <v>27</v>
      </c>
      <c r="L125" s="28"/>
      <c r="M125" s="28"/>
    </row>
    <row r="126" spans="1:14" ht="27" hidden="1" x14ac:dyDescent="0.3">
      <c r="A126" s="39">
        <v>44732</v>
      </c>
      <c r="B126" s="38" t="s">
        <v>50</v>
      </c>
      <c r="C126" s="38" t="s">
        <v>49</v>
      </c>
      <c r="D126" s="38" t="s">
        <v>48</v>
      </c>
      <c r="E126" s="38" t="s">
        <v>62</v>
      </c>
      <c r="F126" s="9" t="s">
        <v>61</v>
      </c>
      <c r="G126" s="35" t="s">
        <v>60</v>
      </c>
      <c r="H126" s="38" t="s">
        <v>59</v>
      </c>
      <c r="I126" s="41" t="s">
        <v>58</v>
      </c>
      <c r="J126" s="41" t="s">
        <v>57</v>
      </c>
      <c r="K126" s="38" t="s">
        <v>17</v>
      </c>
      <c r="L126" s="28"/>
      <c r="M126" s="28"/>
    </row>
    <row r="127" spans="1:14" hidden="1" x14ac:dyDescent="0.3">
      <c r="A127" s="39">
        <v>44732</v>
      </c>
      <c r="B127" s="38" t="s">
        <v>50</v>
      </c>
      <c r="C127" s="38" t="s">
        <v>49</v>
      </c>
      <c r="D127" s="38" t="s">
        <v>48</v>
      </c>
      <c r="E127" s="38" t="s">
        <v>56</v>
      </c>
      <c r="F127" s="9" t="s">
        <v>55</v>
      </c>
      <c r="G127" s="35" t="s">
        <v>54</v>
      </c>
      <c r="H127" s="40" t="s">
        <v>51</v>
      </c>
      <c r="I127" s="40" t="s">
        <v>53</v>
      </c>
      <c r="J127" s="38" t="s">
        <v>52</v>
      </c>
      <c r="K127" s="38" t="s">
        <v>51</v>
      </c>
      <c r="L127" s="28"/>
      <c r="M127" s="28"/>
    </row>
    <row r="128" spans="1:14" hidden="1" x14ac:dyDescent="0.3">
      <c r="A128" s="39">
        <v>44732</v>
      </c>
      <c r="B128" s="38" t="s">
        <v>50</v>
      </c>
      <c r="C128" s="38" t="s">
        <v>49</v>
      </c>
      <c r="D128" s="38" t="s">
        <v>48</v>
      </c>
      <c r="E128" s="38" t="s">
        <v>47</v>
      </c>
      <c r="F128" s="9" t="s">
        <v>46</v>
      </c>
      <c r="G128" s="35" t="s">
        <v>45</v>
      </c>
      <c r="H128" s="38" t="s">
        <v>42</v>
      </c>
      <c r="I128" s="38" t="s">
        <v>44</v>
      </c>
      <c r="J128" s="38" t="s">
        <v>43</v>
      </c>
      <c r="K128" s="38" t="s">
        <v>42</v>
      </c>
      <c r="L128" s="28"/>
      <c r="M128" s="28"/>
    </row>
    <row r="129" spans="1:11" hidden="1" x14ac:dyDescent="0.3">
      <c r="A129" s="36">
        <v>44734</v>
      </c>
      <c r="B129" s="9" t="s">
        <v>36</v>
      </c>
      <c r="C129" s="9" t="s">
        <v>35</v>
      </c>
      <c r="D129" s="9" t="s">
        <v>34</v>
      </c>
      <c r="E129" s="35" t="s">
        <v>41</v>
      </c>
      <c r="F129" s="9" t="s">
        <v>40</v>
      </c>
      <c r="G129" s="9" t="s">
        <v>39</v>
      </c>
      <c r="H129" s="9" t="s">
        <v>17</v>
      </c>
      <c r="I129" s="10" t="s">
        <v>38</v>
      </c>
      <c r="J129" s="10" t="s">
        <v>37</v>
      </c>
      <c r="K129" s="10" t="s">
        <v>17</v>
      </c>
    </row>
    <row r="130" spans="1:11" ht="27" hidden="1" x14ac:dyDescent="0.3">
      <c r="A130" s="36">
        <v>44734</v>
      </c>
      <c r="B130" s="9" t="s">
        <v>36</v>
      </c>
      <c r="C130" s="9" t="s">
        <v>35</v>
      </c>
      <c r="D130" s="9" t="s">
        <v>34</v>
      </c>
      <c r="E130" s="9" t="s">
        <v>33</v>
      </c>
      <c r="F130" s="9" t="s">
        <v>32</v>
      </c>
      <c r="G130" s="9" t="s">
        <v>31</v>
      </c>
      <c r="H130" s="9" t="s">
        <v>30</v>
      </c>
      <c r="I130" s="37" t="s">
        <v>29</v>
      </c>
      <c r="J130" s="37" t="s">
        <v>28</v>
      </c>
      <c r="K130" s="10" t="s">
        <v>27</v>
      </c>
    </row>
    <row r="131" spans="1:11" ht="27" hidden="1" x14ac:dyDescent="0.3">
      <c r="A131" s="36">
        <v>44734</v>
      </c>
      <c r="B131" s="9" t="s">
        <v>26</v>
      </c>
      <c r="C131" s="35" t="s">
        <v>25</v>
      </c>
      <c r="D131" s="35" t="s">
        <v>24</v>
      </c>
      <c r="E131" s="35" t="s">
        <v>23</v>
      </c>
      <c r="F131" s="9" t="s">
        <v>22</v>
      </c>
      <c r="G131" s="9" t="s">
        <v>21</v>
      </c>
      <c r="H131" s="9" t="s">
        <v>20</v>
      </c>
      <c r="I131" s="10" t="s">
        <v>19</v>
      </c>
      <c r="J131" s="10" t="s">
        <v>18</v>
      </c>
      <c r="K131" s="10" t="s">
        <v>17</v>
      </c>
    </row>
    <row r="1048459" spans="14:14" x14ac:dyDescent="0.3">
      <c r="N1048459" s="11"/>
    </row>
    <row r="1048460" spans="14:14" x14ac:dyDescent="0.3">
      <c r="N1048460" s="10"/>
    </row>
    <row r="1048461" spans="14:14" x14ac:dyDescent="0.3">
      <c r="N1048461" s="10"/>
    </row>
    <row r="1048462" spans="14:14" x14ac:dyDescent="0.3">
      <c r="N1048462" s="10"/>
    </row>
    <row r="1048463" spans="14:14" x14ac:dyDescent="0.3">
      <c r="N1048463" s="10"/>
    </row>
    <row r="1048464" spans="14:14" x14ac:dyDescent="0.3">
      <c r="N1048464" s="10"/>
    </row>
    <row r="1048465" spans="14:14" x14ac:dyDescent="0.3">
      <c r="N1048465" s="10"/>
    </row>
    <row r="1048466" spans="14:14" x14ac:dyDescent="0.3">
      <c r="N1048466" s="10"/>
    </row>
    <row r="1048467" spans="14:14" x14ac:dyDescent="0.3">
      <c r="N1048467" s="10"/>
    </row>
    <row r="1048468" spans="14:14" x14ac:dyDescent="0.3">
      <c r="N1048468" s="10"/>
    </row>
    <row r="1048469" spans="14:14" x14ac:dyDescent="0.3">
      <c r="N1048469" s="10"/>
    </row>
    <row r="1048470" spans="14:14" x14ac:dyDescent="0.3">
      <c r="N1048470" s="10"/>
    </row>
    <row r="1048471" spans="14:14" x14ac:dyDescent="0.3">
      <c r="N1048471" s="10"/>
    </row>
  </sheetData>
  <autoFilter ref="A1:N131" xr:uid="{00000000-0009-0000-0000-000003000000}">
    <filterColumn colId="12">
      <customFilters>
        <customFilter operator="notEqual" val=" "/>
      </customFilters>
    </filterColumn>
  </autoFilter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9CFD7-FC04-49CF-A288-3473291A6856}">
  <sheetPr codeName="Sheet4" filterMode="1">
    <tabColor rgb="FF92D050"/>
  </sheetPr>
  <dimension ref="A1:N131"/>
  <sheetViews>
    <sheetView topLeftCell="K1" zoomScaleNormal="100" workbookViewId="0">
      <pane ySplit="1" topLeftCell="A2" activePane="bottomLeft" state="frozen"/>
      <selection activeCell="F4" sqref="F4"/>
      <selection pane="bottomLeft" activeCell="F4" sqref="F4"/>
    </sheetView>
  </sheetViews>
  <sheetFormatPr defaultColWidth="9" defaultRowHeight="16.5" x14ac:dyDescent="0.3"/>
  <cols>
    <col min="1" max="1" width="9.75" style="9" bestFit="1" customWidth="1"/>
    <col min="2" max="2" width="28.25" style="9" bestFit="1" customWidth="1"/>
    <col min="3" max="3" width="12.125" style="9" customWidth="1"/>
    <col min="4" max="4" width="12.625" style="9" customWidth="1"/>
    <col min="5" max="5" width="40.375" style="9" customWidth="1"/>
    <col min="6" max="6" width="34.125" style="9" customWidth="1"/>
    <col min="7" max="7" width="28.375" style="9" customWidth="1"/>
    <col min="8" max="8" width="30.25" style="9" customWidth="1"/>
    <col min="9" max="9" width="38.75" style="8" customWidth="1"/>
    <col min="10" max="10" width="62.875" style="8" customWidth="1"/>
    <col min="11" max="11" width="15.75" style="8" customWidth="1"/>
    <col min="12" max="12" width="22.25" style="8" customWidth="1"/>
    <col min="13" max="13" width="86.625" style="8" bestFit="1" customWidth="1"/>
    <col min="14" max="14" width="12.25" style="8" bestFit="1" customWidth="1"/>
    <col min="15" max="16384" width="9" style="8"/>
  </cols>
  <sheetData>
    <row r="1" spans="1:14" x14ac:dyDescent="0.3">
      <c r="A1" s="11" t="s">
        <v>805</v>
      </c>
      <c r="B1" s="11" t="s">
        <v>804</v>
      </c>
      <c r="C1" s="11" t="s">
        <v>803</v>
      </c>
      <c r="D1" s="11" t="s">
        <v>802</v>
      </c>
      <c r="E1" s="11" t="s">
        <v>801</v>
      </c>
      <c r="F1" s="11" t="s">
        <v>800</v>
      </c>
      <c r="G1" s="11" t="s">
        <v>799</v>
      </c>
      <c r="H1" s="11" t="s">
        <v>798</v>
      </c>
      <c r="I1" s="51" t="s">
        <v>797</v>
      </c>
      <c r="J1" s="51" t="s">
        <v>796</v>
      </c>
      <c r="K1" s="11" t="s">
        <v>795</v>
      </c>
      <c r="L1" s="11" t="s">
        <v>794</v>
      </c>
      <c r="M1" s="50" t="s">
        <v>793</v>
      </c>
      <c r="N1" s="49" t="s">
        <v>792</v>
      </c>
    </row>
    <row r="2" spans="1:14" ht="58.5" hidden="1" customHeight="1" x14ac:dyDescent="0.3">
      <c r="A2" s="39">
        <v>44721</v>
      </c>
      <c r="B2" s="38" t="s">
        <v>791</v>
      </c>
      <c r="C2" s="38" t="s">
        <v>790</v>
      </c>
      <c r="D2" s="38" t="s">
        <v>789</v>
      </c>
      <c r="E2" s="38" t="s">
        <v>788</v>
      </c>
      <c r="F2" s="9" t="s">
        <v>787</v>
      </c>
      <c r="G2" s="9" t="s">
        <v>786</v>
      </c>
      <c r="H2" s="38" t="s">
        <v>30</v>
      </c>
      <c r="I2" s="41" t="s">
        <v>785</v>
      </c>
      <c r="J2" s="41" t="s">
        <v>784</v>
      </c>
      <c r="K2" s="38" t="s">
        <v>17</v>
      </c>
      <c r="L2" s="28"/>
      <c r="M2" s="28"/>
    </row>
    <row r="3" spans="1:14" hidden="1" x14ac:dyDescent="0.3">
      <c r="A3" s="39">
        <v>44722</v>
      </c>
      <c r="B3" s="38" t="s">
        <v>769</v>
      </c>
      <c r="C3" s="38" t="s">
        <v>768</v>
      </c>
      <c r="D3" s="38" t="s">
        <v>767</v>
      </c>
      <c r="E3" s="38" t="s">
        <v>781</v>
      </c>
      <c r="F3" s="9" t="s">
        <v>780</v>
      </c>
      <c r="G3" s="9" t="s">
        <v>779</v>
      </c>
      <c r="H3" s="38" t="s">
        <v>778</v>
      </c>
      <c r="I3" s="41" t="s">
        <v>777</v>
      </c>
      <c r="J3" s="41" t="s">
        <v>776</v>
      </c>
      <c r="K3" s="38" t="s">
        <v>27</v>
      </c>
      <c r="L3" s="28" t="s">
        <v>175</v>
      </c>
      <c r="M3" s="28"/>
    </row>
    <row r="4" spans="1:14" hidden="1" x14ac:dyDescent="0.3">
      <c r="A4" s="39">
        <v>44722</v>
      </c>
      <c r="B4" s="38" t="s">
        <v>769</v>
      </c>
      <c r="C4" s="38" t="s">
        <v>768</v>
      </c>
      <c r="D4" s="38" t="s">
        <v>767</v>
      </c>
      <c r="E4" s="41" t="s">
        <v>775</v>
      </c>
      <c r="F4" s="35" t="s">
        <v>774</v>
      </c>
      <c r="G4" s="35" t="s">
        <v>773</v>
      </c>
      <c r="H4" s="38" t="s">
        <v>27</v>
      </c>
      <c r="I4" s="41" t="s">
        <v>772</v>
      </c>
      <c r="J4" s="41" t="s">
        <v>771</v>
      </c>
      <c r="K4" s="38" t="s">
        <v>27</v>
      </c>
      <c r="L4" s="28"/>
      <c r="M4" s="28"/>
    </row>
    <row r="5" spans="1:14" hidden="1" x14ac:dyDescent="0.3">
      <c r="A5" s="39">
        <v>44722</v>
      </c>
      <c r="B5" s="38" t="s">
        <v>769</v>
      </c>
      <c r="C5" s="38" t="s">
        <v>768</v>
      </c>
      <c r="D5" s="38" t="s">
        <v>767</v>
      </c>
      <c r="E5" s="41" t="s">
        <v>765</v>
      </c>
      <c r="F5" s="35" t="s">
        <v>766</v>
      </c>
      <c r="G5" s="35" t="s">
        <v>765</v>
      </c>
      <c r="H5" s="38" t="s">
        <v>27</v>
      </c>
      <c r="I5" s="41" t="s">
        <v>764</v>
      </c>
      <c r="J5" s="41" t="s">
        <v>763</v>
      </c>
      <c r="K5" s="38" t="s">
        <v>27</v>
      </c>
      <c r="L5" s="28"/>
      <c r="M5" s="28"/>
    </row>
    <row r="6" spans="1:14" hidden="1" x14ac:dyDescent="0.3">
      <c r="A6" s="39">
        <v>44722</v>
      </c>
      <c r="B6" s="38" t="s">
        <v>757</v>
      </c>
      <c r="C6" s="38" t="s">
        <v>756</v>
      </c>
      <c r="D6" s="38" t="s">
        <v>755</v>
      </c>
      <c r="E6" s="38" t="s">
        <v>762</v>
      </c>
      <c r="F6" s="9" t="s">
        <v>761</v>
      </c>
      <c r="G6" s="9" t="s">
        <v>760</v>
      </c>
      <c r="H6" s="38" t="s">
        <v>42</v>
      </c>
      <c r="I6" s="41" t="s">
        <v>759</v>
      </c>
      <c r="J6" s="41" t="s">
        <v>758</v>
      </c>
      <c r="K6" s="38" t="s">
        <v>42</v>
      </c>
      <c r="L6" s="28"/>
      <c r="M6" s="28"/>
    </row>
    <row r="7" spans="1:14" x14ac:dyDescent="0.3">
      <c r="A7" s="36">
        <v>44722</v>
      </c>
      <c r="B7" s="9" t="s">
        <v>757</v>
      </c>
      <c r="C7" s="9" t="s">
        <v>756</v>
      </c>
      <c r="D7" s="9" t="s">
        <v>755</v>
      </c>
      <c r="E7" s="35" t="s">
        <v>754</v>
      </c>
      <c r="F7" s="35" t="s">
        <v>753</v>
      </c>
      <c r="G7" s="35" t="s">
        <v>752</v>
      </c>
      <c r="H7" s="9" t="s">
        <v>42</v>
      </c>
      <c r="I7" s="35" t="s">
        <v>751</v>
      </c>
      <c r="J7" s="35" t="s">
        <v>750</v>
      </c>
      <c r="K7" s="9" t="s">
        <v>42</v>
      </c>
      <c r="L7" s="28"/>
      <c r="M7" s="28"/>
      <c r="N7" s="10" t="s">
        <v>42</v>
      </c>
    </row>
    <row r="8" spans="1:14" hidden="1" x14ac:dyDescent="0.3">
      <c r="A8" s="39">
        <v>44722</v>
      </c>
      <c r="B8" s="38" t="s">
        <v>730</v>
      </c>
      <c r="C8" s="38" t="s">
        <v>729</v>
      </c>
      <c r="D8" s="38" t="s">
        <v>728</v>
      </c>
      <c r="E8" s="38" t="s">
        <v>749</v>
      </c>
      <c r="F8" s="9" t="s">
        <v>748</v>
      </c>
      <c r="G8" s="35" t="s">
        <v>747</v>
      </c>
      <c r="H8" s="38" t="s">
        <v>683</v>
      </c>
      <c r="I8" s="41" t="s">
        <v>746</v>
      </c>
      <c r="J8" s="41" t="s">
        <v>745</v>
      </c>
      <c r="K8" s="38" t="s">
        <v>683</v>
      </c>
      <c r="L8" s="28"/>
      <c r="M8" s="28"/>
    </row>
    <row r="9" spans="1:14" hidden="1" x14ac:dyDescent="0.3">
      <c r="A9" s="39">
        <v>44722</v>
      </c>
      <c r="B9" s="38" t="s">
        <v>730</v>
      </c>
      <c r="C9" s="38" t="s">
        <v>729</v>
      </c>
      <c r="D9" s="38" t="s">
        <v>728</v>
      </c>
      <c r="E9" s="38" t="s">
        <v>744</v>
      </c>
      <c r="F9" s="9" t="s">
        <v>743</v>
      </c>
      <c r="G9" s="35" t="s">
        <v>742</v>
      </c>
      <c r="H9" s="38" t="s">
        <v>101</v>
      </c>
      <c r="I9" s="41" t="s">
        <v>741</v>
      </c>
      <c r="J9" s="41" t="s">
        <v>736</v>
      </c>
      <c r="K9" s="38" t="s">
        <v>101</v>
      </c>
      <c r="L9" s="28"/>
      <c r="M9" s="28"/>
    </row>
    <row r="10" spans="1:14" hidden="1" x14ac:dyDescent="0.3">
      <c r="A10" s="39">
        <v>44722</v>
      </c>
      <c r="B10" s="38" t="s">
        <v>730</v>
      </c>
      <c r="C10" s="38" t="s">
        <v>729</v>
      </c>
      <c r="D10" s="38" t="s">
        <v>728</v>
      </c>
      <c r="E10" s="38" t="s">
        <v>740</v>
      </c>
      <c r="F10" s="9" t="s">
        <v>739</v>
      </c>
      <c r="G10" s="35" t="s">
        <v>738</v>
      </c>
      <c r="H10" s="38" t="s">
        <v>101</v>
      </c>
      <c r="I10" s="41" t="s">
        <v>737</v>
      </c>
      <c r="J10" s="41" t="s">
        <v>736</v>
      </c>
      <c r="K10" s="38" t="s">
        <v>101</v>
      </c>
      <c r="L10" s="28"/>
      <c r="M10" s="28"/>
    </row>
    <row r="11" spans="1:14" hidden="1" x14ac:dyDescent="0.3">
      <c r="A11" s="39">
        <v>44722</v>
      </c>
      <c r="B11" s="38" t="s">
        <v>730</v>
      </c>
      <c r="C11" s="38" t="s">
        <v>729</v>
      </c>
      <c r="D11" s="38" t="s">
        <v>728</v>
      </c>
      <c r="E11" s="38" t="s">
        <v>735</v>
      </c>
      <c r="F11" s="9" t="s">
        <v>734</v>
      </c>
      <c r="G11" s="35" t="s">
        <v>733</v>
      </c>
      <c r="H11" s="38" t="s">
        <v>17</v>
      </c>
      <c r="I11" s="41" t="s">
        <v>732</v>
      </c>
      <c r="J11" s="41" t="s">
        <v>731</v>
      </c>
      <c r="K11" s="38" t="s">
        <v>17</v>
      </c>
      <c r="L11" s="28"/>
      <c r="M11" s="28"/>
    </row>
    <row r="12" spans="1:14" hidden="1" x14ac:dyDescent="0.3">
      <c r="A12" s="39">
        <v>44722</v>
      </c>
      <c r="B12" s="38" t="s">
        <v>730</v>
      </c>
      <c r="C12" s="38" t="s">
        <v>729</v>
      </c>
      <c r="D12" s="38" t="s">
        <v>728</v>
      </c>
      <c r="E12" s="38" t="s">
        <v>727</v>
      </c>
      <c r="F12" s="9" t="s">
        <v>726</v>
      </c>
      <c r="G12" s="35" t="s">
        <v>725</v>
      </c>
      <c r="H12" s="38" t="s">
        <v>17</v>
      </c>
      <c r="I12" s="41" t="s">
        <v>724</v>
      </c>
      <c r="J12" s="41" t="s">
        <v>723</v>
      </c>
      <c r="K12" s="38" t="s">
        <v>17</v>
      </c>
      <c r="L12" s="28"/>
      <c r="M12" s="28"/>
    </row>
    <row r="13" spans="1:14" ht="27" hidden="1" x14ac:dyDescent="0.3">
      <c r="A13" s="36">
        <v>44727</v>
      </c>
      <c r="B13" s="36" t="s">
        <v>722</v>
      </c>
      <c r="C13" s="36" t="s">
        <v>721</v>
      </c>
      <c r="D13" s="36" t="s">
        <v>720</v>
      </c>
      <c r="E13" s="36" t="s">
        <v>719</v>
      </c>
      <c r="F13" s="9" t="s">
        <v>718</v>
      </c>
      <c r="G13" s="35" t="s">
        <v>717</v>
      </c>
      <c r="H13" s="36" t="s">
        <v>716</v>
      </c>
      <c r="I13" s="48" t="s">
        <v>715</v>
      </c>
      <c r="J13" s="48" t="s">
        <v>714</v>
      </c>
      <c r="K13" s="42" t="s">
        <v>101</v>
      </c>
      <c r="L13" s="10" t="s">
        <v>659</v>
      </c>
      <c r="M13" s="37" t="s">
        <v>713</v>
      </c>
    </row>
    <row r="14" spans="1:14" ht="27" x14ac:dyDescent="0.3">
      <c r="A14" s="36">
        <v>44727</v>
      </c>
      <c r="B14" s="9" t="s">
        <v>712</v>
      </c>
      <c r="C14" s="9" t="s">
        <v>711</v>
      </c>
      <c r="D14" s="9" t="s">
        <v>710</v>
      </c>
      <c r="E14" s="9" t="s">
        <v>708</v>
      </c>
      <c r="F14" s="9" t="s">
        <v>709</v>
      </c>
      <c r="G14" s="35" t="s">
        <v>708</v>
      </c>
      <c r="H14" s="9" t="s">
        <v>707</v>
      </c>
      <c r="I14" s="35" t="s">
        <v>706</v>
      </c>
      <c r="J14" s="35" t="s">
        <v>705</v>
      </c>
      <c r="K14" s="9" t="s">
        <v>101</v>
      </c>
      <c r="L14" s="28"/>
      <c r="M14" s="10"/>
      <c r="N14" s="10" t="s">
        <v>101</v>
      </c>
    </row>
    <row r="15" spans="1:14" x14ac:dyDescent="0.3">
      <c r="A15" s="36">
        <v>44727</v>
      </c>
      <c r="B15" s="36" t="s">
        <v>704</v>
      </c>
      <c r="C15" s="36" t="s">
        <v>703</v>
      </c>
      <c r="D15" s="36" t="s">
        <v>702</v>
      </c>
      <c r="E15" s="36" t="s">
        <v>701</v>
      </c>
      <c r="F15" s="9" t="s">
        <v>700</v>
      </c>
      <c r="G15" s="35" t="s">
        <v>699</v>
      </c>
      <c r="H15" s="36" t="s">
        <v>17</v>
      </c>
      <c r="I15" s="36" t="s">
        <v>698</v>
      </c>
      <c r="J15" s="36" t="s">
        <v>697</v>
      </c>
      <c r="K15" s="36" t="s">
        <v>17</v>
      </c>
      <c r="L15" s="28"/>
      <c r="M15" s="28"/>
      <c r="N15" s="10" t="s">
        <v>17</v>
      </c>
    </row>
    <row r="16" spans="1:14" ht="27" hidden="1" x14ac:dyDescent="0.3">
      <c r="A16" s="39">
        <v>44727</v>
      </c>
      <c r="B16" s="39" t="s">
        <v>696</v>
      </c>
      <c r="C16" s="39" t="s">
        <v>695</v>
      </c>
      <c r="D16" s="39" t="s">
        <v>694</v>
      </c>
      <c r="E16" s="39" t="s">
        <v>693</v>
      </c>
      <c r="F16" s="9" t="s">
        <v>692</v>
      </c>
      <c r="G16" s="35" t="s">
        <v>691</v>
      </c>
      <c r="H16" s="39" t="s">
        <v>27</v>
      </c>
      <c r="I16" s="47" t="s">
        <v>690</v>
      </c>
      <c r="J16" s="47" t="s">
        <v>689</v>
      </c>
      <c r="K16" s="39" t="s">
        <v>27</v>
      </c>
      <c r="L16" s="28"/>
      <c r="M16" s="28"/>
    </row>
    <row r="17" spans="1:14" ht="40.5" hidden="1" x14ac:dyDescent="0.3">
      <c r="A17" s="39">
        <v>44727</v>
      </c>
      <c r="B17" s="38" t="s">
        <v>682</v>
      </c>
      <c r="C17" s="38" t="s">
        <v>681</v>
      </c>
      <c r="D17" s="38" t="s">
        <v>680</v>
      </c>
      <c r="E17" s="38" t="s">
        <v>687</v>
      </c>
      <c r="F17" s="9" t="s">
        <v>688</v>
      </c>
      <c r="G17" s="35" t="s">
        <v>687</v>
      </c>
      <c r="H17" s="38" t="s">
        <v>686</v>
      </c>
      <c r="I17" s="41" t="s">
        <v>685</v>
      </c>
      <c r="J17" s="41" t="s">
        <v>684</v>
      </c>
      <c r="K17" s="38" t="s">
        <v>683</v>
      </c>
      <c r="L17" s="28"/>
      <c r="M17" s="28"/>
    </row>
    <row r="18" spans="1:14" ht="40.5" hidden="1" x14ac:dyDescent="0.3">
      <c r="A18" s="39">
        <v>44727</v>
      </c>
      <c r="B18" s="38" t="s">
        <v>682</v>
      </c>
      <c r="C18" s="38" t="s">
        <v>681</v>
      </c>
      <c r="D18" s="38" t="s">
        <v>680</v>
      </c>
      <c r="E18" s="38" t="s">
        <v>678</v>
      </c>
      <c r="F18" s="9" t="s">
        <v>679</v>
      </c>
      <c r="G18" s="35" t="s">
        <v>678</v>
      </c>
      <c r="H18" s="38" t="s">
        <v>27</v>
      </c>
      <c r="I18" s="41" t="s">
        <v>677</v>
      </c>
      <c r="J18" s="38" t="s">
        <v>676</v>
      </c>
      <c r="K18" s="38" t="s">
        <v>27</v>
      </c>
      <c r="L18" s="28"/>
      <c r="M18" s="28"/>
    </row>
    <row r="19" spans="1:14" ht="54" hidden="1" x14ac:dyDescent="0.3">
      <c r="A19" s="36">
        <v>44727</v>
      </c>
      <c r="B19" s="9" t="s">
        <v>653</v>
      </c>
      <c r="C19" s="9" t="s">
        <v>652</v>
      </c>
      <c r="D19" s="9" t="s">
        <v>651</v>
      </c>
      <c r="E19" s="9" t="s">
        <v>675</v>
      </c>
      <c r="F19" s="9" t="s">
        <v>674</v>
      </c>
      <c r="G19" s="35" t="s">
        <v>673</v>
      </c>
      <c r="H19" s="9" t="s">
        <v>194</v>
      </c>
      <c r="I19" s="35" t="s">
        <v>672</v>
      </c>
      <c r="J19" s="35" t="s">
        <v>671</v>
      </c>
      <c r="K19" s="42" t="s">
        <v>184</v>
      </c>
      <c r="L19" s="10" t="s">
        <v>375</v>
      </c>
      <c r="M19" s="37" t="s">
        <v>658</v>
      </c>
    </row>
    <row r="20" spans="1:14" ht="67.5" hidden="1" x14ac:dyDescent="0.3">
      <c r="A20" s="36">
        <v>44727</v>
      </c>
      <c r="B20" s="9" t="s">
        <v>653</v>
      </c>
      <c r="C20" s="9" t="s">
        <v>652</v>
      </c>
      <c r="D20" s="9" t="s">
        <v>651</v>
      </c>
      <c r="E20" s="9" t="s">
        <v>670</v>
      </c>
      <c r="F20" s="9" t="s">
        <v>669</v>
      </c>
      <c r="G20" s="35" t="s">
        <v>668</v>
      </c>
      <c r="H20" s="9" t="s">
        <v>667</v>
      </c>
      <c r="I20" s="35" t="s">
        <v>666</v>
      </c>
      <c r="J20" s="35" t="s">
        <v>665</v>
      </c>
      <c r="K20" s="42" t="s">
        <v>184</v>
      </c>
      <c r="L20" s="10" t="s">
        <v>375</v>
      </c>
      <c r="M20" s="37" t="s">
        <v>658</v>
      </c>
    </row>
    <row r="21" spans="1:14" ht="27" hidden="1" x14ac:dyDescent="0.3">
      <c r="A21" s="36">
        <v>44727</v>
      </c>
      <c r="B21" s="9" t="s">
        <v>653</v>
      </c>
      <c r="C21" s="9" t="s">
        <v>652</v>
      </c>
      <c r="D21" s="9" t="s">
        <v>651</v>
      </c>
      <c r="E21" s="9" t="s">
        <v>664</v>
      </c>
      <c r="F21" s="9" t="s">
        <v>664</v>
      </c>
      <c r="G21" s="35" t="s">
        <v>663</v>
      </c>
      <c r="H21" s="9" t="s">
        <v>662</v>
      </c>
      <c r="I21" s="35" t="s">
        <v>661</v>
      </c>
      <c r="J21" s="35" t="s">
        <v>660</v>
      </c>
      <c r="K21" s="42" t="s">
        <v>184</v>
      </c>
      <c r="L21" s="10" t="s">
        <v>659</v>
      </c>
      <c r="M21" s="37" t="s">
        <v>658</v>
      </c>
      <c r="N21" s="37"/>
    </row>
    <row r="22" spans="1:14" hidden="1" x14ac:dyDescent="0.3">
      <c r="A22" s="36">
        <v>44727</v>
      </c>
      <c r="B22" s="9" t="s">
        <v>653</v>
      </c>
      <c r="C22" s="9" t="s">
        <v>652</v>
      </c>
      <c r="D22" s="9" t="s">
        <v>651</v>
      </c>
      <c r="E22" s="9" t="s">
        <v>657</v>
      </c>
      <c r="F22" s="9" t="s">
        <v>657</v>
      </c>
      <c r="G22" s="35" t="s">
        <v>656</v>
      </c>
      <c r="H22" s="9" t="s">
        <v>27</v>
      </c>
      <c r="I22" s="35" t="s">
        <v>655</v>
      </c>
      <c r="J22" s="35" t="s">
        <v>654</v>
      </c>
      <c r="K22" s="42" t="s">
        <v>184</v>
      </c>
      <c r="L22" s="10" t="s">
        <v>375</v>
      </c>
      <c r="M22" s="37" t="s">
        <v>396</v>
      </c>
    </row>
    <row r="23" spans="1:14" hidden="1" x14ac:dyDescent="0.3">
      <c r="A23" s="36">
        <v>44727</v>
      </c>
      <c r="B23" s="9" t="s">
        <v>653</v>
      </c>
      <c r="C23" s="9" t="s">
        <v>652</v>
      </c>
      <c r="D23" s="9" t="s">
        <v>651</v>
      </c>
      <c r="E23" s="9" t="s">
        <v>650</v>
      </c>
      <c r="F23" s="9" t="s">
        <v>650</v>
      </c>
      <c r="G23" s="35" t="s">
        <v>649</v>
      </c>
      <c r="H23" s="9" t="s">
        <v>27</v>
      </c>
      <c r="I23" s="35" t="s">
        <v>648</v>
      </c>
      <c r="J23" s="9" t="s">
        <v>647</v>
      </c>
      <c r="K23" s="42" t="s">
        <v>184</v>
      </c>
      <c r="L23" s="10" t="s">
        <v>375</v>
      </c>
      <c r="M23" s="37" t="s">
        <v>396</v>
      </c>
    </row>
    <row r="24" spans="1:14" hidden="1" x14ac:dyDescent="0.3">
      <c r="A24" s="39">
        <v>44727</v>
      </c>
      <c r="B24" s="39" t="s">
        <v>623</v>
      </c>
      <c r="C24" s="38" t="s">
        <v>622</v>
      </c>
      <c r="D24" s="38" t="s">
        <v>621</v>
      </c>
      <c r="E24" s="38" t="s">
        <v>646</v>
      </c>
      <c r="F24" s="9" t="s">
        <v>638</v>
      </c>
      <c r="G24" s="35" t="s">
        <v>646</v>
      </c>
      <c r="H24" s="38" t="s">
        <v>27</v>
      </c>
      <c r="I24" s="38" t="s">
        <v>645</v>
      </c>
      <c r="J24" s="38" t="s">
        <v>644</v>
      </c>
      <c r="K24" s="38" t="s">
        <v>27</v>
      </c>
      <c r="L24" s="28"/>
      <c r="M24" s="28"/>
    </row>
    <row r="25" spans="1:14" hidden="1" x14ac:dyDescent="0.3">
      <c r="A25" s="39">
        <v>44727</v>
      </c>
      <c r="B25" s="39" t="s">
        <v>623</v>
      </c>
      <c r="C25" s="38" t="s">
        <v>622</v>
      </c>
      <c r="D25" s="38" t="s">
        <v>621</v>
      </c>
      <c r="E25" s="38" t="s">
        <v>643</v>
      </c>
      <c r="F25" s="9" t="s">
        <v>638</v>
      </c>
      <c r="G25" s="35" t="s">
        <v>642</v>
      </c>
      <c r="H25" s="38" t="s">
        <v>27</v>
      </c>
      <c r="I25" s="38" t="s">
        <v>641</v>
      </c>
      <c r="J25" s="38" t="s">
        <v>640</v>
      </c>
      <c r="K25" s="38" t="s">
        <v>27</v>
      </c>
      <c r="L25" s="28"/>
      <c r="M25" s="28"/>
    </row>
    <row r="26" spans="1:14" hidden="1" x14ac:dyDescent="0.3">
      <c r="A26" s="39">
        <v>44727</v>
      </c>
      <c r="B26" s="39" t="s">
        <v>623</v>
      </c>
      <c r="C26" s="38" t="s">
        <v>622</v>
      </c>
      <c r="D26" s="38" t="s">
        <v>621</v>
      </c>
      <c r="E26" s="38" t="s">
        <v>639</v>
      </c>
      <c r="F26" s="9" t="s">
        <v>638</v>
      </c>
      <c r="G26" s="35" t="s">
        <v>637</v>
      </c>
      <c r="H26" s="38" t="s">
        <v>636</v>
      </c>
      <c r="I26" s="38" t="s">
        <v>635</v>
      </c>
      <c r="J26" s="38" t="s">
        <v>634</v>
      </c>
      <c r="K26" s="38" t="s">
        <v>101</v>
      </c>
      <c r="L26" s="28"/>
      <c r="M26" s="28"/>
    </row>
    <row r="27" spans="1:14" ht="27" hidden="1" x14ac:dyDescent="0.3">
      <c r="A27" s="39">
        <v>44727</v>
      </c>
      <c r="B27" s="39" t="s">
        <v>623</v>
      </c>
      <c r="C27" s="38" t="s">
        <v>622</v>
      </c>
      <c r="D27" s="38" t="s">
        <v>621</v>
      </c>
      <c r="E27" s="41" t="s">
        <v>633</v>
      </c>
      <c r="F27" s="9" t="s">
        <v>632</v>
      </c>
      <c r="G27" s="35" t="s">
        <v>631</v>
      </c>
      <c r="H27" s="38" t="s">
        <v>59</v>
      </c>
      <c r="I27" s="38" t="s">
        <v>630</v>
      </c>
      <c r="J27" s="38" t="s">
        <v>629</v>
      </c>
      <c r="K27" s="38" t="s">
        <v>73</v>
      </c>
      <c r="L27" s="46" t="s">
        <v>628</v>
      </c>
      <c r="M27" s="46"/>
    </row>
    <row r="28" spans="1:14" hidden="1" x14ac:dyDescent="0.3">
      <c r="A28" s="39">
        <v>44727</v>
      </c>
      <c r="B28" s="39" t="s">
        <v>623</v>
      </c>
      <c r="C28" s="38" t="s">
        <v>622</v>
      </c>
      <c r="D28" s="38" t="s">
        <v>621</v>
      </c>
      <c r="E28" s="38" t="s">
        <v>626</v>
      </c>
      <c r="F28" s="9" t="s">
        <v>627</v>
      </c>
      <c r="G28" s="35" t="s">
        <v>626</v>
      </c>
      <c r="H28" s="38" t="s">
        <v>42</v>
      </c>
      <c r="I28" s="38" t="s">
        <v>625</v>
      </c>
      <c r="J28" s="38" t="s">
        <v>624</v>
      </c>
      <c r="K28" s="38" t="s">
        <v>42</v>
      </c>
      <c r="L28" s="28"/>
      <c r="M28" s="28"/>
    </row>
    <row r="29" spans="1:14" hidden="1" x14ac:dyDescent="0.3">
      <c r="A29" s="39">
        <v>44727</v>
      </c>
      <c r="B29" s="39" t="s">
        <v>623</v>
      </c>
      <c r="C29" s="38" t="s">
        <v>622</v>
      </c>
      <c r="D29" s="38" t="s">
        <v>621</v>
      </c>
      <c r="E29" s="38" t="s">
        <v>619</v>
      </c>
      <c r="F29" s="9" t="s">
        <v>620</v>
      </c>
      <c r="G29" s="35" t="s">
        <v>619</v>
      </c>
      <c r="H29" s="38" t="s">
        <v>42</v>
      </c>
      <c r="I29" s="38" t="s">
        <v>618</v>
      </c>
      <c r="J29" s="38" t="s">
        <v>617</v>
      </c>
      <c r="K29" s="38" t="s">
        <v>42</v>
      </c>
      <c r="L29" s="28"/>
      <c r="M29" s="28"/>
    </row>
    <row r="30" spans="1:14" hidden="1" x14ac:dyDescent="0.3">
      <c r="A30" s="36">
        <v>44729</v>
      </c>
      <c r="B30" s="9" t="s">
        <v>612</v>
      </c>
      <c r="C30" s="9" t="s">
        <v>611</v>
      </c>
      <c r="D30" s="9" t="s">
        <v>610</v>
      </c>
      <c r="E30" s="9" t="s">
        <v>615</v>
      </c>
      <c r="F30" s="9" t="s">
        <v>616</v>
      </c>
      <c r="G30" s="35" t="s">
        <v>615</v>
      </c>
      <c r="H30" s="9" t="s">
        <v>17</v>
      </c>
      <c r="I30" s="9" t="s">
        <v>614</v>
      </c>
      <c r="J30" s="9" t="s">
        <v>613</v>
      </c>
      <c r="K30" s="42" t="s">
        <v>184</v>
      </c>
      <c r="L30" s="10" t="s">
        <v>375</v>
      </c>
      <c r="M30" s="10" t="s">
        <v>396</v>
      </c>
    </row>
    <row r="31" spans="1:14" hidden="1" x14ac:dyDescent="0.3">
      <c r="A31" s="36">
        <v>44729</v>
      </c>
      <c r="B31" s="9" t="s">
        <v>612</v>
      </c>
      <c r="C31" s="9" t="s">
        <v>611</v>
      </c>
      <c r="D31" s="9" t="s">
        <v>610</v>
      </c>
      <c r="E31" s="9" t="s">
        <v>608</v>
      </c>
      <c r="F31" s="9" t="s">
        <v>609</v>
      </c>
      <c r="G31" s="35" t="s">
        <v>608</v>
      </c>
      <c r="H31" s="9" t="s">
        <v>17</v>
      </c>
      <c r="I31" s="9" t="s">
        <v>607</v>
      </c>
      <c r="J31" s="9" t="s">
        <v>606</v>
      </c>
      <c r="K31" s="42" t="s">
        <v>184</v>
      </c>
      <c r="L31" s="10" t="s">
        <v>375</v>
      </c>
      <c r="M31" s="10" t="s">
        <v>374</v>
      </c>
    </row>
    <row r="32" spans="1:14" ht="27" hidden="1" x14ac:dyDescent="0.3">
      <c r="A32" s="39">
        <v>44729</v>
      </c>
      <c r="B32" s="38" t="s">
        <v>588</v>
      </c>
      <c r="C32" s="38" t="s">
        <v>587</v>
      </c>
      <c r="D32" s="38" t="s">
        <v>586</v>
      </c>
      <c r="E32" s="38" t="s">
        <v>604</v>
      </c>
      <c r="F32" s="9" t="s">
        <v>605</v>
      </c>
      <c r="G32" s="35" t="s">
        <v>604</v>
      </c>
      <c r="H32" s="38" t="s">
        <v>59</v>
      </c>
      <c r="I32" s="41" t="s">
        <v>603</v>
      </c>
      <c r="J32" s="41" t="s">
        <v>602</v>
      </c>
      <c r="K32" s="38" t="s">
        <v>17</v>
      </c>
      <c r="L32" s="28"/>
      <c r="M32" s="28"/>
    </row>
    <row r="33" spans="1:14" hidden="1" x14ac:dyDescent="0.3">
      <c r="A33" s="39">
        <v>44729</v>
      </c>
      <c r="B33" s="38" t="s">
        <v>588</v>
      </c>
      <c r="C33" s="38" t="s">
        <v>587</v>
      </c>
      <c r="D33" s="38" t="s">
        <v>586</v>
      </c>
      <c r="E33" s="38" t="s">
        <v>600</v>
      </c>
      <c r="F33" s="9" t="s">
        <v>601</v>
      </c>
      <c r="G33" s="35" t="s">
        <v>600</v>
      </c>
      <c r="H33" s="38" t="s">
        <v>17</v>
      </c>
      <c r="I33" s="38" t="s">
        <v>599</v>
      </c>
      <c r="J33" s="38" t="s">
        <v>598</v>
      </c>
      <c r="K33" s="38" t="s">
        <v>17</v>
      </c>
      <c r="L33" s="28"/>
      <c r="M33" s="28"/>
    </row>
    <row r="34" spans="1:14" hidden="1" x14ac:dyDescent="0.3">
      <c r="A34" s="39">
        <v>44729</v>
      </c>
      <c r="B34" s="38" t="s">
        <v>588</v>
      </c>
      <c r="C34" s="38" t="s">
        <v>587</v>
      </c>
      <c r="D34" s="38" t="s">
        <v>586</v>
      </c>
      <c r="E34" s="38" t="s">
        <v>596</v>
      </c>
      <c r="F34" s="9" t="s">
        <v>597</v>
      </c>
      <c r="G34" s="35" t="s">
        <v>596</v>
      </c>
      <c r="H34" s="38" t="s">
        <v>51</v>
      </c>
      <c r="I34" s="38" t="s">
        <v>595</v>
      </c>
      <c r="J34" s="38" t="s">
        <v>594</v>
      </c>
      <c r="K34" s="38" t="s">
        <v>73</v>
      </c>
      <c r="L34" s="28"/>
      <c r="M34" s="28"/>
    </row>
    <row r="35" spans="1:14" hidden="1" x14ac:dyDescent="0.3">
      <c r="A35" s="39">
        <v>44729</v>
      </c>
      <c r="B35" s="38" t="s">
        <v>588</v>
      </c>
      <c r="C35" s="38" t="s">
        <v>587</v>
      </c>
      <c r="D35" s="38" t="s">
        <v>586</v>
      </c>
      <c r="E35" s="38" t="s">
        <v>592</v>
      </c>
      <c r="F35" s="9" t="s">
        <v>593</v>
      </c>
      <c r="G35" s="35" t="s">
        <v>592</v>
      </c>
      <c r="H35" s="38" t="s">
        <v>591</v>
      </c>
      <c r="I35" s="38" t="s">
        <v>590</v>
      </c>
      <c r="J35" s="38" t="s">
        <v>589</v>
      </c>
      <c r="K35" s="38" t="s">
        <v>73</v>
      </c>
      <c r="L35" s="28"/>
      <c r="M35" s="28"/>
    </row>
    <row r="36" spans="1:14" hidden="1" x14ac:dyDescent="0.3">
      <c r="A36" s="39">
        <v>44729</v>
      </c>
      <c r="B36" s="38" t="s">
        <v>588</v>
      </c>
      <c r="C36" s="38" t="s">
        <v>587</v>
      </c>
      <c r="D36" s="38" t="s">
        <v>586</v>
      </c>
      <c r="E36" s="38" t="s">
        <v>584</v>
      </c>
      <c r="F36" s="9" t="s">
        <v>585</v>
      </c>
      <c r="G36" s="35" t="s">
        <v>584</v>
      </c>
      <c r="H36" s="38" t="s">
        <v>583</v>
      </c>
      <c r="I36" s="38" t="s">
        <v>582</v>
      </c>
      <c r="J36" s="38" t="s">
        <v>581</v>
      </c>
      <c r="K36" s="38" t="s">
        <v>51</v>
      </c>
      <c r="L36" s="28"/>
      <c r="M36" s="28"/>
    </row>
    <row r="37" spans="1:14" hidden="1" x14ac:dyDescent="0.3">
      <c r="A37" s="39">
        <v>44729</v>
      </c>
      <c r="B37" s="39" t="s">
        <v>580</v>
      </c>
      <c r="C37" s="39" t="s">
        <v>579</v>
      </c>
      <c r="D37" s="39" t="s">
        <v>578</v>
      </c>
      <c r="E37" s="39" t="s">
        <v>576</v>
      </c>
      <c r="F37" s="9" t="s">
        <v>577</v>
      </c>
      <c r="G37" s="35" t="s">
        <v>576</v>
      </c>
      <c r="H37" s="39" t="s">
        <v>17</v>
      </c>
      <c r="I37" s="39" t="s">
        <v>575</v>
      </c>
      <c r="J37" s="39" t="s">
        <v>574</v>
      </c>
      <c r="K37" s="39" t="s">
        <v>17</v>
      </c>
      <c r="L37" s="28"/>
      <c r="M37" s="28"/>
    </row>
    <row r="38" spans="1:14" x14ac:dyDescent="0.3">
      <c r="A38" s="36">
        <v>44729</v>
      </c>
      <c r="B38" s="9" t="s">
        <v>555</v>
      </c>
      <c r="C38" s="9" t="s">
        <v>554</v>
      </c>
      <c r="D38" s="9" t="s">
        <v>553</v>
      </c>
      <c r="E38" s="9" t="s">
        <v>572</v>
      </c>
      <c r="F38" s="9" t="s">
        <v>573</v>
      </c>
      <c r="G38" s="35" t="s">
        <v>572</v>
      </c>
      <c r="H38" s="9" t="s">
        <v>101</v>
      </c>
      <c r="I38" s="9" t="s">
        <v>567</v>
      </c>
      <c r="J38" s="9" t="s">
        <v>571</v>
      </c>
      <c r="K38" s="9" t="s">
        <v>101</v>
      </c>
      <c r="L38" s="28"/>
      <c r="M38" s="28"/>
      <c r="N38" s="10" t="s">
        <v>101</v>
      </c>
    </row>
    <row r="39" spans="1:14" hidden="1" x14ac:dyDescent="0.3">
      <c r="A39" s="36">
        <v>44729</v>
      </c>
      <c r="B39" s="9" t="s">
        <v>555</v>
      </c>
      <c r="C39" s="9" t="s">
        <v>554</v>
      </c>
      <c r="D39" s="9" t="s">
        <v>553</v>
      </c>
      <c r="E39" s="9" t="s">
        <v>570</v>
      </c>
      <c r="F39" s="9" t="s">
        <v>569</v>
      </c>
      <c r="G39" s="35" t="s">
        <v>568</v>
      </c>
      <c r="H39" s="9" t="s">
        <v>101</v>
      </c>
      <c r="I39" s="9" t="s">
        <v>567</v>
      </c>
      <c r="J39" s="9" t="s">
        <v>566</v>
      </c>
      <c r="K39" s="9" t="s">
        <v>101</v>
      </c>
      <c r="L39" s="28"/>
      <c r="M39" s="28"/>
    </row>
    <row r="40" spans="1:14" ht="40.5" hidden="1" x14ac:dyDescent="0.3">
      <c r="A40" s="39">
        <v>44729</v>
      </c>
      <c r="B40" s="38" t="s">
        <v>555</v>
      </c>
      <c r="C40" s="38" t="s">
        <v>554</v>
      </c>
      <c r="D40" s="38" t="s">
        <v>553</v>
      </c>
      <c r="E40" s="38" t="s">
        <v>565</v>
      </c>
      <c r="F40" s="9" t="s">
        <v>564</v>
      </c>
      <c r="G40" s="35" t="s">
        <v>563</v>
      </c>
      <c r="H40" s="38" t="s">
        <v>439</v>
      </c>
      <c r="I40" s="41" t="s">
        <v>562</v>
      </c>
      <c r="J40" s="41" t="s">
        <v>561</v>
      </c>
      <c r="K40" s="38" t="s">
        <v>17</v>
      </c>
      <c r="L40" s="28"/>
      <c r="M40" s="28"/>
    </row>
    <row r="41" spans="1:14" hidden="1" x14ac:dyDescent="0.3">
      <c r="A41" s="39">
        <v>44729</v>
      </c>
      <c r="B41" s="38" t="s">
        <v>555</v>
      </c>
      <c r="C41" s="38" t="s">
        <v>554</v>
      </c>
      <c r="D41" s="38" t="s">
        <v>553</v>
      </c>
      <c r="E41" s="38" t="s">
        <v>560</v>
      </c>
      <c r="F41" s="9" t="s">
        <v>559</v>
      </c>
      <c r="G41" s="35" t="s">
        <v>558</v>
      </c>
      <c r="H41" s="38" t="s">
        <v>51</v>
      </c>
      <c r="I41" s="38" t="s">
        <v>557</v>
      </c>
      <c r="J41" s="41" t="s">
        <v>556</v>
      </c>
      <c r="K41" s="38" t="s">
        <v>51</v>
      </c>
      <c r="L41" s="28"/>
      <c r="M41" s="28"/>
    </row>
    <row r="42" spans="1:14" hidden="1" x14ac:dyDescent="0.3">
      <c r="A42" s="39">
        <v>44729</v>
      </c>
      <c r="B42" s="38" t="s">
        <v>555</v>
      </c>
      <c r="C42" s="38" t="s">
        <v>554</v>
      </c>
      <c r="D42" s="38" t="s">
        <v>553</v>
      </c>
      <c r="E42" s="38" t="s">
        <v>551</v>
      </c>
      <c r="F42" s="9" t="s">
        <v>552</v>
      </c>
      <c r="G42" s="35" t="s">
        <v>551</v>
      </c>
      <c r="H42" s="38" t="s">
        <v>51</v>
      </c>
      <c r="I42" s="38" t="s">
        <v>550</v>
      </c>
      <c r="J42" s="38" t="s">
        <v>549</v>
      </c>
      <c r="K42" s="38" t="s">
        <v>73</v>
      </c>
      <c r="L42" s="28"/>
      <c r="M42" s="28"/>
    </row>
    <row r="43" spans="1:14" hidden="1" x14ac:dyDescent="0.3">
      <c r="A43" s="36">
        <v>44729</v>
      </c>
      <c r="B43" s="36" t="s">
        <v>548</v>
      </c>
      <c r="C43" s="36" t="s">
        <v>547</v>
      </c>
      <c r="D43" s="36" t="s">
        <v>546</v>
      </c>
      <c r="E43" s="36" t="s">
        <v>545</v>
      </c>
      <c r="F43" s="9" t="s">
        <v>545</v>
      </c>
      <c r="G43" s="35" t="s">
        <v>544</v>
      </c>
      <c r="H43" s="36" t="s">
        <v>27</v>
      </c>
      <c r="I43" s="45" t="s">
        <v>543</v>
      </c>
      <c r="J43" s="36" t="s">
        <v>543</v>
      </c>
      <c r="K43" s="44" t="s">
        <v>184</v>
      </c>
      <c r="L43" s="10" t="s">
        <v>375</v>
      </c>
      <c r="M43" s="10" t="s">
        <v>374</v>
      </c>
    </row>
    <row r="44" spans="1:14" ht="27" x14ac:dyDescent="0.3">
      <c r="A44" s="36">
        <v>44729</v>
      </c>
      <c r="B44" s="9" t="s">
        <v>542</v>
      </c>
      <c r="C44" s="9" t="s">
        <v>541</v>
      </c>
      <c r="D44" s="9" t="s">
        <v>540</v>
      </c>
      <c r="E44" s="36" t="s">
        <v>539</v>
      </c>
      <c r="F44" s="9" t="s">
        <v>538</v>
      </c>
      <c r="G44" s="35" t="s">
        <v>537</v>
      </c>
      <c r="H44" s="9" t="s">
        <v>27</v>
      </c>
      <c r="I44" s="9" t="s">
        <v>536</v>
      </c>
      <c r="J44" s="35" t="s">
        <v>535</v>
      </c>
      <c r="K44" s="9" t="s">
        <v>27</v>
      </c>
      <c r="L44" s="28"/>
      <c r="M44" s="28"/>
      <c r="N44" s="10" t="s">
        <v>27</v>
      </c>
    </row>
    <row r="45" spans="1:14" ht="27" hidden="1" x14ac:dyDescent="0.3">
      <c r="A45" s="39">
        <v>44729</v>
      </c>
      <c r="B45" s="38" t="s">
        <v>529</v>
      </c>
      <c r="C45" s="38" t="s">
        <v>528</v>
      </c>
      <c r="D45" s="38" t="s">
        <v>527</v>
      </c>
      <c r="E45" s="38" t="s">
        <v>533</v>
      </c>
      <c r="F45" s="9" t="s">
        <v>534</v>
      </c>
      <c r="G45" s="35" t="s">
        <v>533</v>
      </c>
      <c r="H45" s="38" t="s">
        <v>532</v>
      </c>
      <c r="I45" s="41" t="s">
        <v>531</v>
      </c>
      <c r="J45" s="41" t="s">
        <v>530</v>
      </c>
      <c r="K45" s="38" t="s">
        <v>27</v>
      </c>
      <c r="L45" s="28"/>
      <c r="M45" s="28"/>
    </row>
    <row r="46" spans="1:14" hidden="1" x14ac:dyDescent="0.3">
      <c r="A46" s="39">
        <v>44729</v>
      </c>
      <c r="B46" s="38" t="s">
        <v>529</v>
      </c>
      <c r="C46" s="38" t="s">
        <v>528</v>
      </c>
      <c r="D46" s="38" t="s">
        <v>527</v>
      </c>
      <c r="E46" s="38" t="s">
        <v>525</v>
      </c>
      <c r="F46" s="9" t="s">
        <v>526</v>
      </c>
      <c r="G46" s="35" t="s">
        <v>525</v>
      </c>
      <c r="H46" s="38" t="s">
        <v>524</v>
      </c>
      <c r="I46" s="38" t="s">
        <v>523</v>
      </c>
      <c r="J46" s="38" t="s">
        <v>522</v>
      </c>
      <c r="K46" s="38" t="s">
        <v>73</v>
      </c>
      <c r="L46" s="28"/>
      <c r="M46" s="28"/>
    </row>
    <row r="47" spans="1:14" x14ac:dyDescent="0.3">
      <c r="A47" s="36">
        <v>44729</v>
      </c>
      <c r="B47" s="36" t="s">
        <v>521</v>
      </c>
      <c r="C47" s="36" t="s">
        <v>520</v>
      </c>
      <c r="D47" s="36" t="s">
        <v>519</v>
      </c>
      <c r="E47" s="36" t="s">
        <v>518</v>
      </c>
      <c r="F47" s="9" t="s">
        <v>517</v>
      </c>
      <c r="G47" s="35" t="s">
        <v>516</v>
      </c>
      <c r="H47" s="36" t="s">
        <v>51</v>
      </c>
      <c r="I47" s="36" t="s">
        <v>515</v>
      </c>
      <c r="J47" s="36" t="s">
        <v>514</v>
      </c>
      <c r="K47" s="36" t="s">
        <v>51</v>
      </c>
      <c r="L47" s="28"/>
      <c r="M47" s="28"/>
      <c r="N47" s="10" t="s">
        <v>51</v>
      </c>
    </row>
    <row r="48" spans="1:14" hidden="1" x14ac:dyDescent="0.3">
      <c r="A48" s="39">
        <v>44729</v>
      </c>
      <c r="B48" s="38" t="s">
        <v>501</v>
      </c>
      <c r="C48" s="38" t="s">
        <v>500</v>
      </c>
      <c r="D48" s="38" t="s">
        <v>499</v>
      </c>
      <c r="E48" s="38" t="s">
        <v>512</v>
      </c>
      <c r="F48" s="9" t="s">
        <v>513</v>
      </c>
      <c r="G48" s="35" t="s">
        <v>512</v>
      </c>
      <c r="H48" s="40" t="s">
        <v>101</v>
      </c>
      <c r="I48" s="40" t="s">
        <v>511</v>
      </c>
      <c r="J48" s="38" t="s">
        <v>510</v>
      </c>
      <c r="K48" s="38" t="s">
        <v>101</v>
      </c>
      <c r="L48" s="28"/>
      <c r="M48" s="28"/>
    </row>
    <row r="49" spans="1:13" hidden="1" x14ac:dyDescent="0.3">
      <c r="A49" s="39">
        <v>44729</v>
      </c>
      <c r="B49" s="38" t="s">
        <v>501</v>
      </c>
      <c r="C49" s="38" t="s">
        <v>500</v>
      </c>
      <c r="D49" s="38" t="s">
        <v>499</v>
      </c>
      <c r="E49" s="38" t="s">
        <v>509</v>
      </c>
      <c r="F49" s="9" t="s">
        <v>509</v>
      </c>
      <c r="G49" s="35" t="s">
        <v>509</v>
      </c>
      <c r="H49" s="40" t="s">
        <v>17</v>
      </c>
      <c r="I49" s="40" t="s">
        <v>508</v>
      </c>
      <c r="J49" s="38" t="s">
        <v>507</v>
      </c>
      <c r="K49" s="38" t="s">
        <v>17</v>
      </c>
      <c r="L49" s="28"/>
      <c r="M49" s="28"/>
    </row>
    <row r="50" spans="1:13" ht="27" hidden="1" x14ac:dyDescent="0.3">
      <c r="A50" s="39">
        <v>44729</v>
      </c>
      <c r="B50" s="38" t="s">
        <v>501</v>
      </c>
      <c r="C50" s="38" t="s">
        <v>500</v>
      </c>
      <c r="D50" s="38" t="s">
        <v>499</v>
      </c>
      <c r="E50" s="38" t="s">
        <v>506</v>
      </c>
      <c r="F50" s="9" t="s">
        <v>505</v>
      </c>
      <c r="G50" s="35" t="s">
        <v>504</v>
      </c>
      <c r="H50" s="38" t="s">
        <v>27</v>
      </c>
      <c r="I50" s="41" t="s">
        <v>503</v>
      </c>
      <c r="J50" s="41" t="s">
        <v>502</v>
      </c>
      <c r="K50" s="38" t="s">
        <v>27</v>
      </c>
      <c r="L50" s="28"/>
      <c r="M50" s="28"/>
    </row>
    <row r="51" spans="1:13" hidden="1" x14ac:dyDescent="0.3">
      <c r="A51" s="39">
        <v>44729</v>
      </c>
      <c r="B51" s="38" t="s">
        <v>501</v>
      </c>
      <c r="C51" s="38" t="s">
        <v>500</v>
      </c>
      <c r="D51" s="38" t="s">
        <v>499</v>
      </c>
      <c r="E51" s="38" t="s">
        <v>498</v>
      </c>
      <c r="F51" s="9" t="s">
        <v>497</v>
      </c>
      <c r="G51" s="35" t="s">
        <v>496</v>
      </c>
      <c r="H51" s="40" t="s">
        <v>17</v>
      </c>
      <c r="I51" s="40" t="s">
        <v>495</v>
      </c>
      <c r="J51" s="38" t="s">
        <v>494</v>
      </c>
      <c r="K51" s="38" t="s">
        <v>17</v>
      </c>
      <c r="L51" s="28"/>
      <c r="M51" s="28"/>
    </row>
    <row r="52" spans="1:13" hidden="1" x14ac:dyDescent="0.3">
      <c r="A52" s="39">
        <v>44729</v>
      </c>
      <c r="B52" s="38" t="s">
        <v>493</v>
      </c>
      <c r="C52" s="38" t="s">
        <v>492</v>
      </c>
      <c r="D52" s="38" t="s">
        <v>491</v>
      </c>
      <c r="E52" s="39" t="s">
        <v>490</v>
      </c>
      <c r="F52" s="9" t="s">
        <v>489</v>
      </c>
      <c r="G52" s="35" t="s">
        <v>488</v>
      </c>
      <c r="H52" s="38" t="s">
        <v>20</v>
      </c>
      <c r="I52" s="38" t="s">
        <v>487</v>
      </c>
      <c r="J52" s="38" t="s">
        <v>486</v>
      </c>
      <c r="K52" s="38" t="s">
        <v>17</v>
      </c>
      <c r="L52" s="28"/>
      <c r="M52" s="28"/>
    </row>
    <row r="53" spans="1:13" hidden="1" x14ac:dyDescent="0.3">
      <c r="A53" s="36">
        <v>44729</v>
      </c>
      <c r="B53" s="9" t="s">
        <v>464</v>
      </c>
      <c r="C53" s="9" t="s">
        <v>463</v>
      </c>
      <c r="D53" s="9" t="s">
        <v>462</v>
      </c>
      <c r="E53" s="9" t="s">
        <v>485</v>
      </c>
      <c r="F53" s="9" t="s">
        <v>484</v>
      </c>
      <c r="G53" s="35" t="s">
        <v>483</v>
      </c>
      <c r="H53" s="9" t="s">
        <v>20</v>
      </c>
      <c r="I53" s="9" t="s">
        <v>482</v>
      </c>
      <c r="J53" s="9" t="s">
        <v>481</v>
      </c>
      <c r="K53" s="42" t="s">
        <v>184</v>
      </c>
      <c r="L53" s="10" t="s">
        <v>375</v>
      </c>
      <c r="M53" s="10" t="s">
        <v>374</v>
      </c>
    </row>
    <row r="54" spans="1:13" hidden="1" x14ac:dyDescent="0.3">
      <c r="A54" s="36">
        <v>44729</v>
      </c>
      <c r="B54" s="9" t="s">
        <v>464</v>
      </c>
      <c r="C54" s="9" t="s">
        <v>463</v>
      </c>
      <c r="D54" s="9" t="s">
        <v>462</v>
      </c>
      <c r="E54" s="9" t="s">
        <v>480</v>
      </c>
      <c r="F54" s="9" t="s">
        <v>479</v>
      </c>
      <c r="G54" s="35" t="s">
        <v>478</v>
      </c>
      <c r="H54" s="9" t="s">
        <v>20</v>
      </c>
      <c r="I54" s="9" t="s">
        <v>477</v>
      </c>
      <c r="J54" s="9" t="s">
        <v>476</v>
      </c>
      <c r="K54" s="42" t="s">
        <v>184</v>
      </c>
      <c r="L54" s="10" t="s">
        <v>375</v>
      </c>
      <c r="M54" s="10" t="s">
        <v>374</v>
      </c>
    </row>
    <row r="55" spans="1:13" hidden="1" x14ac:dyDescent="0.3">
      <c r="A55" s="36">
        <v>44729</v>
      </c>
      <c r="B55" s="9" t="s">
        <v>464</v>
      </c>
      <c r="C55" s="9" t="s">
        <v>463</v>
      </c>
      <c r="D55" s="9" t="s">
        <v>462</v>
      </c>
      <c r="E55" s="9" t="s">
        <v>475</v>
      </c>
      <c r="F55" s="9" t="s">
        <v>474</v>
      </c>
      <c r="G55" s="35" t="s">
        <v>473</v>
      </c>
      <c r="H55" s="9" t="s">
        <v>467</v>
      </c>
      <c r="I55" s="9" t="s">
        <v>472</v>
      </c>
      <c r="J55" s="9" t="s">
        <v>471</v>
      </c>
      <c r="K55" s="42" t="s">
        <v>184</v>
      </c>
      <c r="L55" s="10" t="s">
        <v>375</v>
      </c>
      <c r="M55" s="10" t="s">
        <v>374</v>
      </c>
    </row>
    <row r="56" spans="1:13" hidden="1" x14ac:dyDescent="0.3">
      <c r="A56" s="36">
        <v>44729</v>
      </c>
      <c r="B56" s="9" t="s">
        <v>464</v>
      </c>
      <c r="C56" s="9" t="s">
        <v>463</v>
      </c>
      <c r="D56" s="9" t="s">
        <v>462</v>
      </c>
      <c r="E56" s="9" t="s">
        <v>470</v>
      </c>
      <c r="F56" s="9" t="s">
        <v>469</v>
      </c>
      <c r="G56" s="35" t="s">
        <v>468</v>
      </c>
      <c r="H56" s="9" t="s">
        <v>467</v>
      </c>
      <c r="I56" s="9" t="s">
        <v>466</v>
      </c>
      <c r="J56" s="9" t="s">
        <v>465</v>
      </c>
      <c r="K56" s="42" t="s">
        <v>184</v>
      </c>
      <c r="L56" s="10" t="s">
        <v>375</v>
      </c>
      <c r="M56" s="10" t="s">
        <v>374</v>
      </c>
    </row>
    <row r="57" spans="1:13" hidden="1" x14ac:dyDescent="0.3">
      <c r="A57" s="36">
        <v>44729</v>
      </c>
      <c r="B57" s="9" t="s">
        <v>464</v>
      </c>
      <c r="C57" s="9" t="s">
        <v>463</v>
      </c>
      <c r="D57" s="9" t="s">
        <v>462</v>
      </c>
      <c r="E57" s="9" t="s">
        <v>461</v>
      </c>
      <c r="F57" s="9" t="s">
        <v>460</v>
      </c>
      <c r="G57" s="35" t="s">
        <v>459</v>
      </c>
      <c r="H57" s="9" t="s">
        <v>289</v>
      </c>
      <c r="I57" s="9" t="s">
        <v>458</v>
      </c>
      <c r="J57" s="9" t="s">
        <v>457</v>
      </c>
      <c r="K57" s="42" t="s">
        <v>184</v>
      </c>
      <c r="L57" s="10" t="s">
        <v>375</v>
      </c>
      <c r="M57" s="10" t="s">
        <v>374</v>
      </c>
    </row>
    <row r="58" spans="1:13" hidden="1" x14ac:dyDescent="0.3">
      <c r="A58" s="36">
        <v>44729</v>
      </c>
      <c r="B58" s="36" t="s">
        <v>434</v>
      </c>
      <c r="C58" s="9" t="s">
        <v>433</v>
      </c>
      <c r="D58" s="9" t="s">
        <v>432</v>
      </c>
      <c r="E58" s="9" t="s">
        <v>456</v>
      </c>
      <c r="F58" s="9" t="s">
        <v>455</v>
      </c>
      <c r="G58" s="35" t="s">
        <v>454</v>
      </c>
      <c r="H58" s="9" t="s">
        <v>17</v>
      </c>
      <c r="I58" s="9" t="s">
        <v>453</v>
      </c>
      <c r="J58" s="9" t="s">
        <v>452</v>
      </c>
      <c r="K58" s="42" t="s">
        <v>184</v>
      </c>
      <c r="L58" s="10" t="s">
        <v>375</v>
      </c>
      <c r="M58" s="10" t="s">
        <v>396</v>
      </c>
    </row>
    <row r="59" spans="1:13" ht="27" hidden="1" x14ac:dyDescent="0.3">
      <c r="A59" s="39">
        <v>44729</v>
      </c>
      <c r="B59" s="38" t="s">
        <v>434</v>
      </c>
      <c r="C59" s="38" t="s">
        <v>433</v>
      </c>
      <c r="D59" s="38" t="s">
        <v>432</v>
      </c>
      <c r="E59" s="38" t="s">
        <v>451</v>
      </c>
      <c r="F59" s="9" t="s">
        <v>450</v>
      </c>
      <c r="G59" s="35" t="s">
        <v>449</v>
      </c>
      <c r="H59" s="38" t="s">
        <v>448</v>
      </c>
      <c r="I59" s="41" t="s">
        <v>447</v>
      </c>
      <c r="J59" s="38" t="s">
        <v>446</v>
      </c>
      <c r="K59" s="38" t="s">
        <v>51</v>
      </c>
      <c r="L59" s="28"/>
      <c r="M59" s="28"/>
    </row>
    <row r="60" spans="1:13" hidden="1" x14ac:dyDescent="0.3">
      <c r="A60" s="39">
        <v>44729</v>
      </c>
      <c r="B60" s="38" t="s">
        <v>434</v>
      </c>
      <c r="C60" s="38" t="s">
        <v>433</v>
      </c>
      <c r="D60" s="38" t="s">
        <v>432</v>
      </c>
      <c r="E60" s="38" t="s">
        <v>445</v>
      </c>
      <c r="F60" s="9" t="s">
        <v>444</v>
      </c>
      <c r="G60" s="35" t="s">
        <v>443</v>
      </c>
      <c r="H60" s="38" t="s">
        <v>17</v>
      </c>
      <c r="I60" s="38" t="s">
        <v>442</v>
      </c>
      <c r="J60" s="38" t="s">
        <v>441</v>
      </c>
      <c r="K60" s="38" t="s">
        <v>17</v>
      </c>
      <c r="L60" s="28"/>
      <c r="M60" s="28"/>
    </row>
    <row r="61" spans="1:13" hidden="1" x14ac:dyDescent="0.3">
      <c r="A61" s="36">
        <v>44729</v>
      </c>
      <c r="B61" s="9" t="s">
        <v>434</v>
      </c>
      <c r="C61" s="9" t="s">
        <v>433</v>
      </c>
      <c r="D61" s="9" t="s">
        <v>432</v>
      </c>
      <c r="E61" s="9" t="s">
        <v>440</v>
      </c>
      <c r="F61" s="42" t="s">
        <v>184</v>
      </c>
      <c r="G61" s="43" t="s">
        <v>184</v>
      </c>
      <c r="H61" s="9" t="s">
        <v>439</v>
      </c>
      <c r="I61" s="9" t="s">
        <v>438</v>
      </c>
      <c r="J61" s="9" t="s">
        <v>437</v>
      </c>
      <c r="K61" s="42" t="s">
        <v>184</v>
      </c>
      <c r="L61" s="10" t="s">
        <v>436</v>
      </c>
      <c r="M61" s="10" t="s">
        <v>435</v>
      </c>
    </row>
    <row r="62" spans="1:13" hidden="1" x14ac:dyDescent="0.3">
      <c r="A62" s="39">
        <v>44729</v>
      </c>
      <c r="B62" s="38" t="s">
        <v>434</v>
      </c>
      <c r="C62" s="38" t="s">
        <v>433</v>
      </c>
      <c r="D62" s="38" t="s">
        <v>432</v>
      </c>
      <c r="E62" s="38" t="s">
        <v>431</v>
      </c>
      <c r="F62" s="9" t="s">
        <v>430</v>
      </c>
      <c r="G62" s="35" t="s">
        <v>429</v>
      </c>
      <c r="H62" s="40" t="s">
        <v>51</v>
      </c>
      <c r="I62" s="40" t="s">
        <v>428</v>
      </c>
      <c r="J62" s="38" t="s">
        <v>427</v>
      </c>
      <c r="K62" s="38" t="s">
        <v>51</v>
      </c>
      <c r="L62" s="28"/>
      <c r="M62" s="28"/>
    </row>
    <row r="63" spans="1:13" hidden="1" x14ac:dyDescent="0.3">
      <c r="A63" s="39">
        <v>44729</v>
      </c>
      <c r="B63" s="38" t="s">
        <v>408</v>
      </c>
      <c r="C63" s="38" t="s">
        <v>407</v>
      </c>
      <c r="D63" s="38" t="s">
        <v>406</v>
      </c>
      <c r="E63" s="38" t="s">
        <v>426</v>
      </c>
      <c r="F63" s="9" t="s">
        <v>425</v>
      </c>
      <c r="G63" s="35" t="s">
        <v>424</v>
      </c>
      <c r="H63" s="38" t="s">
        <v>51</v>
      </c>
      <c r="I63" s="38" t="s">
        <v>238</v>
      </c>
      <c r="J63" s="41" t="s">
        <v>423</v>
      </c>
      <c r="K63" s="38" t="s">
        <v>73</v>
      </c>
      <c r="L63" s="28"/>
      <c r="M63" s="28"/>
    </row>
    <row r="64" spans="1:13" hidden="1" x14ac:dyDescent="0.3">
      <c r="A64" s="39">
        <v>44729</v>
      </c>
      <c r="B64" s="38" t="s">
        <v>408</v>
      </c>
      <c r="C64" s="38" t="s">
        <v>407</v>
      </c>
      <c r="D64" s="38" t="s">
        <v>406</v>
      </c>
      <c r="E64" s="38" t="s">
        <v>421</v>
      </c>
      <c r="F64" s="9" t="s">
        <v>422</v>
      </c>
      <c r="G64" s="35" t="s">
        <v>421</v>
      </c>
      <c r="H64" s="38" t="s">
        <v>51</v>
      </c>
      <c r="I64" s="38" t="s">
        <v>420</v>
      </c>
      <c r="J64" s="38" t="s">
        <v>419</v>
      </c>
      <c r="K64" s="38" t="s">
        <v>51</v>
      </c>
      <c r="L64" s="28"/>
      <c r="M64" s="28"/>
    </row>
    <row r="65" spans="1:14" hidden="1" x14ac:dyDescent="0.3">
      <c r="A65" s="39">
        <v>44729</v>
      </c>
      <c r="B65" s="38" t="s">
        <v>408</v>
      </c>
      <c r="C65" s="38" t="s">
        <v>407</v>
      </c>
      <c r="D65" s="38" t="s">
        <v>406</v>
      </c>
      <c r="E65" s="38" t="s">
        <v>418</v>
      </c>
      <c r="F65" s="9" t="s">
        <v>417</v>
      </c>
      <c r="G65" s="35" t="s">
        <v>416</v>
      </c>
      <c r="H65" s="38" t="s">
        <v>17</v>
      </c>
      <c r="I65" s="38" t="s">
        <v>415</v>
      </c>
      <c r="J65" s="38" t="s">
        <v>414</v>
      </c>
      <c r="K65" s="38" t="s">
        <v>17</v>
      </c>
      <c r="L65" s="28"/>
      <c r="M65" s="28"/>
    </row>
    <row r="66" spans="1:14" hidden="1" x14ac:dyDescent="0.3">
      <c r="A66" s="39">
        <v>44729</v>
      </c>
      <c r="B66" s="38" t="s">
        <v>408</v>
      </c>
      <c r="C66" s="38" t="s">
        <v>407</v>
      </c>
      <c r="D66" s="38" t="s">
        <v>406</v>
      </c>
      <c r="E66" s="38" t="s">
        <v>413</v>
      </c>
      <c r="F66" s="9" t="s">
        <v>412</v>
      </c>
      <c r="G66" s="35" t="s">
        <v>411</v>
      </c>
      <c r="H66" s="38" t="s">
        <v>17</v>
      </c>
      <c r="I66" s="38" t="s">
        <v>410</v>
      </c>
      <c r="J66" s="38" t="s">
        <v>409</v>
      </c>
      <c r="K66" s="38" t="s">
        <v>17</v>
      </c>
      <c r="L66" s="28"/>
      <c r="M66" s="28"/>
    </row>
    <row r="67" spans="1:14" hidden="1" x14ac:dyDescent="0.3">
      <c r="A67" s="39">
        <v>44729</v>
      </c>
      <c r="B67" s="38" t="s">
        <v>408</v>
      </c>
      <c r="C67" s="38" t="s">
        <v>407</v>
      </c>
      <c r="D67" s="38" t="s">
        <v>406</v>
      </c>
      <c r="E67" s="38" t="s">
        <v>405</v>
      </c>
      <c r="F67" s="9" t="s">
        <v>404</v>
      </c>
      <c r="G67" s="35" t="s">
        <v>403</v>
      </c>
      <c r="H67" s="40" t="s">
        <v>101</v>
      </c>
      <c r="I67" s="40" t="s">
        <v>402</v>
      </c>
      <c r="J67" s="38" t="s">
        <v>401</v>
      </c>
      <c r="K67" s="38" t="s">
        <v>101</v>
      </c>
      <c r="L67" s="28"/>
      <c r="M67" s="28"/>
    </row>
    <row r="68" spans="1:14" hidden="1" x14ac:dyDescent="0.3">
      <c r="A68" s="36">
        <v>44729</v>
      </c>
      <c r="B68" s="9" t="s">
        <v>382</v>
      </c>
      <c r="C68" s="9" t="s">
        <v>381</v>
      </c>
      <c r="D68" s="9" t="s">
        <v>380</v>
      </c>
      <c r="E68" s="9" t="s">
        <v>399</v>
      </c>
      <c r="F68" s="9" t="s">
        <v>400</v>
      </c>
      <c r="G68" s="35" t="s">
        <v>399</v>
      </c>
      <c r="H68" s="9" t="s">
        <v>289</v>
      </c>
      <c r="I68" s="9" t="s">
        <v>398</v>
      </c>
      <c r="J68" s="9" t="s">
        <v>397</v>
      </c>
      <c r="K68" s="42" t="s">
        <v>184</v>
      </c>
      <c r="L68" s="10" t="s">
        <v>375</v>
      </c>
      <c r="M68" s="10" t="s">
        <v>396</v>
      </c>
    </row>
    <row r="69" spans="1:14" hidden="1" x14ac:dyDescent="0.3">
      <c r="A69" s="36">
        <v>44729</v>
      </c>
      <c r="B69" s="9" t="s">
        <v>382</v>
      </c>
      <c r="C69" s="9" t="s">
        <v>381</v>
      </c>
      <c r="D69" s="9" t="s">
        <v>380</v>
      </c>
      <c r="E69" s="9" t="s">
        <v>395</v>
      </c>
      <c r="F69" s="9" t="s">
        <v>394</v>
      </c>
      <c r="G69" s="35" t="s">
        <v>393</v>
      </c>
      <c r="H69" s="9" t="s">
        <v>51</v>
      </c>
      <c r="I69" s="9" t="s">
        <v>392</v>
      </c>
      <c r="J69" s="9" t="s">
        <v>391</v>
      </c>
      <c r="K69" s="42" t="s">
        <v>184</v>
      </c>
      <c r="L69" s="10" t="s">
        <v>375</v>
      </c>
      <c r="M69" s="10" t="s">
        <v>374</v>
      </c>
    </row>
    <row r="70" spans="1:14" hidden="1" x14ac:dyDescent="0.3">
      <c r="A70" s="36">
        <v>44729</v>
      </c>
      <c r="B70" s="9" t="s">
        <v>382</v>
      </c>
      <c r="C70" s="9" t="s">
        <v>381</v>
      </c>
      <c r="D70" s="9" t="s">
        <v>380</v>
      </c>
      <c r="E70" s="9" t="s">
        <v>389</v>
      </c>
      <c r="F70" s="9" t="s">
        <v>390</v>
      </c>
      <c r="G70" s="35" t="s">
        <v>389</v>
      </c>
      <c r="H70" s="9" t="s">
        <v>17</v>
      </c>
      <c r="I70" s="9" t="s">
        <v>388</v>
      </c>
      <c r="J70" s="9" t="s">
        <v>387</v>
      </c>
      <c r="K70" s="42" t="s">
        <v>184</v>
      </c>
      <c r="L70" s="10" t="s">
        <v>375</v>
      </c>
      <c r="M70" s="10" t="s">
        <v>374</v>
      </c>
    </row>
    <row r="71" spans="1:14" hidden="1" x14ac:dyDescent="0.3">
      <c r="A71" s="36">
        <v>44729</v>
      </c>
      <c r="B71" s="9" t="s">
        <v>382</v>
      </c>
      <c r="C71" s="9" t="s">
        <v>381</v>
      </c>
      <c r="D71" s="9" t="s">
        <v>380</v>
      </c>
      <c r="E71" s="9" t="s">
        <v>385</v>
      </c>
      <c r="F71" s="9" t="s">
        <v>386</v>
      </c>
      <c r="G71" s="35" t="s">
        <v>385</v>
      </c>
      <c r="H71" s="9" t="s">
        <v>17</v>
      </c>
      <c r="I71" s="9" t="s">
        <v>384</v>
      </c>
      <c r="J71" s="9" t="s">
        <v>383</v>
      </c>
      <c r="K71" s="42" t="s">
        <v>184</v>
      </c>
      <c r="L71" s="10" t="s">
        <v>375</v>
      </c>
      <c r="M71" s="10" t="s">
        <v>374</v>
      </c>
    </row>
    <row r="72" spans="1:14" hidden="1" x14ac:dyDescent="0.3">
      <c r="A72" s="36">
        <v>44729</v>
      </c>
      <c r="B72" s="9" t="s">
        <v>382</v>
      </c>
      <c r="C72" s="9" t="s">
        <v>381</v>
      </c>
      <c r="D72" s="9" t="s">
        <v>380</v>
      </c>
      <c r="E72" s="9" t="s">
        <v>378</v>
      </c>
      <c r="F72" s="9" t="s">
        <v>379</v>
      </c>
      <c r="G72" s="35" t="s">
        <v>378</v>
      </c>
      <c r="H72" s="9" t="s">
        <v>101</v>
      </c>
      <c r="I72" s="9" t="s">
        <v>377</v>
      </c>
      <c r="J72" s="9" t="s">
        <v>376</v>
      </c>
      <c r="K72" s="42" t="s">
        <v>184</v>
      </c>
      <c r="L72" s="10" t="s">
        <v>375</v>
      </c>
      <c r="M72" s="10" t="s">
        <v>374</v>
      </c>
    </row>
    <row r="73" spans="1:14" hidden="1" x14ac:dyDescent="0.3">
      <c r="A73" s="39">
        <v>44729</v>
      </c>
      <c r="B73" s="38" t="s">
        <v>349</v>
      </c>
      <c r="C73" s="38" t="s">
        <v>348</v>
      </c>
      <c r="D73" s="38" t="s">
        <v>347</v>
      </c>
      <c r="E73" s="38" t="s">
        <v>373</v>
      </c>
      <c r="F73" s="9" t="s">
        <v>372</v>
      </c>
      <c r="G73" s="35" t="s">
        <v>371</v>
      </c>
      <c r="H73" s="38" t="s">
        <v>27</v>
      </c>
      <c r="I73" s="38" t="s">
        <v>370</v>
      </c>
      <c r="J73" s="38" t="s">
        <v>369</v>
      </c>
      <c r="K73" s="38" t="s">
        <v>73</v>
      </c>
      <c r="L73" s="28" t="s">
        <v>368</v>
      </c>
      <c r="M73" s="28"/>
    </row>
    <row r="74" spans="1:14" hidden="1" x14ac:dyDescent="0.3">
      <c r="A74" s="39">
        <v>44729</v>
      </c>
      <c r="B74" s="38" t="s">
        <v>349</v>
      </c>
      <c r="C74" s="38" t="s">
        <v>348</v>
      </c>
      <c r="D74" s="38" t="s">
        <v>347</v>
      </c>
      <c r="E74" s="38" t="s">
        <v>366</v>
      </c>
      <c r="F74" s="9" t="s">
        <v>367</v>
      </c>
      <c r="G74" s="35" t="s">
        <v>366</v>
      </c>
      <c r="H74" s="40" t="s">
        <v>17</v>
      </c>
      <c r="I74" s="40" t="s">
        <v>365</v>
      </c>
      <c r="J74" s="38" t="s">
        <v>364</v>
      </c>
      <c r="K74" s="38" t="s">
        <v>17</v>
      </c>
      <c r="L74" s="28"/>
      <c r="M74" s="28"/>
    </row>
    <row r="75" spans="1:14" hidden="1" x14ac:dyDescent="0.3">
      <c r="A75" s="39">
        <v>44729</v>
      </c>
      <c r="B75" s="38" t="s">
        <v>349</v>
      </c>
      <c r="C75" s="38" t="s">
        <v>348</v>
      </c>
      <c r="D75" s="38" t="s">
        <v>347</v>
      </c>
      <c r="E75" s="38" t="s">
        <v>363</v>
      </c>
      <c r="F75" s="9" t="s">
        <v>362</v>
      </c>
      <c r="G75" s="35" t="s">
        <v>361</v>
      </c>
      <c r="H75" s="38" t="s">
        <v>17</v>
      </c>
      <c r="I75" s="38" t="s">
        <v>360</v>
      </c>
      <c r="J75" s="38" t="s">
        <v>359</v>
      </c>
      <c r="K75" s="38" t="s">
        <v>17</v>
      </c>
      <c r="L75" s="28"/>
      <c r="M75" s="28"/>
    </row>
    <row r="76" spans="1:14" hidden="1" x14ac:dyDescent="0.3">
      <c r="A76" s="39">
        <v>44729</v>
      </c>
      <c r="B76" s="38" t="s">
        <v>349</v>
      </c>
      <c r="C76" s="38" t="s">
        <v>348</v>
      </c>
      <c r="D76" s="38" t="s">
        <v>347</v>
      </c>
      <c r="E76" s="38" t="s">
        <v>357</v>
      </c>
      <c r="F76" s="9" t="s">
        <v>358</v>
      </c>
      <c r="G76" s="35" t="s">
        <v>357</v>
      </c>
      <c r="H76" s="38" t="s">
        <v>51</v>
      </c>
      <c r="I76" s="38" t="s">
        <v>356</v>
      </c>
      <c r="J76" s="38" t="s">
        <v>355</v>
      </c>
      <c r="K76" s="38" t="s">
        <v>51</v>
      </c>
      <c r="L76" s="28"/>
      <c r="M76" s="28"/>
    </row>
    <row r="77" spans="1:14" x14ac:dyDescent="0.3">
      <c r="A77" s="36">
        <v>44729</v>
      </c>
      <c r="B77" s="9" t="s">
        <v>349</v>
      </c>
      <c r="C77" s="9" t="s">
        <v>348</v>
      </c>
      <c r="D77" s="9" t="s">
        <v>347</v>
      </c>
      <c r="E77" s="9" t="s">
        <v>354</v>
      </c>
      <c r="F77" s="9" t="s">
        <v>353</v>
      </c>
      <c r="G77" s="35" t="s">
        <v>352</v>
      </c>
      <c r="H77" s="9" t="s">
        <v>42</v>
      </c>
      <c r="I77" s="9" t="s">
        <v>351</v>
      </c>
      <c r="J77" s="9" t="s">
        <v>350</v>
      </c>
      <c r="K77" s="9" t="s">
        <v>42</v>
      </c>
      <c r="L77" s="28"/>
      <c r="M77" s="28"/>
      <c r="N77" s="10" t="s">
        <v>42</v>
      </c>
    </row>
    <row r="78" spans="1:14" hidden="1" x14ac:dyDescent="0.3">
      <c r="A78" s="39">
        <v>44729</v>
      </c>
      <c r="B78" s="38" t="s">
        <v>349</v>
      </c>
      <c r="C78" s="38" t="s">
        <v>348</v>
      </c>
      <c r="D78" s="38" t="s">
        <v>347</v>
      </c>
      <c r="E78" s="41" t="s">
        <v>345</v>
      </c>
      <c r="F78" s="9" t="s">
        <v>346</v>
      </c>
      <c r="G78" s="35" t="s">
        <v>345</v>
      </c>
      <c r="H78" s="38" t="s">
        <v>101</v>
      </c>
      <c r="I78" s="38" t="s">
        <v>344</v>
      </c>
      <c r="J78" s="38" t="s">
        <v>343</v>
      </c>
      <c r="K78" s="38" t="s">
        <v>101</v>
      </c>
      <c r="L78" s="28"/>
      <c r="M78" s="28"/>
    </row>
    <row r="79" spans="1:14" ht="40.5" hidden="1" x14ac:dyDescent="0.3">
      <c r="A79" s="39">
        <v>44729</v>
      </c>
      <c r="B79" s="38" t="s">
        <v>337</v>
      </c>
      <c r="C79" s="38" t="s">
        <v>336</v>
      </c>
      <c r="D79" s="38" t="s">
        <v>335</v>
      </c>
      <c r="E79" s="38" t="s">
        <v>342</v>
      </c>
      <c r="F79" s="9" t="s">
        <v>341</v>
      </c>
      <c r="G79" s="35" t="s">
        <v>340</v>
      </c>
      <c r="H79" s="38" t="s">
        <v>27</v>
      </c>
      <c r="I79" s="38" t="s">
        <v>339</v>
      </c>
      <c r="J79" s="41" t="s">
        <v>338</v>
      </c>
      <c r="K79" s="38" t="s">
        <v>73</v>
      </c>
      <c r="L79" s="28"/>
      <c r="M79" s="28"/>
    </row>
    <row r="80" spans="1:14" ht="27" hidden="1" x14ac:dyDescent="0.3">
      <c r="A80" s="39">
        <v>44729</v>
      </c>
      <c r="B80" s="38" t="s">
        <v>337</v>
      </c>
      <c r="C80" s="38" t="s">
        <v>336</v>
      </c>
      <c r="D80" s="38" t="s">
        <v>335</v>
      </c>
      <c r="E80" s="38" t="s">
        <v>334</v>
      </c>
      <c r="F80" s="9" t="s">
        <v>333</v>
      </c>
      <c r="G80" s="35" t="s">
        <v>332</v>
      </c>
      <c r="H80" s="38" t="s">
        <v>27</v>
      </c>
      <c r="I80" s="38" t="s">
        <v>331</v>
      </c>
      <c r="J80" s="41" t="s">
        <v>330</v>
      </c>
      <c r="K80" s="38" t="s">
        <v>73</v>
      </c>
      <c r="L80" s="28"/>
      <c r="M80" s="28"/>
    </row>
    <row r="81" spans="1:14" ht="27" hidden="1" x14ac:dyDescent="0.3">
      <c r="A81" s="39">
        <v>44729</v>
      </c>
      <c r="B81" s="38" t="s">
        <v>300</v>
      </c>
      <c r="C81" s="38" t="s">
        <v>329</v>
      </c>
      <c r="D81" s="38" t="s">
        <v>328</v>
      </c>
      <c r="E81" s="38" t="s">
        <v>327</v>
      </c>
      <c r="F81" s="9" t="s">
        <v>326</v>
      </c>
      <c r="G81" s="35" t="s">
        <v>325</v>
      </c>
      <c r="H81" s="38" t="s">
        <v>324</v>
      </c>
      <c r="I81" s="41" t="s">
        <v>323</v>
      </c>
      <c r="J81" s="41" t="s">
        <v>322</v>
      </c>
      <c r="K81" s="38" t="s">
        <v>73</v>
      </c>
      <c r="L81" s="28"/>
      <c r="M81" s="28"/>
    </row>
    <row r="82" spans="1:14" ht="40.5" hidden="1" x14ac:dyDescent="0.3">
      <c r="A82" s="39">
        <v>44729</v>
      </c>
      <c r="B82" s="38" t="s">
        <v>300</v>
      </c>
      <c r="C82" s="38" t="s">
        <v>321</v>
      </c>
      <c r="D82" s="38" t="s">
        <v>320</v>
      </c>
      <c r="E82" s="38" t="s">
        <v>319</v>
      </c>
      <c r="F82" s="9" t="s">
        <v>318</v>
      </c>
      <c r="G82" s="35" t="s">
        <v>317</v>
      </c>
      <c r="H82" s="38" t="s">
        <v>316</v>
      </c>
      <c r="I82" s="41" t="s">
        <v>315</v>
      </c>
      <c r="J82" s="41" t="s">
        <v>314</v>
      </c>
      <c r="K82" s="38" t="s">
        <v>27</v>
      </c>
      <c r="L82" s="28"/>
      <c r="M82" s="28"/>
    </row>
    <row r="83" spans="1:14" hidden="1" x14ac:dyDescent="0.3">
      <c r="A83" s="39">
        <v>44729</v>
      </c>
      <c r="B83" s="38" t="s">
        <v>300</v>
      </c>
      <c r="C83" s="38" t="s">
        <v>313</v>
      </c>
      <c r="D83" s="38" t="s">
        <v>312</v>
      </c>
      <c r="E83" s="38" t="s">
        <v>310</v>
      </c>
      <c r="F83" s="9" t="s">
        <v>311</v>
      </c>
      <c r="G83" s="35" t="s">
        <v>310</v>
      </c>
      <c r="H83" s="38" t="s">
        <v>17</v>
      </c>
      <c r="I83" s="38" t="s">
        <v>309</v>
      </c>
      <c r="J83" s="38" t="s">
        <v>308</v>
      </c>
      <c r="K83" s="38" t="s">
        <v>17</v>
      </c>
      <c r="L83" s="28"/>
      <c r="M83" s="28"/>
    </row>
    <row r="84" spans="1:14" x14ac:dyDescent="0.3">
      <c r="A84" s="36">
        <v>44729</v>
      </c>
      <c r="B84" s="9" t="s">
        <v>300</v>
      </c>
      <c r="C84" s="9" t="s">
        <v>307</v>
      </c>
      <c r="D84" s="9" t="s">
        <v>306</v>
      </c>
      <c r="E84" s="9" t="s">
        <v>305</v>
      </c>
      <c r="F84" s="9" t="s">
        <v>304</v>
      </c>
      <c r="G84" s="35" t="s">
        <v>303</v>
      </c>
      <c r="H84" s="9" t="s">
        <v>17</v>
      </c>
      <c r="I84" s="9" t="s">
        <v>302</v>
      </c>
      <c r="J84" s="9" t="s">
        <v>301</v>
      </c>
      <c r="K84" s="9" t="s">
        <v>17</v>
      </c>
      <c r="L84" s="28"/>
      <c r="M84" s="28"/>
      <c r="N84" s="10" t="s">
        <v>17</v>
      </c>
    </row>
    <row r="85" spans="1:14" ht="27" hidden="1" x14ac:dyDescent="0.3">
      <c r="A85" s="39">
        <v>44729</v>
      </c>
      <c r="B85" s="38" t="s">
        <v>300</v>
      </c>
      <c r="C85" s="38" t="s">
        <v>299</v>
      </c>
      <c r="D85" s="38" t="s">
        <v>298</v>
      </c>
      <c r="E85" s="38" t="s">
        <v>297</v>
      </c>
      <c r="F85" s="9" t="s">
        <v>296</v>
      </c>
      <c r="G85" s="35" t="s">
        <v>295</v>
      </c>
      <c r="H85" s="38" t="s">
        <v>294</v>
      </c>
      <c r="I85" s="41" t="s">
        <v>293</v>
      </c>
      <c r="J85" s="41" t="s">
        <v>292</v>
      </c>
      <c r="K85" s="38" t="s">
        <v>51</v>
      </c>
      <c r="L85" s="28"/>
      <c r="M85" s="28"/>
    </row>
    <row r="86" spans="1:14" hidden="1" x14ac:dyDescent="0.3">
      <c r="A86" s="36">
        <v>44732</v>
      </c>
      <c r="B86" s="9" t="s">
        <v>271</v>
      </c>
      <c r="C86" s="9" t="s">
        <v>286</v>
      </c>
      <c r="D86" s="9" t="s">
        <v>285</v>
      </c>
      <c r="E86" s="9" t="s">
        <v>291</v>
      </c>
      <c r="F86" s="42" t="s">
        <v>283</v>
      </c>
      <c r="G86" s="43" t="s">
        <v>290</v>
      </c>
      <c r="H86" s="9" t="s">
        <v>289</v>
      </c>
      <c r="I86" s="9" t="s">
        <v>288</v>
      </c>
      <c r="J86" s="9" t="s">
        <v>287</v>
      </c>
      <c r="K86" s="42" t="s">
        <v>51</v>
      </c>
      <c r="L86" s="10" t="s">
        <v>131</v>
      </c>
      <c r="M86" s="37" t="s">
        <v>130</v>
      </c>
    </row>
    <row r="87" spans="1:14" ht="27" hidden="1" x14ac:dyDescent="0.3">
      <c r="A87" s="36">
        <v>44732</v>
      </c>
      <c r="B87" s="9" t="s">
        <v>271</v>
      </c>
      <c r="C87" s="9" t="s">
        <v>286</v>
      </c>
      <c r="D87" s="9" t="s">
        <v>285</v>
      </c>
      <c r="E87" s="9" t="s">
        <v>284</v>
      </c>
      <c r="F87" s="42" t="s">
        <v>283</v>
      </c>
      <c r="G87" s="43" t="s">
        <v>282</v>
      </c>
      <c r="H87" s="9" t="s">
        <v>274</v>
      </c>
      <c r="I87" s="35" t="s">
        <v>281</v>
      </c>
      <c r="J87" s="35" t="s">
        <v>280</v>
      </c>
      <c r="K87" s="42" t="s">
        <v>27</v>
      </c>
      <c r="L87" s="37" t="s">
        <v>131</v>
      </c>
      <c r="M87" s="37" t="s">
        <v>130</v>
      </c>
    </row>
    <row r="88" spans="1:14" ht="27" hidden="1" x14ac:dyDescent="0.3">
      <c r="A88" s="39">
        <v>44732</v>
      </c>
      <c r="B88" s="38" t="s">
        <v>271</v>
      </c>
      <c r="C88" s="38" t="s">
        <v>279</v>
      </c>
      <c r="D88" s="38" t="s">
        <v>278</v>
      </c>
      <c r="E88" s="38" t="s">
        <v>277</v>
      </c>
      <c r="F88" s="9" t="s">
        <v>276</v>
      </c>
      <c r="G88" s="35" t="s">
        <v>275</v>
      </c>
      <c r="H88" s="38" t="s">
        <v>274</v>
      </c>
      <c r="I88" s="41" t="s">
        <v>273</v>
      </c>
      <c r="J88" s="41" t="s">
        <v>272</v>
      </c>
      <c r="K88" s="38" t="s">
        <v>27</v>
      </c>
      <c r="L88" s="28"/>
      <c r="M88" s="28"/>
    </row>
    <row r="89" spans="1:14" hidden="1" x14ac:dyDescent="0.3">
      <c r="A89" s="39">
        <v>44732</v>
      </c>
      <c r="B89" s="38" t="s">
        <v>271</v>
      </c>
      <c r="C89" s="38" t="s">
        <v>270</v>
      </c>
      <c r="D89" s="38" t="s">
        <v>269</v>
      </c>
      <c r="E89" s="38" t="s">
        <v>268</v>
      </c>
      <c r="F89" s="9" t="s">
        <v>267</v>
      </c>
      <c r="G89" s="35" t="s">
        <v>266</v>
      </c>
      <c r="H89" s="38" t="s">
        <v>51</v>
      </c>
      <c r="I89" s="38" t="s">
        <v>265</v>
      </c>
      <c r="J89" s="38" t="s">
        <v>264</v>
      </c>
      <c r="K89" s="38" t="s">
        <v>51</v>
      </c>
      <c r="L89" s="28"/>
      <c r="M89" s="28"/>
    </row>
    <row r="90" spans="1:14" hidden="1" x14ac:dyDescent="0.3">
      <c r="A90" s="36">
        <v>44732</v>
      </c>
      <c r="B90" s="9" t="s">
        <v>244</v>
      </c>
      <c r="C90" s="9" t="s">
        <v>243</v>
      </c>
      <c r="D90" s="9" t="s">
        <v>242</v>
      </c>
      <c r="E90" s="9" t="s">
        <v>263</v>
      </c>
      <c r="F90" s="42" t="s">
        <v>262</v>
      </c>
      <c r="G90" s="43" t="s">
        <v>261</v>
      </c>
      <c r="H90" s="9" t="s">
        <v>27</v>
      </c>
      <c r="I90" s="9" t="s">
        <v>260</v>
      </c>
      <c r="J90" s="9" t="s">
        <v>259</v>
      </c>
      <c r="K90" s="42" t="s">
        <v>27</v>
      </c>
      <c r="L90" s="10" t="s">
        <v>131</v>
      </c>
      <c r="M90" s="10" t="s">
        <v>130</v>
      </c>
    </row>
    <row r="91" spans="1:14" hidden="1" x14ac:dyDescent="0.3">
      <c r="A91" s="36">
        <v>44732</v>
      </c>
      <c r="B91" s="9" t="s">
        <v>244</v>
      </c>
      <c r="C91" s="9" t="s">
        <v>243</v>
      </c>
      <c r="D91" s="9" t="s">
        <v>242</v>
      </c>
      <c r="E91" s="9" t="s">
        <v>258</v>
      </c>
      <c r="F91" s="42" t="s">
        <v>257</v>
      </c>
      <c r="G91" s="43" t="s">
        <v>256</v>
      </c>
      <c r="H91" s="9" t="s">
        <v>27</v>
      </c>
      <c r="I91" s="9" t="s">
        <v>255</v>
      </c>
      <c r="J91" s="9" t="s">
        <v>254</v>
      </c>
      <c r="K91" s="42" t="s">
        <v>27</v>
      </c>
      <c r="L91" s="10" t="s">
        <v>131</v>
      </c>
      <c r="M91" s="10" t="s">
        <v>130</v>
      </c>
    </row>
    <row r="92" spans="1:14" hidden="1" x14ac:dyDescent="0.3">
      <c r="A92" s="36">
        <v>44732</v>
      </c>
      <c r="B92" s="9" t="s">
        <v>244</v>
      </c>
      <c r="C92" s="9" t="s">
        <v>243</v>
      </c>
      <c r="D92" s="9" t="s">
        <v>242</v>
      </c>
      <c r="E92" s="9" t="s">
        <v>253</v>
      </c>
      <c r="F92" s="42" t="s">
        <v>252</v>
      </c>
      <c r="G92" s="43" t="s">
        <v>251</v>
      </c>
      <c r="H92" s="9" t="s">
        <v>17</v>
      </c>
      <c r="I92" s="9" t="s">
        <v>250</v>
      </c>
      <c r="J92" s="9" t="s">
        <v>249</v>
      </c>
      <c r="K92" s="42" t="s">
        <v>17</v>
      </c>
      <c r="L92" s="10" t="s">
        <v>131</v>
      </c>
      <c r="M92" s="10" t="s">
        <v>130</v>
      </c>
    </row>
    <row r="93" spans="1:14" hidden="1" x14ac:dyDescent="0.3">
      <c r="A93" s="36">
        <v>44732</v>
      </c>
      <c r="B93" s="9" t="s">
        <v>244</v>
      </c>
      <c r="C93" s="9" t="s">
        <v>243</v>
      </c>
      <c r="D93" s="9" t="s">
        <v>242</v>
      </c>
      <c r="E93" s="9" t="s">
        <v>248</v>
      </c>
      <c r="F93" s="42" t="s">
        <v>247</v>
      </c>
      <c r="G93" s="43" t="s">
        <v>246</v>
      </c>
      <c r="H93" s="9" t="s">
        <v>51</v>
      </c>
      <c r="I93" s="9" t="s">
        <v>238</v>
      </c>
      <c r="J93" s="9" t="s">
        <v>245</v>
      </c>
      <c r="K93" s="42" t="s">
        <v>73</v>
      </c>
      <c r="L93" s="10" t="s">
        <v>131</v>
      </c>
      <c r="M93" s="10" t="s">
        <v>130</v>
      </c>
    </row>
    <row r="94" spans="1:14" hidden="1" x14ac:dyDescent="0.3">
      <c r="A94" s="36">
        <v>44732</v>
      </c>
      <c r="B94" s="9" t="s">
        <v>244</v>
      </c>
      <c r="C94" s="38" t="s">
        <v>243</v>
      </c>
      <c r="D94" s="38" t="s">
        <v>242</v>
      </c>
      <c r="E94" s="36" t="s">
        <v>241</v>
      </c>
      <c r="F94" s="9" t="s">
        <v>240</v>
      </c>
      <c r="G94" s="35" t="s">
        <v>239</v>
      </c>
      <c r="H94" s="9" t="s">
        <v>51</v>
      </c>
      <c r="I94" s="9" t="s">
        <v>238</v>
      </c>
      <c r="J94" s="9" t="s">
        <v>237</v>
      </c>
      <c r="K94" s="9" t="s">
        <v>73</v>
      </c>
      <c r="L94" s="10"/>
      <c r="M94" s="10"/>
    </row>
    <row r="95" spans="1:14" hidden="1" x14ac:dyDescent="0.3">
      <c r="A95" s="39">
        <v>44732</v>
      </c>
      <c r="B95" s="38" t="s">
        <v>232</v>
      </c>
      <c r="C95" s="38" t="s">
        <v>231</v>
      </c>
      <c r="D95" s="38" t="s">
        <v>230</v>
      </c>
      <c r="E95" s="38" t="s">
        <v>235</v>
      </c>
      <c r="F95" s="9" t="s">
        <v>236</v>
      </c>
      <c r="G95" s="35" t="s">
        <v>235</v>
      </c>
      <c r="H95" s="40" t="s">
        <v>51</v>
      </c>
      <c r="I95" s="40" t="s">
        <v>234</v>
      </c>
      <c r="J95" s="38" t="s">
        <v>233</v>
      </c>
      <c r="K95" s="38" t="s">
        <v>51</v>
      </c>
      <c r="L95" s="28"/>
      <c r="M95" s="28"/>
    </row>
    <row r="96" spans="1:14" hidden="1" x14ac:dyDescent="0.3">
      <c r="A96" s="39">
        <v>44732</v>
      </c>
      <c r="B96" s="38" t="s">
        <v>232</v>
      </c>
      <c r="C96" s="38" t="s">
        <v>231</v>
      </c>
      <c r="D96" s="38" t="s">
        <v>230</v>
      </c>
      <c r="E96" s="38" t="s">
        <v>229</v>
      </c>
      <c r="F96" s="9" t="s">
        <v>229</v>
      </c>
      <c r="G96" s="35" t="s">
        <v>228</v>
      </c>
      <c r="H96" s="38" t="s">
        <v>51</v>
      </c>
      <c r="I96" s="38" t="s">
        <v>227</v>
      </c>
      <c r="J96" s="38" t="s">
        <v>226</v>
      </c>
      <c r="K96" s="38" t="s">
        <v>51</v>
      </c>
      <c r="L96" s="28"/>
      <c r="M96" s="28"/>
    </row>
    <row r="97" spans="1:14" hidden="1" x14ac:dyDescent="0.3">
      <c r="A97" s="39">
        <v>44732</v>
      </c>
      <c r="B97" s="38" t="s">
        <v>209</v>
      </c>
      <c r="C97" s="38" t="s">
        <v>208</v>
      </c>
      <c r="D97" s="38" t="s">
        <v>207</v>
      </c>
      <c r="E97" s="38" t="s">
        <v>224</v>
      </c>
      <c r="F97" s="9" t="s">
        <v>225</v>
      </c>
      <c r="G97" s="35" t="s">
        <v>224</v>
      </c>
      <c r="H97" s="38" t="s">
        <v>27</v>
      </c>
      <c r="I97" s="38" t="s">
        <v>223</v>
      </c>
      <c r="J97" s="38" t="s">
        <v>222</v>
      </c>
      <c r="K97" s="38" t="s">
        <v>51</v>
      </c>
      <c r="L97" s="28"/>
      <c r="M97" s="28"/>
    </row>
    <row r="98" spans="1:14" ht="27" hidden="1" x14ac:dyDescent="0.3">
      <c r="A98" s="39">
        <v>44732</v>
      </c>
      <c r="B98" s="38" t="s">
        <v>209</v>
      </c>
      <c r="C98" s="38" t="s">
        <v>208</v>
      </c>
      <c r="D98" s="38" t="s">
        <v>207</v>
      </c>
      <c r="E98" s="38" t="s">
        <v>220</v>
      </c>
      <c r="F98" s="9" t="s">
        <v>221</v>
      </c>
      <c r="G98" s="35" t="s">
        <v>220</v>
      </c>
      <c r="H98" s="38" t="s">
        <v>27</v>
      </c>
      <c r="I98" s="41" t="s">
        <v>219</v>
      </c>
      <c r="J98" s="41" t="s">
        <v>218</v>
      </c>
      <c r="K98" s="38" t="s">
        <v>51</v>
      </c>
      <c r="L98" s="28"/>
      <c r="M98" s="28"/>
    </row>
    <row r="99" spans="1:14" ht="27" hidden="1" x14ac:dyDescent="0.3">
      <c r="A99" s="39">
        <v>44732</v>
      </c>
      <c r="B99" s="38" t="s">
        <v>209</v>
      </c>
      <c r="C99" s="38" t="s">
        <v>208</v>
      </c>
      <c r="D99" s="38" t="s">
        <v>207</v>
      </c>
      <c r="E99" s="38" t="s">
        <v>216</v>
      </c>
      <c r="F99" s="9" t="s">
        <v>217</v>
      </c>
      <c r="G99" s="35" t="s">
        <v>216</v>
      </c>
      <c r="H99" s="38" t="s">
        <v>17</v>
      </c>
      <c r="I99" s="41" t="s">
        <v>215</v>
      </c>
      <c r="J99" s="38" t="s">
        <v>214</v>
      </c>
      <c r="K99" s="38" t="s">
        <v>17</v>
      </c>
      <c r="L99" s="28"/>
      <c r="M99" s="28"/>
    </row>
    <row r="100" spans="1:14" ht="27" hidden="1" x14ac:dyDescent="0.3">
      <c r="A100" s="39">
        <v>44732</v>
      </c>
      <c r="B100" s="38" t="s">
        <v>209</v>
      </c>
      <c r="C100" s="38" t="s">
        <v>208</v>
      </c>
      <c r="D100" s="38" t="s">
        <v>207</v>
      </c>
      <c r="E100" s="38" t="s">
        <v>212</v>
      </c>
      <c r="F100" s="9" t="s">
        <v>213</v>
      </c>
      <c r="G100" s="35" t="s">
        <v>212</v>
      </c>
      <c r="H100" s="38" t="s">
        <v>101</v>
      </c>
      <c r="I100" s="41" t="s">
        <v>211</v>
      </c>
      <c r="J100" s="41" t="s">
        <v>210</v>
      </c>
      <c r="K100" s="38" t="s">
        <v>101</v>
      </c>
      <c r="L100" s="28"/>
      <c r="M100" s="28"/>
    </row>
    <row r="101" spans="1:14" ht="27" hidden="1" x14ac:dyDescent="0.3">
      <c r="A101" s="39">
        <v>44732</v>
      </c>
      <c r="B101" s="38" t="s">
        <v>209</v>
      </c>
      <c r="C101" s="38" t="s">
        <v>208</v>
      </c>
      <c r="D101" s="38" t="s">
        <v>207</v>
      </c>
      <c r="E101" s="38" t="s">
        <v>206</v>
      </c>
      <c r="F101" s="9" t="s">
        <v>205</v>
      </c>
      <c r="G101" s="35" t="s">
        <v>204</v>
      </c>
      <c r="H101" s="38" t="s">
        <v>203</v>
      </c>
      <c r="I101" s="41" t="s">
        <v>202</v>
      </c>
      <c r="J101" s="41" t="s">
        <v>201</v>
      </c>
      <c r="K101" s="38" t="s">
        <v>17</v>
      </c>
      <c r="L101" s="28"/>
      <c r="M101" s="28"/>
    </row>
    <row r="102" spans="1:14" ht="27" hidden="1" x14ac:dyDescent="0.3">
      <c r="A102" s="39">
        <v>44732</v>
      </c>
      <c r="B102" s="38" t="s">
        <v>200</v>
      </c>
      <c r="C102" s="38" t="s">
        <v>199</v>
      </c>
      <c r="D102" s="38" t="s">
        <v>198</v>
      </c>
      <c r="E102" s="38" t="s">
        <v>197</v>
      </c>
      <c r="F102" s="9" t="s">
        <v>196</v>
      </c>
      <c r="G102" s="35" t="s">
        <v>195</v>
      </c>
      <c r="H102" s="38" t="s">
        <v>194</v>
      </c>
      <c r="I102" s="41" t="s">
        <v>193</v>
      </c>
      <c r="J102" s="41" t="s">
        <v>192</v>
      </c>
      <c r="K102" s="38" t="s">
        <v>51</v>
      </c>
      <c r="L102" s="28"/>
      <c r="M102" s="28"/>
    </row>
    <row r="103" spans="1:14" hidden="1" x14ac:dyDescent="0.3">
      <c r="A103" s="36">
        <v>44732</v>
      </c>
      <c r="B103" s="9" t="s">
        <v>188</v>
      </c>
      <c r="C103" s="9" t="s">
        <v>187</v>
      </c>
      <c r="D103" s="9" t="s">
        <v>186</v>
      </c>
      <c r="E103" s="9" t="s">
        <v>191</v>
      </c>
      <c r="F103" s="42" t="s">
        <v>184</v>
      </c>
      <c r="G103" s="42" t="s">
        <v>184</v>
      </c>
      <c r="H103" s="9" t="s">
        <v>17</v>
      </c>
      <c r="I103" s="35" t="s">
        <v>190</v>
      </c>
      <c r="J103" s="9" t="s">
        <v>189</v>
      </c>
      <c r="K103" s="42" t="s">
        <v>17</v>
      </c>
      <c r="L103" s="10" t="s">
        <v>131</v>
      </c>
      <c r="M103" s="37" t="s">
        <v>181</v>
      </c>
      <c r="N103" s="37"/>
    </row>
    <row r="104" spans="1:14" hidden="1" x14ac:dyDescent="0.3">
      <c r="A104" s="36">
        <v>44732</v>
      </c>
      <c r="B104" s="9" t="s">
        <v>188</v>
      </c>
      <c r="C104" s="9" t="s">
        <v>187</v>
      </c>
      <c r="D104" s="9" t="s">
        <v>186</v>
      </c>
      <c r="E104" s="9" t="s">
        <v>185</v>
      </c>
      <c r="F104" s="42" t="s">
        <v>184</v>
      </c>
      <c r="G104" s="42" t="s">
        <v>184</v>
      </c>
      <c r="H104" s="9" t="s">
        <v>17</v>
      </c>
      <c r="I104" s="9" t="s">
        <v>183</v>
      </c>
      <c r="J104" s="9" t="s">
        <v>182</v>
      </c>
      <c r="K104" s="42" t="s">
        <v>17</v>
      </c>
      <c r="L104" s="10" t="s">
        <v>131</v>
      </c>
      <c r="M104" s="37" t="s">
        <v>181</v>
      </c>
      <c r="N104" s="37"/>
    </row>
    <row r="105" spans="1:14" hidden="1" x14ac:dyDescent="0.3">
      <c r="A105" s="39">
        <v>44732</v>
      </c>
      <c r="B105" s="38" t="s">
        <v>174</v>
      </c>
      <c r="C105" s="38" t="s">
        <v>173</v>
      </c>
      <c r="D105" s="38" t="s">
        <v>172</v>
      </c>
      <c r="E105" s="38" t="s">
        <v>178</v>
      </c>
      <c r="F105" s="9" t="s">
        <v>178</v>
      </c>
      <c r="G105" s="35" t="s">
        <v>170</v>
      </c>
      <c r="H105" s="38" t="s">
        <v>17</v>
      </c>
      <c r="I105" s="38" t="s">
        <v>180</v>
      </c>
      <c r="J105" s="38" t="s">
        <v>179</v>
      </c>
      <c r="K105" s="38" t="s">
        <v>17</v>
      </c>
      <c r="L105" s="28"/>
      <c r="M105" s="28"/>
    </row>
    <row r="106" spans="1:14" hidden="1" x14ac:dyDescent="0.3">
      <c r="A106" s="39">
        <v>44732</v>
      </c>
      <c r="B106" s="38" t="s">
        <v>174</v>
      </c>
      <c r="C106" s="38" t="s">
        <v>173</v>
      </c>
      <c r="D106" s="38" t="s">
        <v>172</v>
      </c>
      <c r="E106" s="38" t="s">
        <v>178</v>
      </c>
      <c r="F106" s="9" t="s">
        <v>178</v>
      </c>
      <c r="G106" s="35" t="s">
        <v>170</v>
      </c>
      <c r="H106" s="38" t="s">
        <v>17</v>
      </c>
      <c r="I106" s="38" t="s">
        <v>177</v>
      </c>
      <c r="J106" s="38" t="s">
        <v>176</v>
      </c>
      <c r="K106" s="38" t="s">
        <v>17</v>
      </c>
      <c r="L106" s="28" t="s">
        <v>175</v>
      </c>
      <c r="M106" s="28"/>
    </row>
    <row r="107" spans="1:14" hidden="1" x14ac:dyDescent="0.3">
      <c r="A107" s="39">
        <v>44732</v>
      </c>
      <c r="B107" s="38" t="s">
        <v>174</v>
      </c>
      <c r="C107" s="38" t="s">
        <v>173</v>
      </c>
      <c r="D107" s="38" t="s">
        <v>172</v>
      </c>
      <c r="E107" s="38" t="s">
        <v>171</v>
      </c>
      <c r="F107" s="9" t="s">
        <v>171</v>
      </c>
      <c r="G107" s="35" t="s">
        <v>170</v>
      </c>
      <c r="H107" s="40" t="s">
        <v>17</v>
      </c>
      <c r="I107" s="40" t="s">
        <v>169</v>
      </c>
      <c r="J107" s="38" t="s">
        <v>168</v>
      </c>
      <c r="K107" s="38" t="s">
        <v>17</v>
      </c>
      <c r="L107" s="28"/>
      <c r="M107" s="28"/>
    </row>
    <row r="108" spans="1:14" hidden="1" x14ac:dyDescent="0.3">
      <c r="A108" s="39">
        <v>44732</v>
      </c>
      <c r="B108" s="38" t="s">
        <v>147</v>
      </c>
      <c r="C108" s="38" t="s">
        <v>146</v>
      </c>
      <c r="D108" s="38" t="s">
        <v>145</v>
      </c>
      <c r="E108" s="38" t="s">
        <v>167</v>
      </c>
      <c r="F108" s="9" t="s">
        <v>166</v>
      </c>
      <c r="G108" s="35" t="s">
        <v>165</v>
      </c>
      <c r="H108" s="38" t="s">
        <v>51</v>
      </c>
      <c r="I108" s="38" t="s">
        <v>164</v>
      </c>
      <c r="J108" s="38" t="s">
        <v>163</v>
      </c>
      <c r="K108" s="38" t="s">
        <v>51</v>
      </c>
      <c r="L108" s="28"/>
      <c r="M108" s="28"/>
    </row>
    <row r="109" spans="1:14" hidden="1" x14ac:dyDescent="0.3">
      <c r="A109" s="39">
        <v>44732</v>
      </c>
      <c r="B109" s="38" t="s">
        <v>147</v>
      </c>
      <c r="C109" s="38" t="s">
        <v>146</v>
      </c>
      <c r="D109" s="38" t="s">
        <v>145</v>
      </c>
      <c r="E109" s="38" t="s">
        <v>162</v>
      </c>
      <c r="F109" s="9" t="s">
        <v>161</v>
      </c>
      <c r="G109" s="35" t="s">
        <v>160</v>
      </c>
      <c r="H109" s="38" t="s">
        <v>27</v>
      </c>
      <c r="I109" s="38" t="s">
        <v>159</v>
      </c>
      <c r="J109" s="38" t="s">
        <v>158</v>
      </c>
      <c r="K109" s="38" t="s">
        <v>27</v>
      </c>
      <c r="L109" s="28"/>
      <c r="M109" s="28"/>
    </row>
    <row r="110" spans="1:14" hidden="1" x14ac:dyDescent="0.3">
      <c r="A110" s="39">
        <v>44732</v>
      </c>
      <c r="B110" s="38" t="s">
        <v>147</v>
      </c>
      <c r="C110" s="38" t="s">
        <v>146</v>
      </c>
      <c r="D110" s="38" t="s">
        <v>145</v>
      </c>
      <c r="E110" s="38" t="s">
        <v>157</v>
      </c>
      <c r="F110" s="9" t="s">
        <v>156</v>
      </c>
      <c r="G110" s="35" t="s">
        <v>155</v>
      </c>
      <c r="H110" s="38" t="s">
        <v>17</v>
      </c>
      <c r="I110" s="38" t="s">
        <v>154</v>
      </c>
      <c r="J110" s="38" t="s">
        <v>153</v>
      </c>
      <c r="K110" s="38" t="s">
        <v>17</v>
      </c>
      <c r="L110" s="28"/>
      <c r="M110" s="28"/>
    </row>
    <row r="111" spans="1:14" hidden="1" x14ac:dyDescent="0.3">
      <c r="A111" s="39">
        <v>44732</v>
      </c>
      <c r="B111" s="38" t="s">
        <v>147</v>
      </c>
      <c r="C111" s="38" t="s">
        <v>146</v>
      </c>
      <c r="D111" s="38" t="s">
        <v>145</v>
      </c>
      <c r="E111" s="38" t="s">
        <v>152</v>
      </c>
      <c r="F111" s="9" t="s">
        <v>151</v>
      </c>
      <c r="G111" s="35" t="s">
        <v>150</v>
      </c>
      <c r="H111" s="38" t="s">
        <v>42</v>
      </c>
      <c r="I111" s="38" t="s">
        <v>149</v>
      </c>
      <c r="J111" s="38" t="s">
        <v>148</v>
      </c>
      <c r="K111" s="38" t="s">
        <v>42</v>
      </c>
      <c r="L111" s="28"/>
      <c r="M111" s="28"/>
    </row>
    <row r="112" spans="1:14" hidden="1" x14ac:dyDescent="0.3">
      <c r="A112" s="39">
        <v>44732</v>
      </c>
      <c r="B112" s="38" t="s">
        <v>147</v>
      </c>
      <c r="C112" s="38" t="s">
        <v>146</v>
      </c>
      <c r="D112" s="38" t="s">
        <v>145</v>
      </c>
      <c r="E112" s="38" t="s">
        <v>144</v>
      </c>
      <c r="F112" s="9" t="s">
        <v>143</v>
      </c>
      <c r="G112" s="35" t="s">
        <v>142</v>
      </c>
      <c r="H112" s="38" t="s">
        <v>42</v>
      </c>
      <c r="I112" s="38" t="s">
        <v>141</v>
      </c>
      <c r="J112" s="38" t="s">
        <v>140</v>
      </c>
      <c r="K112" s="38" t="s">
        <v>42</v>
      </c>
      <c r="L112" s="28"/>
      <c r="M112" s="28"/>
    </row>
    <row r="113" spans="1:14" ht="68.25" hidden="1" customHeight="1" x14ac:dyDescent="0.3">
      <c r="A113" s="36">
        <v>44732</v>
      </c>
      <c r="B113" s="9" t="s">
        <v>139</v>
      </c>
      <c r="C113" s="9" t="s">
        <v>138</v>
      </c>
      <c r="D113" s="9" t="s">
        <v>137</v>
      </c>
      <c r="E113" s="9" t="s">
        <v>136</v>
      </c>
      <c r="F113" s="42" t="s">
        <v>136</v>
      </c>
      <c r="G113" s="42" t="s">
        <v>135</v>
      </c>
      <c r="H113" s="9" t="s">
        <v>134</v>
      </c>
      <c r="I113" s="35" t="s">
        <v>133</v>
      </c>
      <c r="J113" s="35" t="s">
        <v>132</v>
      </c>
      <c r="K113" s="42" t="s">
        <v>73</v>
      </c>
      <c r="L113" s="10" t="s">
        <v>131</v>
      </c>
      <c r="M113" s="37" t="s">
        <v>130</v>
      </c>
    </row>
    <row r="114" spans="1:14" ht="27" x14ac:dyDescent="0.3">
      <c r="A114" s="36">
        <v>44732</v>
      </c>
      <c r="B114" s="9" t="s">
        <v>109</v>
      </c>
      <c r="C114" s="9" t="s">
        <v>108</v>
      </c>
      <c r="D114" s="9" t="s">
        <v>107</v>
      </c>
      <c r="E114" s="35" t="s">
        <v>129</v>
      </c>
      <c r="F114" s="9" t="s">
        <v>128</v>
      </c>
      <c r="G114" s="35" t="s">
        <v>127</v>
      </c>
      <c r="H114" s="9" t="s">
        <v>51</v>
      </c>
      <c r="I114" s="9" t="s">
        <v>126</v>
      </c>
      <c r="J114" s="9" t="s">
        <v>125</v>
      </c>
      <c r="K114" s="9" t="s">
        <v>51</v>
      </c>
      <c r="L114" s="28"/>
      <c r="M114" s="28"/>
      <c r="N114" s="10" t="s">
        <v>51</v>
      </c>
    </row>
    <row r="115" spans="1:14" ht="27" hidden="1" x14ac:dyDescent="0.3">
      <c r="A115" s="39">
        <v>44732</v>
      </c>
      <c r="B115" s="38" t="s">
        <v>109</v>
      </c>
      <c r="C115" s="38" t="s">
        <v>108</v>
      </c>
      <c r="D115" s="38" t="s">
        <v>107</v>
      </c>
      <c r="E115" s="41" t="s">
        <v>124</v>
      </c>
      <c r="F115" s="9" t="s">
        <v>123</v>
      </c>
      <c r="G115" s="35" t="s">
        <v>122</v>
      </c>
      <c r="H115" s="38" t="s">
        <v>51</v>
      </c>
      <c r="I115" s="38" t="s">
        <v>121</v>
      </c>
      <c r="J115" s="38" t="s">
        <v>120</v>
      </c>
      <c r="K115" s="38" t="s">
        <v>73</v>
      </c>
      <c r="L115" s="28"/>
      <c r="M115" s="28"/>
    </row>
    <row r="116" spans="1:14" ht="27" hidden="1" x14ac:dyDescent="0.3">
      <c r="A116" s="39">
        <v>44732</v>
      </c>
      <c r="B116" s="38" t="s">
        <v>109</v>
      </c>
      <c r="C116" s="38" t="s">
        <v>108</v>
      </c>
      <c r="D116" s="38" t="s">
        <v>107</v>
      </c>
      <c r="E116" s="41" t="s">
        <v>119</v>
      </c>
      <c r="F116" s="9" t="s">
        <v>118</v>
      </c>
      <c r="G116" s="35" t="s">
        <v>117</v>
      </c>
      <c r="H116" s="38" t="s">
        <v>17</v>
      </c>
      <c r="I116" s="38" t="s">
        <v>116</v>
      </c>
      <c r="J116" s="38" t="s">
        <v>115</v>
      </c>
      <c r="K116" s="38" t="s">
        <v>17</v>
      </c>
      <c r="L116" s="28"/>
      <c r="M116" s="28"/>
    </row>
    <row r="117" spans="1:14" ht="27" x14ac:dyDescent="0.3">
      <c r="A117" s="36">
        <v>44732</v>
      </c>
      <c r="B117" s="9" t="s">
        <v>109</v>
      </c>
      <c r="C117" s="9" t="s">
        <v>108</v>
      </c>
      <c r="D117" s="9" t="s">
        <v>107</v>
      </c>
      <c r="E117" s="35" t="s">
        <v>114</v>
      </c>
      <c r="F117" s="9" t="s">
        <v>113</v>
      </c>
      <c r="G117" s="35" t="s">
        <v>112</v>
      </c>
      <c r="H117" s="9" t="s">
        <v>17</v>
      </c>
      <c r="I117" s="9" t="s">
        <v>111</v>
      </c>
      <c r="J117" s="9" t="s">
        <v>110</v>
      </c>
      <c r="K117" s="9" t="s">
        <v>17</v>
      </c>
      <c r="L117" s="28"/>
      <c r="M117" s="28"/>
      <c r="N117" s="10" t="s">
        <v>17</v>
      </c>
    </row>
    <row r="118" spans="1:14" ht="27" x14ac:dyDescent="0.3">
      <c r="A118" s="36">
        <v>44732</v>
      </c>
      <c r="B118" s="9" t="s">
        <v>109</v>
      </c>
      <c r="C118" s="9" t="s">
        <v>108</v>
      </c>
      <c r="D118" s="9" t="s">
        <v>107</v>
      </c>
      <c r="E118" s="35" t="s">
        <v>106</v>
      </c>
      <c r="F118" s="9" t="s">
        <v>105</v>
      </c>
      <c r="G118" s="35" t="s">
        <v>104</v>
      </c>
      <c r="H118" s="9" t="s">
        <v>101</v>
      </c>
      <c r="I118" s="9" t="s">
        <v>103</v>
      </c>
      <c r="J118" s="9" t="s">
        <v>102</v>
      </c>
      <c r="K118" s="9" t="s">
        <v>101</v>
      </c>
      <c r="L118" s="28"/>
      <c r="M118" s="28"/>
      <c r="N118" s="10" t="s">
        <v>101</v>
      </c>
    </row>
    <row r="119" spans="1:14" x14ac:dyDescent="0.3">
      <c r="A119" s="36">
        <v>44732</v>
      </c>
      <c r="B119" s="36" t="s">
        <v>100</v>
      </c>
      <c r="C119" s="36" t="s">
        <v>99</v>
      </c>
      <c r="D119" s="36" t="s">
        <v>98</v>
      </c>
      <c r="E119" s="36" t="s">
        <v>97</v>
      </c>
      <c r="F119" s="9" t="s">
        <v>96</v>
      </c>
      <c r="G119" s="35" t="s">
        <v>95</v>
      </c>
      <c r="H119" s="36" t="s">
        <v>27</v>
      </c>
      <c r="I119" s="36" t="s">
        <v>94</v>
      </c>
      <c r="J119" s="36" t="s">
        <v>93</v>
      </c>
      <c r="K119" s="36" t="s">
        <v>27</v>
      </c>
      <c r="L119" s="28"/>
      <c r="M119" s="28"/>
      <c r="N119" s="10" t="s">
        <v>27</v>
      </c>
    </row>
    <row r="120" spans="1:14" hidden="1" x14ac:dyDescent="0.3">
      <c r="A120" s="39">
        <v>44732</v>
      </c>
      <c r="B120" s="38" t="s">
        <v>81</v>
      </c>
      <c r="C120" s="38" t="s">
        <v>80</v>
      </c>
      <c r="D120" s="38" t="s">
        <v>79</v>
      </c>
      <c r="E120" s="38" t="s">
        <v>92</v>
      </c>
      <c r="F120" s="9" t="s">
        <v>91</v>
      </c>
      <c r="G120" s="35" t="s">
        <v>90</v>
      </c>
      <c r="H120" s="38" t="s">
        <v>17</v>
      </c>
      <c r="I120" s="38" t="s">
        <v>86</v>
      </c>
      <c r="J120" s="41" t="s">
        <v>85</v>
      </c>
      <c r="K120" s="38" t="s">
        <v>17</v>
      </c>
      <c r="L120" s="28"/>
      <c r="M120" s="28"/>
    </row>
    <row r="121" spans="1:14" hidden="1" x14ac:dyDescent="0.3">
      <c r="A121" s="39">
        <v>44732</v>
      </c>
      <c r="B121" s="38" t="s">
        <v>81</v>
      </c>
      <c r="C121" s="38" t="s">
        <v>80</v>
      </c>
      <c r="D121" s="38" t="s">
        <v>79</v>
      </c>
      <c r="E121" s="38" t="s">
        <v>89</v>
      </c>
      <c r="F121" s="9" t="s">
        <v>88</v>
      </c>
      <c r="G121" s="35" t="s">
        <v>87</v>
      </c>
      <c r="H121" s="38" t="s">
        <v>17</v>
      </c>
      <c r="I121" s="38" t="s">
        <v>86</v>
      </c>
      <c r="J121" s="41" t="s">
        <v>85</v>
      </c>
      <c r="K121" s="38" t="s">
        <v>17</v>
      </c>
      <c r="L121" s="28"/>
      <c r="M121" s="28"/>
    </row>
    <row r="122" spans="1:14" hidden="1" x14ac:dyDescent="0.3">
      <c r="A122" s="39">
        <v>44732</v>
      </c>
      <c r="B122" s="38" t="s">
        <v>81</v>
      </c>
      <c r="C122" s="38" t="s">
        <v>80</v>
      </c>
      <c r="D122" s="38" t="s">
        <v>79</v>
      </c>
      <c r="E122" s="38" t="s">
        <v>84</v>
      </c>
      <c r="F122" s="9" t="s">
        <v>83</v>
      </c>
      <c r="G122" s="35" t="s">
        <v>82</v>
      </c>
      <c r="H122" s="38" t="s">
        <v>27</v>
      </c>
      <c r="I122" s="38" t="s">
        <v>75</v>
      </c>
      <c r="J122" s="38" t="s">
        <v>74</v>
      </c>
      <c r="K122" s="38" t="s">
        <v>73</v>
      </c>
      <c r="L122" s="28"/>
      <c r="M122" s="28"/>
    </row>
    <row r="123" spans="1:14" hidden="1" x14ac:dyDescent="0.3">
      <c r="A123" s="39">
        <v>44732</v>
      </c>
      <c r="B123" s="38" t="s">
        <v>81</v>
      </c>
      <c r="C123" s="38" t="s">
        <v>80</v>
      </c>
      <c r="D123" s="38" t="s">
        <v>79</v>
      </c>
      <c r="E123" s="38" t="s">
        <v>78</v>
      </c>
      <c r="F123" s="9" t="s">
        <v>77</v>
      </c>
      <c r="G123" s="35" t="s">
        <v>76</v>
      </c>
      <c r="H123" s="38" t="s">
        <v>27</v>
      </c>
      <c r="I123" s="38" t="s">
        <v>75</v>
      </c>
      <c r="J123" s="38" t="s">
        <v>74</v>
      </c>
      <c r="K123" s="38" t="s">
        <v>73</v>
      </c>
      <c r="L123" s="28"/>
      <c r="M123" s="28"/>
    </row>
    <row r="124" spans="1:14" hidden="1" x14ac:dyDescent="0.3">
      <c r="A124" s="39">
        <v>44732</v>
      </c>
      <c r="B124" s="38" t="s">
        <v>50</v>
      </c>
      <c r="C124" s="38" t="s">
        <v>49</v>
      </c>
      <c r="D124" s="38" t="s">
        <v>48</v>
      </c>
      <c r="E124" s="38" t="s">
        <v>72</v>
      </c>
      <c r="F124" s="9" t="s">
        <v>71</v>
      </c>
      <c r="G124" s="35" t="s">
        <v>70</v>
      </c>
      <c r="H124" s="38" t="s">
        <v>17</v>
      </c>
      <c r="I124" s="38" t="s">
        <v>69</v>
      </c>
      <c r="J124" s="38" t="s">
        <v>68</v>
      </c>
      <c r="K124" s="38" t="s">
        <v>17</v>
      </c>
      <c r="L124" s="28"/>
      <c r="M124" s="28"/>
    </row>
    <row r="125" spans="1:14" hidden="1" x14ac:dyDescent="0.3">
      <c r="A125" s="39">
        <v>44732</v>
      </c>
      <c r="B125" s="38" t="s">
        <v>50</v>
      </c>
      <c r="C125" s="38" t="s">
        <v>49</v>
      </c>
      <c r="D125" s="38" t="s">
        <v>48</v>
      </c>
      <c r="E125" s="38" t="s">
        <v>67</v>
      </c>
      <c r="F125" s="9" t="s">
        <v>66</v>
      </c>
      <c r="G125" s="35" t="s">
        <v>65</v>
      </c>
      <c r="H125" s="38" t="s">
        <v>27</v>
      </c>
      <c r="I125" s="38" t="s">
        <v>64</v>
      </c>
      <c r="J125" s="38" t="s">
        <v>63</v>
      </c>
      <c r="K125" s="38" t="s">
        <v>27</v>
      </c>
      <c r="L125" s="28"/>
      <c r="M125" s="28"/>
    </row>
    <row r="126" spans="1:14" ht="27" hidden="1" x14ac:dyDescent="0.3">
      <c r="A126" s="39">
        <v>44732</v>
      </c>
      <c r="B126" s="38" t="s">
        <v>50</v>
      </c>
      <c r="C126" s="38" t="s">
        <v>49</v>
      </c>
      <c r="D126" s="38" t="s">
        <v>48</v>
      </c>
      <c r="E126" s="38" t="s">
        <v>62</v>
      </c>
      <c r="F126" s="9" t="s">
        <v>61</v>
      </c>
      <c r="G126" s="35" t="s">
        <v>60</v>
      </c>
      <c r="H126" s="38" t="s">
        <v>59</v>
      </c>
      <c r="I126" s="41" t="s">
        <v>58</v>
      </c>
      <c r="J126" s="41" t="s">
        <v>57</v>
      </c>
      <c r="K126" s="38" t="s">
        <v>17</v>
      </c>
      <c r="L126" s="28"/>
      <c r="M126" s="28"/>
    </row>
    <row r="127" spans="1:14" hidden="1" x14ac:dyDescent="0.3">
      <c r="A127" s="39">
        <v>44732</v>
      </c>
      <c r="B127" s="38" t="s">
        <v>50</v>
      </c>
      <c r="C127" s="38" t="s">
        <v>49</v>
      </c>
      <c r="D127" s="38" t="s">
        <v>48</v>
      </c>
      <c r="E127" s="38" t="s">
        <v>56</v>
      </c>
      <c r="F127" s="9" t="s">
        <v>55</v>
      </c>
      <c r="G127" s="35" t="s">
        <v>54</v>
      </c>
      <c r="H127" s="40" t="s">
        <v>51</v>
      </c>
      <c r="I127" s="40" t="s">
        <v>53</v>
      </c>
      <c r="J127" s="38" t="s">
        <v>52</v>
      </c>
      <c r="K127" s="38" t="s">
        <v>51</v>
      </c>
      <c r="L127" s="28"/>
      <c r="M127" s="28"/>
    </row>
    <row r="128" spans="1:14" hidden="1" x14ac:dyDescent="0.3">
      <c r="A128" s="39">
        <v>44732</v>
      </c>
      <c r="B128" s="38" t="s">
        <v>50</v>
      </c>
      <c r="C128" s="38" t="s">
        <v>49</v>
      </c>
      <c r="D128" s="38" t="s">
        <v>48</v>
      </c>
      <c r="E128" s="38" t="s">
        <v>47</v>
      </c>
      <c r="F128" s="9" t="s">
        <v>46</v>
      </c>
      <c r="G128" s="35" t="s">
        <v>45</v>
      </c>
      <c r="H128" s="38" t="s">
        <v>42</v>
      </c>
      <c r="I128" s="38" t="s">
        <v>44</v>
      </c>
      <c r="J128" s="38" t="s">
        <v>43</v>
      </c>
      <c r="K128" s="38" t="s">
        <v>42</v>
      </c>
      <c r="L128" s="28"/>
      <c r="M128" s="28"/>
    </row>
    <row r="129" spans="1:11" hidden="1" x14ac:dyDescent="0.3">
      <c r="A129" s="36">
        <v>44734</v>
      </c>
      <c r="B129" s="9" t="s">
        <v>36</v>
      </c>
      <c r="C129" s="9" t="s">
        <v>35</v>
      </c>
      <c r="D129" s="9" t="s">
        <v>34</v>
      </c>
      <c r="E129" s="35" t="s">
        <v>41</v>
      </c>
      <c r="F129" s="9" t="s">
        <v>40</v>
      </c>
      <c r="G129" s="9" t="s">
        <v>39</v>
      </c>
      <c r="H129" s="9" t="s">
        <v>17</v>
      </c>
      <c r="I129" s="10" t="s">
        <v>38</v>
      </c>
      <c r="J129" s="10" t="s">
        <v>37</v>
      </c>
      <c r="K129" s="10" t="s">
        <v>17</v>
      </c>
    </row>
    <row r="130" spans="1:11" ht="27" hidden="1" x14ac:dyDescent="0.3">
      <c r="A130" s="36">
        <v>44734</v>
      </c>
      <c r="B130" s="9" t="s">
        <v>36</v>
      </c>
      <c r="C130" s="9" t="s">
        <v>35</v>
      </c>
      <c r="D130" s="9" t="s">
        <v>34</v>
      </c>
      <c r="E130" s="9" t="s">
        <v>33</v>
      </c>
      <c r="F130" s="9" t="s">
        <v>32</v>
      </c>
      <c r="G130" s="9" t="s">
        <v>31</v>
      </c>
      <c r="H130" s="9" t="s">
        <v>30</v>
      </c>
      <c r="I130" s="37" t="s">
        <v>29</v>
      </c>
      <c r="J130" s="37" t="s">
        <v>28</v>
      </c>
      <c r="K130" s="10" t="s">
        <v>27</v>
      </c>
    </row>
    <row r="131" spans="1:11" ht="27" hidden="1" x14ac:dyDescent="0.3">
      <c r="A131" s="36">
        <v>44734</v>
      </c>
      <c r="B131" s="9" t="s">
        <v>26</v>
      </c>
      <c r="C131" s="35" t="s">
        <v>25</v>
      </c>
      <c r="D131" s="35" t="s">
        <v>24</v>
      </c>
      <c r="E131" s="35" t="s">
        <v>23</v>
      </c>
      <c r="F131" s="9" t="s">
        <v>22</v>
      </c>
      <c r="G131" s="9" t="s">
        <v>21</v>
      </c>
      <c r="H131" s="9" t="s">
        <v>20</v>
      </c>
      <c r="I131" s="10" t="s">
        <v>19</v>
      </c>
      <c r="J131" s="10" t="s">
        <v>18</v>
      </c>
      <c r="K131" s="10" t="s">
        <v>17</v>
      </c>
    </row>
  </sheetData>
  <autoFilter ref="A1:N131" xr:uid="{00000000-0009-0000-0000-000004000000}">
    <filterColumn colId="13">
      <customFilters>
        <customFilter operator="notEqual" val=" "/>
      </customFilters>
    </filterColumn>
  </autoFilter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7F47-9766-4D0C-B9E0-00841867BE1E}">
  <sheetPr codeName="Sheet5"/>
  <dimension ref="A1:J8"/>
  <sheetViews>
    <sheetView workbookViewId="0">
      <selection activeCell="F4" sqref="F4"/>
    </sheetView>
  </sheetViews>
  <sheetFormatPr defaultRowHeight="16.5" x14ac:dyDescent="0.3"/>
  <cols>
    <col min="1" max="6" width="13.375" customWidth="1"/>
    <col min="7" max="8" width="13.625" customWidth="1"/>
    <col min="9" max="9" width="9.625" bestFit="1" customWidth="1"/>
    <col min="10" max="10" width="11.625" bestFit="1" customWidth="1"/>
  </cols>
  <sheetData>
    <row r="1" spans="1:10" ht="54" customHeight="1" x14ac:dyDescent="0.3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58"/>
    </row>
    <row r="2" spans="1:10" x14ac:dyDescent="0.3">
      <c r="A2" s="58"/>
      <c r="B2" s="58"/>
      <c r="C2" s="58"/>
      <c r="D2" s="58"/>
      <c r="E2" s="58"/>
      <c r="F2" s="58"/>
      <c r="G2" s="58"/>
      <c r="H2" s="58"/>
      <c r="I2" s="1" t="s">
        <v>9</v>
      </c>
      <c r="J2" s="1" t="s">
        <v>10</v>
      </c>
    </row>
    <row r="3" spans="1:10" x14ac:dyDescent="0.3">
      <c r="A3" s="2" t="s">
        <v>11</v>
      </c>
      <c r="B3" s="2">
        <v>17</v>
      </c>
      <c r="C3" s="2">
        <v>16</v>
      </c>
      <c r="D3" s="2">
        <v>32</v>
      </c>
      <c r="E3" s="2">
        <v>11</v>
      </c>
      <c r="F3" s="2">
        <v>2</v>
      </c>
      <c r="G3" s="2">
        <v>8</v>
      </c>
      <c r="H3" s="2">
        <v>14</v>
      </c>
      <c r="I3" s="2">
        <v>2</v>
      </c>
      <c r="J3" s="2">
        <v>28</v>
      </c>
    </row>
    <row r="5" spans="1:10" x14ac:dyDescent="0.3">
      <c r="A5" s="3" t="s">
        <v>12</v>
      </c>
      <c r="B5" s="3"/>
      <c r="C5" s="3"/>
      <c r="D5" s="3"/>
      <c r="E5" s="3"/>
      <c r="F5" s="3"/>
    </row>
    <row r="6" spans="1:10" x14ac:dyDescent="0.3">
      <c r="A6" s="4" t="s">
        <v>9</v>
      </c>
      <c r="B6" s="59" t="s">
        <v>10</v>
      </c>
      <c r="C6" s="60"/>
      <c r="D6" s="61" t="s">
        <v>13</v>
      </c>
    </row>
    <row r="7" spans="1:10" ht="27" x14ac:dyDescent="0.3">
      <c r="A7" s="5" t="s">
        <v>14</v>
      </c>
      <c r="B7" s="6" t="s">
        <v>15</v>
      </c>
      <c r="C7" s="5" t="s">
        <v>16</v>
      </c>
      <c r="D7" s="61"/>
    </row>
    <row r="8" spans="1:10" x14ac:dyDescent="0.3">
      <c r="A8" s="7">
        <v>2</v>
      </c>
      <c r="B8" s="7">
        <v>18</v>
      </c>
      <c r="C8" s="7">
        <v>10</v>
      </c>
      <c r="D8" s="7">
        <f>SUM(A8:C8)</f>
        <v>30</v>
      </c>
    </row>
  </sheetData>
  <mergeCells count="11">
    <mergeCell ref="G1:G2"/>
    <mergeCell ref="H1:H2"/>
    <mergeCell ref="I1:J1"/>
    <mergeCell ref="B6:C6"/>
    <mergeCell ref="D6:D7"/>
    <mergeCell ref="F1:F2"/>
    <mergeCell ref="A1:A2"/>
    <mergeCell ref="B1:B2"/>
    <mergeCell ref="C1:C2"/>
    <mergeCell ref="D1:D2"/>
    <mergeCell ref="E1:E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매크로시트</vt:lpstr>
      <vt:lpstr>데이터 (2)</vt:lpstr>
      <vt:lpstr>유션확인</vt:lpstr>
      <vt:lpstr>유형별대표사례</vt:lpstr>
      <vt:lpstr>전체통계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Gurutech</dc:creator>
  <cp:lastModifiedBy>Gurutech</cp:lastModifiedBy>
  <dcterms:created xsi:type="dcterms:W3CDTF">2022-06-28T07:55:32Z</dcterms:created>
  <dcterms:modified xsi:type="dcterms:W3CDTF">2022-07-01T04:39:58Z</dcterms:modified>
</cp:coreProperties>
</file>