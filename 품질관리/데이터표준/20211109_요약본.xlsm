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bookViews>
    <workbookView xWindow="0" yWindow="0" windowWidth="22260" windowHeight="12648"/>
  </bookViews>
  <sheets>
    <sheet name="기관별_요약" sheetId="1" r:id="rId1"/>
    <sheet name="데이터별_요약" sheetId="12" r:id="rId2"/>
    <sheet name="갱신주기_요약" sheetId="10" r:id="rId3"/>
    <sheet name="올데이터_데이터" sheetId="8" r:id="rId4"/>
    <sheet name="로컬_데이터" sheetId="3" r:id="rId5"/>
    <sheet name="중앙_데이터1" sheetId="5" r:id="rId6"/>
    <sheet name="중앙_데이터2" sheetId="6" r:id="rId7"/>
    <sheet name="갱신주기_데이터" sheetId="11" r:id="rId8"/>
    <sheet name="비표준_데이터" sheetId="2" r:id="rId9"/>
  </sheets>
  <externalReferences>
    <externalReference r:id="rId10"/>
    <externalReference r:id="rId11"/>
  </externalReferences>
  <definedNames>
    <definedName name="_xlnm._FilterDatabase" localSheetId="7" hidden="1">갱신주기_데이터!$A$2:$BG$250</definedName>
    <definedName name="_xlnm._FilterDatabase" localSheetId="2" hidden="1">갱신주기_요약!#REF!</definedName>
    <definedName name="_xlnm._FilterDatabase" localSheetId="0" hidden="1">기관별_요약!$A$1:$I$246</definedName>
    <definedName name="_xlnm._FilterDatabase" localSheetId="1" hidden="1">데이터별_요약!$A$1:$K$122</definedName>
    <definedName name="_xlnm._FilterDatabase" localSheetId="5" hidden="1">중앙_데이터1!$A$1:$N$72</definedName>
    <definedName name="목록등록관리시스템등록여부확인">OFFSET('[1]총괄데이터(작성서식)'!$J$2, MATCH('[1]총괄데이터(작성서식)'!$F1, '[1]총괄데이터(작성서식)'!$J$2:$J$4,0)-1, 1, COUNTIF('[1]총괄데이터(작성서식)'!$J$2:$J$4,'[1]총괄데이터(작성서식)'!$F1), 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5" i="1" l="1"/>
  <c r="D222" i="1"/>
  <c r="D219" i="1"/>
  <c r="D218" i="1"/>
  <c r="D216" i="1"/>
  <c r="D209" i="1"/>
  <c r="D207" i="1"/>
  <c r="D206" i="1"/>
  <c r="D182" i="1"/>
  <c r="D130" i="1"/>
  <c r="D126" i="1"/>
  <c r="D124" i="1"/>
  <c r="D122" i="1"/>
  <c r="D121" i="1"/>
  <c r="D116" i="1"/>
  <c r="D115" i="1"/>
  <c r="D110" i="1"/>
  <c r="D105" i="1"/>
  <c r="D92" i="1"/>
  <c r="D86" i="1"/>
  <c r="D84" i="1"/>
  <c r="D80" i="1"/>
  <c r="D79" i="1"/>
  <c r="D73" i="1"/>
  <c r="G122" i="12" l="1"/>
  <c r="F122" i="12"/>
  <c r="D122" i="12" l="1"/>
  <c r="E2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C263" i="1" l="1"/>
  <c r="C264" i="1"/>
  <c r="C265" i="1"/>
  <c r="C266" i="1"/>
  <c r="C267" i="1"/>
  <c r="C268" i="1"/>
  <c r="C269" i="1"/>
  <c r="C270" i="1"/>
  <c r="C262" i="1"/>
  <c r="C271" i="10"/>
  <c r="C270" i="10"/>
  <c r="C269" i="10"/>
  <c r="C268" i="10"/>
  <c r="C267" i="10"/>
  <c r="C266" i="10"/>
  <c r="C265" i="10"/>
  <c r="C264" i="10"/>
  <c r="C263" i="10"/>
  <c r="C260" i="10"/>
  <c r="C259" i="10"/>
  <c r="C258" i="10"/>
  <c r="C257" i="10"/>
  <c r="C256" i="10"/>
  <c r="C255" i="10"/>
  <c r="C254" i="10"/>
  <c r="C253" i="10"/>
  <c r="C252" i="10"/>
  <c r="C251" i="10"/>
  <c r="C250" i="10"/>
  <c r="BO1" i="11"/>
  <c r="BO3" i="11" s="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O4" i="11"/>
  <c r="BO5" i="11"/>
  <c r="C251" i="11"/>
  <c r="D251" i="11"/>
  <c r="E251" i="11"/>
  <c r="BK251" i="11" s="1"/>
  <c r="F251" i="11"/>
  <c r="F253" i="11" s="1"/>
  <c r="G251" i="11"/>
  <c r="H251" i="11"/>
  <c r="I251" i="11"/>
  <c r="J251" i="11"/>
  <c r="J253" i="11" s="1"/>
  <c r="K251" i="11"/>
  <c r="L251" i="11"/>
  <c r="M251" i="11"/>
  <c r="N251" i="11"/>
  <c r="N253" i="11" s="1"/>
  <c r="O251" i="11"/>
  <c r="P251" i="11"/>
  <c r="Q251" i="11"/>
  <c r="R251" i="11"/>
  <c r="R253" i="11" s="1"/>
  <c r="S251" i="11"/>
  <c r="T251" i="11"/>
  <c r="U251" i="11"/>
  <c r="V251" i="11"/>
  <c r="V253" i="11" s="1"/>
  <c r="W251" i="11"/>
  <c r="X251" i="11"/>
  <c r="Y251" i="11"/>
  <c r="Z251" i="11"/>
  <c r="Z253" i="11" s="1"/>
  <c r="AA251" i="11"/>
  <c r="AB251" i="11"/>
  <c r="AC251" i="11"/>
  <c r="AD251" i="11"/>
  <c r="AD253" i="11" s="1"/>
  <c r="AE251" i="11"/>
  <c r="AF251" i="11"/>
  <c r="AG251" i="11"/>
  <c r="AH251" i="11"/>
  <c r="AH253" i="11" s="1"/>
  <c r="AI251" i="11"/>
  <c r="AJ251" i="11"/>
  <c r="AK251" i="11"/>
  <c r="AL251" i="11"/>
  <c r="AL253" i="11" s="1"/>
  <c r="AM251" i="11"/>
  <c r="AN251" i="11"/>
  <c r="AO251" i="11"/>
  <c r="AP251" i="11"/>
  <c r="AP253" i="11" s="1"/>
  <c r="AQ251" i="11"/>
  <c r="AR251" i="11"/>
  <c r="AS251" i="11"/>
  <c r="AT251" i="11"/>
  <c r="AT253" i="11" s="1"/>
  <c r="AU251" i="11"/>
  <c r="AV251" i="11"/>
  <c r="AW251" i="11"/>
  <c r="AX251" i="11"/>
  <c r="AX253" i="11" s="1"/>
  <c r="AY251" i="11"/>
  <c r="AZ251" i="11"/>
  <c r="BA251" i="11"/>
  <c r="BB251" i="11"/>
  <c r="BB253" i="11" s="1"/>
  <c r="BC251" i="11"/>
  <c r="BD251" i="11"/>
  <c r="BE251" i="11"/>
  <c r="BF251" i="11"/>
  <c r="BF253" i="11" s="1"/>
  <c r="BG251" i="11"/>
  <c r="BH251" i="11"/>
  <c r="BI251" i="11"/>
  <c r="BJ251" i="11"/>
  <c r="BJ253" i="11" s="1"/>
  <c r="C252" i="11"/>
  <c r="D252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Z252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X252" i="11"/>
  <c r="AY252" i="11"/>
  <c r="AZ252" i="11"/>
  <c r="BA252" i="11"/>
  <c r="BB252" i="11"/>
  <c r="BC252" i="11"/>
  <c r="BD252" i="11"/>
  <c r="BE252" i="11"/>
  <c r="BF252" i="11"/>
  <c r="BG252" i="11"/>
  <c r="BH252" i="11"/>
  <c r="BH253" i="11" s="1"/>
  <c r="BI252" i="11"/>
  <c r="BJ252" i="11"/>
  <c r="C253" i="11"/>
  <c r="D253" i="11"/>
  <c r="E253" i="11"/>
  <c r="G253" i="11"/>
  <c r="H253" i="11"/>
  <c r="I253" i="11"/>
  <c r="K253" i="11"/>
  <c r="L253" i="11"/>
  <c r="M253" i="11"/>
  <c r="O253" i="11"/>
  <c r="P253" i="11"/>
  <c r="Q253" i="11"/>
  <c r="S253" i="11"/>
  <c r="T253" i="11"/>
  <c r="U253" i="11"/>
  <c r="W253" i="11"/>
  <c r="X253" i="11"/>
  <c r="Y253" i="11"/>
  <c r="AA253" i="11"/>
  <c r="AB253" i="11"/>
  <c r="AC253" i="11"/>
  <c r="AE253" i="11"/>
  <c r="AF253" i="11"/>
  <c r="AG253" i="11"/>
  <c r="AI253" i="11"/>
  <c r="AJ253" i="11"/>
  <c r="AK253" i="11"/>
  <c r="AM253" i="11"/>
  <c r="AN253" i="11"/>
  <c r="AO253" i="11"/>
  <c r="AQ253" i="11"/>
  <c r="AR253" i="11"/>
  <c r="AS253" i="11"/>
  <c r="AU253" i="11"/>
  <c r="AV253" i="11"/>
  <c r="AW253" i="11"/>
  <c r="AY253" i="11"/>
  <c r="AZ253" i="11"/>
  <c r="BA253" i="11"/>
  <c r="BC253" i="11"/>
  <c r="BD253" i="11"/>
  <c r="BE253" i="11"/>
  <c r="BG253" i="11"/>
  <c r="BI253" i="11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 l="1"/>
  <c r="F263" i="1" l="1"/>
  <c r="G263" i="1"/>
  <c r="F264" i="1"/>
  <c r="G264" i="1"/>
  <c r="F265" i="1"/>
  <c r="G265" i="1"/>
  <c r="F266" i="1"/>
  <c r="G266" i="1"/>
  <c r="F267" i="1"/>
  <c r="G267" i="1"/>
  <c r="F268" i="1"/>
  <c r="G268" i="1"/>
  <c r="F269" i="1"/>
  <c r="G269" i="1"/>
  <c r="F270" i="1"/>
  <c r="G270" i="1"/>
  <c r="G262" i="1"/>
  <c r="F262" i="1"/>
  <c r="G259" i="1" l="1"/>
  <c r="F259" i="1"/>
  <c r="G258" i="1"/>
  <c r="F258" i="1"/>
  <c r="G257" i="1"/>
  <c r="F257" i="1"/>
  <c r="G256" i="1"/>
  <c r="F256" i="1"/>
  <c r="G255" i="1"/>
  <c r="F255" i="1"/>
  <c r="G254" i="1"/>
  <c r="F254" i="1"/>
  <c r="G253" i="1"/>
  <c r="F253" i="1"/>
  <c r="G252" i="1"/>
  <c r="F252" i="1"/>
  <c r="G251" i="1"/>
  <c r="F251" i="1"/>
  <c r="G250" i="1"/>
  <c r="F250" i="1"/>
  <c r="G249" i="1"/>
  <c r="F249" i="1"/>
  <c r="A6" i="8" l="1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5" i="8"/>
  <c r="BJ3" i="8" l="1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J251" i="8"/>
  <c r="BI251" i="8"/>
  <c r="BH251" i="8"/>
  <c r="BG251" i="8"/>
  <c r="BF251" i="8"/>
  <c r="BE251" i="8"/>
  <c r="BD251" i="8"/>
  <c r="BC251" i="8"/>
  <c r="BB251" i="8"/>
  <c r="BA251" i="8"/>
  <c r="AZ251" i="8"/>
  <c r="AY251" i="8"/>
  <c r="AX251" i="8"/>
  <c r="AW251" i="8"/>
  <c r="AV251" i="8"/>
  <c r="AU251" i="8"/>
  <c r="AT251" i="8"/>
  <c r="AS251" i="8"/>
  <c r="AR251" i="8"/>
  <c r="AQ251" i="8"/>
  <c r="AP251" i="8"/>
  <c r="AO251" i="8"/>
  <c r="AN251" i="8"/>
  <c r="AM251" i="8"/>
  <c r="AL251" i="8"/>
  <c r="AK251" i="8"/>
  <c r="AJ251" i="8"/>
  <c r="AI251" i="8"/>
  <c r="AH251" i="8"/>
  <c r="AG251" i="8"/>
  <c r="AF251" i="8"/>
  <c r="AE251" i="8"/>
  <c r="AD251" i="8"/>
  <c r="AC251" i="8"/>
  <c r="AB251" i="8"/>
  <c r="AA251" i="8"/>
  <c r="Z251" i="8"/>
  <c r="Y251" i="8"/>
  <c r="X251" i="8"/>
  <c r="W251" i="8"/>
  <c r="V251" i="8"/>
  <c r="U251" i="8"/>
  <c r="T251" i="8"/>
  <c r="S251" i="8"/>
  <c r="R251" i="8"/>
  <c r="Q251" i="8"/>
  <c r="P251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BJ250" i="8"/>
  <c r="BI250" i="8"/>
  <c r="BH250" i="8"/>
  <c r="BG250" i="8"/>
  <c r="BF250" i="8"/>
  <c r="BE250" i="8"/>
  <c r="BD250" i="8"/>
  <c r="BC250" i="8"/>
  <c r="BB250" i="8"/>
  <c r="BA250" i="8"/>
  <c r="AZ250" i="8"/>
  <c r="AY250" i="8"/>
  <c r="AX250" i="8"/>
  <c r="AW250" i="8"/>
  <c r="AV250" i="8"/>
  <c r="AU250" i="8"/>
  <c r="AT250" i="8"/>
  <c r="AS250" i="8"/>
  <c r="AR250" i="8"/>
  <c r="AQ250" i="8"/>
  <c r="AP250" i="8"/>
  <c r="AO250" i="8"/>
  <c r="AN250" i="8"/>
  <c r="AM250" i="8"/>
  <c r="AL250" i="8"/>
  <c r="AK250" i="8"/>
  <c r="AJ250" i="8"/>
  <c r="AI250" i="8"/>
  <c r="AH250" i="8"/>
  <c r="AG250" i="8"/>
  <c r="AF250" i="8"/>
  <c r="AE250" i="8"/>
  <c r="AD250" i="8"/>
  <c r="AC250" i="8"/>
  <c r="AB250" i="8"/>
  <c r="AA250" i="8"/>
  <c r="Z250" i="8"/>
  <c r="Y250" i="8"/>
  <c r="X250" i="8"/>
  <c r="W250" i="8"/>
  <c r="V250" i="8"/>
  <c r="U250" i="8"/>
  <c r="T250" i="8"/>
  <c r="S250" i="8"/>
  <c r="R250" i="8"/>
  <c r="Q250" i="8"/>
  <c r="P250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C252" i="8" l="1"/>
  <c r="G252" i="8"/>
  <c r="K252" i="8"/>
  <c r="O252" i="8"/>
  <c r="S252" i="8"/>
  <c r="W252" i="8"/>
  <c r="AA252" i="8"/>
  <c r="AE252" i="8"/>
  <c r="AI252" i="8"/>
  <c r="AM252" i="8"/>
  <c r="AQ252" i="8"/>
  <c r="AU252" i="8"/>
  <c r="AY252" i="8"/>
  <c r="BC252" i="8"/>
  <c r="BG252" i="8"/>
  <c r="D252" i="8"/>
  <c r="H252" i="8"/>
  <c r="L252" i="8"/>
  <c r="P252" i="8"/>
  <c r="T252" i="8"/>
  <c r="X252" i="8"/>
  <c r="AB252" i="8"/>
  <c r="AF252" i="8"/>
  <c r="AJ252" i="8"/>
  <c r="AN252" i="8"/>
  <c r="AR252" i="8"/>
  <c r="AV252" i="8"/>
  <c r="AZ252" i="8"/>
  <c r="BD252" i="8"/>
  <c r="BH252" i="8"/>
  <c r="E252" i="8"/>
  <c r="I252" i="8"/>
  <c r="M252" i="8"/>
  <c r="Q252" i="8"/>
  <c r="U252" i="8"/>
  <c r="Y252" i="8"/>
  <c r="AC252" i="8"/>
  <c r="AG252" i="8"/>
  <c r="AK252" i="8"/>
  <c r="AO252" i="8"/>
  <c r="AS252" i="8"/>
  <c r="AW252" i="8"/>
  <c r="BA252" i="8"/>
  <c r="BE252" i="8"/>
  <c r="BI252" i="8"/>
  <c r="F252" i="8"/>
  <c r="J252" i="8"/>
  <c r="N252" i="8"/>
  <c r="R252" i="8"/>
  <c r="V252" i="8"/>
  <c r="Z252" i="8"/>
  <c r="AD252" i="8"/>
  <c r="AH252" i="8"/>
  <c r="AL252" i="8"/>
  <c r="AP252" i="8"/>
  <c r="AT252" i="8"/>
  <c r="AX252" i="8"/>
  <c r="BB252" i="8"/>
  <c r="BF252" i="8"/>
  <c r="BJ252" i="8"/>
  <c r="L4" i="1" l="1"/>
  <c r="M6" i="1" s="1"/>
  <c r="F24" i="2"/>
  <c r="F25" i="2"/>
  <c r="M5" i="1" l="1"/>
  <c r="N247" i="3"/>
  <c r="P247" i="3" s="1"/>
  <c r="M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L247" i="3" l="1"/>
  <c r="K247" i="3"/>
  <c r="J247" i="3"/>
  <c r="I247" i="3"/>
  <c r="H247" i="3"/>
  <c r="G247" i="3"/>
  <c r="F247" i="3"/>
  <c r="E247" i="3"/>
  <c r="D247" i="3"/>
  <c r="C247" i="3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E24" i="2"/>
  <c r="D6" i="2"/>
  <c r="D10" i="2"/>
  <c r="D14" i="2"/>
  <c r="D18" i="2"/>
  <c r="D22" i="2"/>
  <c r="D26" i="2"/>
  <c r="D30" i="2"/>
  <c r="D34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2" i="2"/>
  <c r="D126" i="2"/>
  <c r="D130" i="2"/>
  <c r="D134" i="2"/>
  <c r="D138" i="2"/>
  <c r="D142" i="2"/>
  <c r="D146" i="2"/>
  <c r="D150" i="2"/>
  <c r="D154" i="2"/>
  <c r="D158" i="2"/>
  <c r="D162" i="2"/>
  <c r="D166" i="2"/>
  <c r="D170" i="2"/>
  <c r="D174" i="2"/>
  <c r="D178" i="2"/>
  <c r="D182" i="2"/>
  <c r="D186" i="2"/>
  <c r="D190" i="2"/>
  <c r="D194" i="2"/>
  <c r="D198" i="2"/>
  <c r="D202" i="2"/>
  <c r="D206" i="2"/>
  <c r="D210" i="2"/>
  <c r="D214" i="2"/>
  <c r="D218" i="2"/>
  <c r="D222" i="2"/>
  <c r="D226" i="2"/>
  <c r="D230" i="2"/>
  <c r="D234" i="2"/>
  <c r="D238" i="2"/>
  <c r="D242" i="2"/>
  <c r="D246" i="2"/>
  <c r="I3" i="2"/>
  <c r="D3" i="2" s="1"/>
  <c r="I4" i="2"/>
  <c r="D4" i="2" s="1"/>
  <c r="I5" i="2"/>
  <c r="D5" i="2" s="1"/>
  <c r="I6" i="2"/>
  <c r="I7" i="2"/>
  <c r="D7" i="2" s="1"/>
  <c r="I8" i="2"/>
  <c r="D8" i="2" s="1"/>
  <c r="I9" i="2"/>
  <c r="D9" i="2" s="1"/>
  <c r="I10" i="2"/>
  <c r="I11" i="2"/>
  <c r="D11" i="2" s="1"/>
  <c r="I12" i="2"/>
  <c r="D12" i="2" s="1"/>
  <c r="I13" i="2"/>
  <c r="D13" i="2" s="1"/>
  <c r="I14" i="2"/>
  <c r="I15" i="2"/>
  <c r="D15" i="2" s="1"/>
  <c r="I16" i="2"/>
  <c r="D16" i="2" s="1"/>
  <c r="I17" i="2"/>
  <c r="D17" i="2" s="1"/>
  <c r="I18" i="2"/>
  <c r="I19" i="2"/>
  <c r="D19" i="2" s="1"/>
  <c r="I20" i="2"/>
  <c r="D20" i="2" s="1"/>
  <c r="I21" i="2"/>
  <c r="D21" i="2" s="1"/>
  <c r="I22" i="2"/>
  <c r="I23" i="2"/>
  <c r="D23" i="2" s="1"/>
  <c r="I24" i="2"/>
  <c r="D24" i="2" s="1"/>
  <c r="I25" i="2"/>
  <c r="D25" i="2" s="1"/>
  <c r="I26" i="2"/>
  <c r="I27" i="2"/>
  <c r="D27" i="2" s="1"/>
  <c r="I28" i="2"/>
  <c r="D28" i="2" s="1"/>
  <c r="I29" i="2"/>
  <c r="D29" i="2" s="1"/>
  <c r="I30" i="2"/>
  <c r="I31" i="2"/>
  <c r="D31" i="2" s="1"/>
  <c r="I32" i="2"/>
  <c r="D32" i="2" s="1"/>
  <c r="I33" i="2"/>
  <c r="D33" i="2" s="1"/>
  <c r="I34" i="2"/>
  <c r="I35" i="2"/>
  <c r="D35" i="2" s="1"/>
  <c r="I36" i="2"/>
  <c r="D36" i="2" s="1"/>
  <c r="I37" i="2"/>
  <c r="D37" i="2" s="1"/>
  <c r="I38" i="2"/>
  <c r="I39" i="2"/>
  <c r="D39" i="2" s="1"/>
  <c r="I40" i="2"/>
  <c r="D40" i="2" s="1"/>
  <c r="I41" i="2"/>
  <c r="D41" i="2" s="1"/>
  <c r="I42" i="2"/>
  <c r="I43" i="2"/>
  <c r="D43" i="2" s="1"/>
  <c r="I44" i="2"/>
  <c r="D44" i="2" s="1"/>
  <c r="I45" i="2"/>
  <c r="D45" i="2" s="1"/>
  <c r="I46" i="2"/>
  <c r="I47" i="2"/>
  <c r="D47" i="2" s="1"/>
  <c r="I48" i="2"/>
  <c r="D48" i="2" s="1"/>
  <c r="I49" i="2"/>
  <c r="D49" i="2" s="1"/>
  <c r="I50" i="2"/>
  <c r="I51" i="2"/>
  <c r="D51" i="2" s="1"/>
  <c r="I52" i="2"/>
  <c r="D52" i="2" s="1"/>
  <c r="I53" i="2"/>
  <c r="D53" i="2" s="1"/>
  <c r="I54" i="2"/>
  <c r="I55" i="2"/>
  <c r="D55" i="2" s="1"/>
  <c r="I56" i="2"/>
  <c r="D56" i="2" s="1"/>
  <c r="I57" i="2"/>
  <c r="D57" i="2" s="1"/>
  <c r="I58" i="2"/>
  <c r="I59" i="2"/>
  <c r="D59" i="2" s="1"/>
  <c r="I60" i="2"/>
  <c r="D60" i="2" s="1"/>
  <c r="I61" i="2"/>
  <c r="D61" i="2" s="1"/>
  <c r="I62" i="2"/>
  <c r="I63" i="2"/>
  <c r="D63" i="2" s="1"/>
  <c r="I64" i="2"/>
  <c r="D64" i="2" s="1"/>
  <c r="I65" i="2"/>
  <c r="D65" i="2" s="1"/>
  <c r="I66" i="2"/>
  <c r="I67" i="2"/>
  <c r="D67" i="2" s="1"/>
  <c r="I68" i="2"/>
  <c r="D68" i="2" s="1"/>
  <c r="I69" i="2"/>
  <c r="D69" i="2" s="1"/>
  <c r="I70" i="2"/>
  <c r="I71" i="2"/>
  <c r="D71" i="2" s="1"/>
  <c r="I72" i="2"/>
  <c r="D72" i="2" s="1"/>
  <c r="I73" i="2"/>
  <c r="D73" i="2" s="1"/>
  <c r="I74" i="2"/>
  <c r="I75" i="2"/>
  <c r="D75" i="2" s="1"/>
  <c r="I76" i="2"/>
  <c r="D76" i="2" s="1"/>
  <c r="I77" i="2"/>
  <c r="D77" i="2" s="1"/>
  <c r="I78" i="2"/>
  <c r="I79" i="2"/>
  <c r="D79" i="2" s="1"/>
  <c r="I80" i="2"/>
  <c r="D80" i="2" s="1"/>
  <c r="I81" i="2"/>
  <c r="D81" i="2" s="1"/>
  <c r="I82" i="2"/>
  <c r="I83" i="2"/>
  <c r="D83" i="2" s="1"/>
  <c r="I84" i="2"/>
  <c r="D84" i="2" s="1"/>
  <c r="I85" i="2"/>
  <c r="D85" i="2" s="1"/>
  <c r="I86" i="2"/>
  <c r="I87" i="2"/>
  <c r="D87" i="2" s="1"/>
  <c r="I88" i="2"/>
  <c r="D88" i="2" s="1"/>
  <c r="I89" i="2"/>
  <c r="D89" i="2" s="1"/>
  <c r="I90" i="2"/>
  <c r="I91" i="2"/>
  <c r="D91" i="2" s="1"/>
  <c r="I92" i="2"/>
  <c r="D92" i="2" s="1"/>
  <c r="I93" i="2"/>
  <c r="D93" i="2" s="1"/>
  <c r="I94" i="2"/>
  <c r="I95" i="2"/>
  <c r="D95" i="2" s="1"/>
  <c r="I96" i="2"/>
  <c r="D96" i="2" s="1"/>
  <c r="I97" i="2"/>
  <c r="D97" i="2" s="1"/>
  <c r="I98" i="2"/>
  <c r="I99" i="2"/>
  <c r="D99" i="2" s="1"/>
  <c r="I100" i="2"/>
  <c r="D100" i="2" s="1"/>
  <c r="I101" i="2"/>
  <c r="D101" i="2" s="1"/>
  <c r="I102" i="2"/>
  <c r="I103" i="2"/>
  <c r="D103" i="2" s="1"/>
  <c r="I104" i="2"/>
  <c r="D104" i="2" s="1"/>
  <c r="I105" i="2"/>
  <c r="D105" i="2" s="1"/>
  <c r="I106" i="2"/>
  <c r="I107" i="2"/>
  <c r="D107" i="2" s="1"/>
  <c r="I108" i="2"/>
  <c r="D108" i="2" s="1"/>
  <c r="I109" i="2"/>
  <c r="D109" i="2" s="1"/>
  <c r="I110" i="2"/>
  <c r="I111" i="2"/>
  <c r="D111" i="2" s="1"/>
  <c r="I112" i="2"/>
  <c r="D112" i="2" s="1"/>
  <c r="I113" i="2"/>
  <c r="D113" i="2" s="1"/>
  <c r="I114" i="2"/>
  <c r="I115" i="2"/>
  <c r="D115" i="2" s="1"/>
  <c r="I116" i="2"/>
  <c r="D116" i="2" s="1"/>
  <c r="I117" i="2"/>
  <c r="D117" i="2" s="1"/>
  <c r="I118" i="2"/>
  <c r="I119" i="2"/>
  <c r="D119" i="2" s="1"/>
  <c r="I120" i="2"/>
  <c r="D120" i="2" s="1"/>
  <c r="I121" i="2"/>
  <c r="D121" i="2" s="1"/>
  <c r="I122" i="2"/>
  <c r="I123" i="2"/>
  <c r="D123" i="2" s="1"/>
  <c r="I124" i="2"/>
  <c r="D124" i="2" s="1"/>
  <c r="I125" i="2"/>
  <c r="D125" i="2" s="1"/>
  <c r="I126" i="2"/>
  <c r="I127" i="2"/>
  <c r="D127" i="2" s="1"/>
  <c r="I128" i="2"/>
  <c r="D128" i="2" s="1"/>
  <c r="I129" i="2"/>
  <c r="D129" i="2" s="1"/>
  <c r="I130" i="2"/>
  <c r="I131" i="2"/>
  <c r="D131" i="2" s="1"/>
  <c r="I132" i="2"/>
  <c r="D132" i="2" s="1"/>
  <c r="I133" i="2"/>
  <c r="D133" i="2" s="1"/>
  <c r="I134" i="2"/>
  <c r="I135" i="2"/>
  <c r="D135" i="2" s="1"/>
  <c r="I136" i="2"/>
  <c r="D136" i="2" s="1"/>
  <c r="I137" i="2"/>
  <c r="D137" i="2" s="1"/>
  <c r="I138" i="2"/>
  <c r="I139" i="2"/>
  <c r="D139" i="2" s="1"/>
  <c r="I140" i="2"/>
  <c r="D140" i="2" s="1"/>
  <c r="I141" i="2"/>
  <c r="D141" i="2" s="1"/>
  <c r="I142" i="2"/>
  <c r="I143" i="2"/>
  <c r="D143" i="2" s="1"/>
  <c r="I144" i="2"/>
  <c r="D144" i="2" s="1"/>
  <c r="I145" i="2"/>
  <c r="D145" i="2" s="1"/>
  <c r="I146" i="2"/>
  <c r="I147" i="2"/>
  <c r="D147" i="2" s="1"/>
  <c r="I148" i="2"/>
  <c r="D148" i="2" s="1"/>
  <c r="I149" i="2"/>
  <c r="D149" i="2" s="1"/>
  <c r="I150" i="2"/>
  <c r="I151" i="2"/>
  <c r="D151" i="2" s="1"/>
  <c r="I152" i="2"/>
  <c r="D152" i="2" s="1"/>
  <c r="I153" i="2"/>
  <c r="D153" i="2" s="1"/>
  <c r="I154" i="2"/>
  <c r="I155" i="2"/>
  <c r="D155" i="2" s="1"/>
  <c r="I156" i="2"/>
  <c r="D156" i="2" s="1"/>
  <c r="I157" i="2"/>
  <c r="D157" i="2" s="1"/>
  <c r="I158" i="2"/>
  <c r="I159" i="2"/>
  <c r="D159" i="2" s="1"/>
  <c r="I160" i="2"/>
  <c r="D160" i="2" s="1"/>
  <c r="I161" i="2"/>
  <c r="D161" i="2" s="1"/>
  <c r="I162" i="2"/>
  <c r="I163" i="2"/>
  <c r="D163" i="2" s="1"/>
  <c r="I164" i="2"/>
  <c r="D164" i="2" s="1"/>
  <c r="I165" i="2"/>
  <c r="D165" i="2" s="1"/>
  <c r="I166" i="2"/>
  <c r="I167" i="2"/>
  <c r="D167" i="2" s="1"/>
  <c r="I168" i="2"/>
  <c r="D168" i="2" s="1"/>
  <c r="I169" i="2"/>
  <c r="D169" i="2" s="1"/>
  <c r="I170" i="2"/>
  <c r="I171" i="2"/>
  <c r="D171" i="2" s="1"/>
  <c r="I172" i="2"/>
  <c r="D172" i="2" s="1"/>
  <c r="I173" i="2"/>
  <c r="D173" i="2" s="1"/>
  <c r="I174" i="2"/>
  <c r="I175" i="2"/>
  <c r="D175" i="2" s="1"/>
  <c r="I176" i="2"/>
  <c r="D176" i="2" s="1"/>
  <c r="I177" i="2"/>
  <c r="D177" i="2" s="1"/>
  <c r="I178" i="2"/>
  <c r="I179" i="2"/>
  <c r="D179" i="2" s="1"/>
  <c r="I180" i="2"/>
  <c r="D180" i="2" s="1"/>
  <c r="I181" i="2"/>
  <c r="D181" i="2" s="1"/>
  <c r="I182" i="2"/>
  <c r="I183" i="2"/>
  <c r="D183" i="2" s="1"/>
  <c r="I184" i="2"/>
  <c r="D184" i="2" s="1"/>
  <c r="I185" i="2"/>
  <c r="D185" i="2" s="1"/>
  <c r="I186" i="2"/>
  <c r="I187" i="2"/>
  <c r="D187" i="2" s="1"/>
  <c r="I188" i="2"/>
  <c r="D188" i="2" s="1"/>
  <c r="I189" i="2"/>
  <c r="D189" i="2" s="1"/>
  <c r="I190" i="2"/>
  <c r="I191" i="2"/>
  <c r="D191" i="2" s="1"/>
  <c r="I192" i="2"/>
  <c r="D192" i="2" s="1"/>
  <c r="I193" i="2"/>
  <c r="D193" i="2" s="1"/>
  <c r="I194" i="2"/>
  <c r="I195" i="2"/>
  <c r="D195" i="2" s="1"/>
  <c r="I196" i="2"/>
  <c r="D196" i="2" s="1"/>
  <c r="I197" i="2"/>
  <c r="D197" i="2" s="1"/>
  <c r="I198" i="2"/>
  <c r="I199" i="2"/>
  <c r="D199" i="2" s="1"/>
  <c r="I200" i="2"/>
  <c r="D200" i="2" s="1"/>
  <c r="I201" i="2"/>
  <c r="D201" i="2" s="1"/>
  <c r="I202" i="2"/>
  <c r="I203" i="2"/>
  <c r="D203" i="2" s="1"/>
  <c r="I204" i="2"/>
  <c r="D204" i="2" s="1"/>
  <c r="I205" i="2"/>
  <c r="D205" i="2" s="1"/>
  <c r="I206" i="2"/>
  <c r="I207" i="2"/>
  <c r="D207" i="2" s="1"/>
  <c r="I208" i="2"/>
  <c r="D208" i="2" s="1"/>
  <c r="I209" i="2"/>
  <c r="D209" i="2" s="1"/>
  <c r="I210" i="2"/>
  <c r="I211" i="2"/>
  <c r="D211" i="2" s="1"/>
  <c r="I212" i="2"/>
  <c r="D212" i="2" s="1"/>
  <c r="I213" i="2"/>
  <c r="D213" i="2" s="1"/>
  <c r="I214" i="2"/>
  <c r="I215" i="2"/>
  <c r="D215" i="2" s="1"/>
  <c r="I216" i="2"/>
  <c r="D216" i="2" s="1"/>
  <c r="I217" i="2"/>
  <c r="D217" i="2" s="1"/>
  <c r="I218" i="2"/>
  <c r="I219" i="2"/>
  <c r="D219" i="2" s="1"/>
  <c r="I220" i="2"/>
  <c r="D220" i="2" s="1"/>
  <c r="I221" i="2"/>
  <c r="D221" i="2" s="1"/>
  <c r="I222" i="2"/>
  <c r="I223" i="2"/>
  <c r="D223" i="2" s="1"/>
  <c r="I224" i="2"/>
  <c r="D224" i="2" s="1"/>
  <c r="I225" i="2"/>
  <c r="D225" i="2" s="1"/>
  <c r="I226" i="2"/>
  <c r="I227" i="2"/>
  <c r="D227" i="2" s="1"/>
  <c r="I228" i="2"/>
  <c r="D228" i="2" s="1"/>
  <c r="I229" i="2"/>
  <c r="D229" i="2" s="1"/>
  <c r="I230" i="2"/>
  <c r="I231" i="2"/>
  <c r="D231" i="2" s="1"/>
  <c r="I232" i="2"/>
  <c r="D232" i="2" s="1"/>
  <c r="I233" i="2"/>
  <c r="D233" i="2" s="1"/>
  <c r="I234" i="2"/>
  <c r="I235" i="2"/>
  <c r="D235" i="2" s="1"/>
  <c r="I236" i="2"/>
  <c r="D236" i="2" s="1"/>
  <c r="I237" i="2"/>
  <c r="D237" i="2" s="1"/>
  <c r="I238" i="2"/>
  <c r="I239" i="2"/>
  <c r="D239" i="2" s="1"/>
  <c r="I240" i="2"/>
  <c r="D240" i="2" s="1"/>
  <c r="I241" i="2"/>
  <c r="D241" i="2" s="1"/>
  <c r="I242" i="2"/>
  <c r="I243" i="2"/>
  <c r="D243" i="2" s="1"/>
  <c r="I244" i="2"/>
  <c r="D244" i="2" s="1"/>
  <c r="I245" i="2"/>
  <c r="D245" i="2" s="1"/>
  <c r="I246" i="2"/>
  <c r="I2" i="2"/>
  <c r="D2" i="2" s="1"/>
  <c r="F3" i="1" l="1"/>
  <c r="G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68" i="1"/>
  <c r="G168" i="1"/>
  <c r="F169" i="1"/>
  <c r="G169" i="1"/>
  <c r="F170" i="1"/>
  <c r="G170" i="1"/>
  <c r="F171" i="1"/>
  <c r="G171" i="1"/>
  <c r="F172" i="1"/>
  <c r="G172" i="1"/>
  <c r="F173" i="1"/>
  <c r="G173" i="1"/>
  <c r="F174" i="1"/>
  <c r="G174" i="1"/>
  <c r="F175" i="1"/>
  <c r="G175" i="1"/>
  <c r="F176" i="1"/>
  <c r="G176" i="1"/>
  <c r="F177" i="1"/>
  <c r="G177" i="1"/>
  <c r="F178" i="1"/>
  <c r="G178" i="1"/>
  <c r="F179" i="1"/>
  <c r="G179" i="1"/>
  <c r="F180" i="1"/>
  <c r="G180" i="1"/>
  <c r="F181" i="1"/>
  <c r="G181" i="1"/>
  <c r="F182" i="1"/>
  <c r="G182" i="1"/>
  <c r="F183" i="1"/>
  <c r="G183" i="1"/>
  <c r="F184" i="1"/>
  <c r="G184" i="1"/>
  <c r="F185" i="1"/>
  <c r="G185" i="1"/>
  <c r="F186" i="1"/>
  <c r="G186" i="1"/>
  <c r="F187" i="1"/>
  <c r="G187" i="1"/>
  <c r="F188" i="1"/>
  <c r="G188" i="1"/>
  <c r="F189" i="1"/>
  <c r="G189" i="1"/>
  <c r="F190" i="1"/>
  <c r="G190" i="1"/>
  <c r="F191" i="1"/>
  <c r="G191" i="1"/>
  <c r="F192" i="1"/>
  <c r="G192" i="1"/>
  <c r="F193" i="1"/>
  <c r="G193" i="1"/>
  <c r="F194" i="1"/>
  <c r="G194" i="1"/>
  <c r="F195" i="1"/>
  <c r="G195" i="1"/>
  <c r="F196" i="1"/>
  <c r="G196" i="1"/>
  <c r="F197" i="1"/>
  <c r="G197" i="1"/>
  <c r="F198" i="1"/>
  <c r="G198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5" i="1"/>
  <c r="G205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3" i="1"/>
  <c r="G213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1" i="1"/>
  <c r="G221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29" i="1"/>
  <c r="G229" i="1"/>
  <c r="F230" i="1"/>
  <c r="G230" i="1"/>
  <c r="F231" i="1"/>
  <c r="G231" i="1"/>
  <c r="F232" i="1"/>
  <c r="G232" i="1"/>
  <c r="F233" i="1"/>
  <c r="G233" i="1"/>
  <c r="F234" i="1"/>
  <c r="G234" i="1"/>
  <c r="F235" i="1"/>
  <c r="G235" i="1"/>
  <c r="F236" i="1"/>
  <c r="G236" i="1"/>
  <c r="F237" i="1"/>
  <c r="G237" i="1"/>
  <c r="F238" i="1"/>
  <c r="G238" i="1"/>
  <c r="F239" i="1"/>
  <c r="G239" i="1"/>
  <c r="F240" i="1"/>
  <c r="G240" i="1"/>
  <c r="F241" i="1"/>
  <c r="G241" i="1"/>
  <c r="F242" i="1"/>
  <c r="G242" i="1"/>
  <c r="F243" i="1"/>
  <c r="G243" i="1"/>
  <c r="F244" i="1"/>
  <c r="G244" i="1"/>
  <c r="F245" i="1"/>
  <c r="G245" i="1"/>
  <c r="F246" i="1"/>
  <c r="G246" i="1"/>
  <c r="F2" i="1"/>
  <c r="G2" i="1"/>
  <c r="L2" i="1"/>
  <c r="M4" i="1" l="1"/>
  <c r="M2" i="1"/>
  <c r="K2" i="12" l="1"/>
  <c r="C122" i="12"/>
  <c r="I116" i="12"/>
  <c r="I11" i="12"/>
  <c r="I111" i="12"/>
  <c r="I49" i="12"/>
  <c r="I37" i="12"/>
  <c r="I73" i="12"/>
  <c r="I44" i="12"/>
  <c r="I53" i="12"/>
  <c r="I7" i="12"/>
  <c r="I88" i="12"/>
  <c r="I45" i="12"/>
  <c r="I99" i="12"/>
  <c r="I61" i="12"/>
  <c r="I16" i="12"/>
  <c r="I114" i="12"/>
  <c r="I20" i="12"/>
  <c r="I119" i="12"/>
  <c r="I8" i="12"/>
  <c r="I21" i="12"/>
  <c r="I42" i="12"/>
  <c r="I80" i="12"/>
  <c r="I107" i="12"/>
  <c r="I34" i="12"/>
  <c r="I38" i="12"/>
  <c r="I96" i="12"/>
  <c r="I85" i="12"/>
  <c r="I28" i="12"/>
  <c r="I91" i="12"/>
  <c r="I17" i="12"/>
  <c r="I90" i="12"/>
  <c r="I63" i="12"/>
  <c r="I3" i="12"/>
  <c r="I24" i="12"/>
  <c r="I69" i="12"/>
  <c r="I120" i="12"/>
  <c r="I35" i="12"/>
  <c r="I6" i="12"/>
  <c r="I104" i="12"/>
  <c r="I55" i="12"/>
  <c r="I51" i="12"/>
  <c r="I62" i="12"/>
  <c r="I87" i="12"/>
  <c r="I19" i="12"/>
  <c r="I40" i="12"/>
  <c r="I52" i="12"/>
  <c r="I12" i="12"/>
  <c r="I65" i="12"/>
  <c r="I82" i="12"/>
  <c r="I100" i="12"/>
  <c r="I75" i="12"/>
  <c r="I92" i="12"/>
  <c r="I102" i="12"/>
  <c r="I30" i="12"/>
  <c r="I115" i="12"/>
  <c r="I121" i="12"/>
  <c r="I117" i="12"/>
  <c r="I81" i="12"/>
  <c r="I32" i="12"/>
  <c r="I94" i="12"/>
  <c r="I41" i="12"/>
  <c r="I29" i="12"/>
  <c r="I39" i="12"/>
  <c r="I86" i="12"/>
  <c r="I89" i="12"/>
  <c r="I59" i="12"/>
  <c r="I67" i="12"/>
  <c r="I84" i="12"/>
  <c r="I25" i="12"/>
  <c r="I101" i="12"/>
  <c r="I13" i="12"/>
  <c r="I78" i="12"/>
  <c r="I118" i="12"/>
  <c r="I4" i="12"/>
  <c r="I27" i="12"/>
  <c r="I23" i="12"/>
  <c r="I79" i="12"/>
  <c r="I113" i="12"/>
  <c r="I83" i="12"/>
  <c r="I98" i="12"/>
  <c r="I71" i="12"/>
  <c r="I26" i="12"/>
  <c r="I66" i="12"/>
  <c r="I109" i="12"/>
  <c r="I56" i="12"/>
  <c r="I57" i="12"/>
  <c r="I95" i="12"/>
  <c r="I72" i="12"/>
  <c r="I46" i="12"/>
  <c r="I15" i="12"/>
  <c r="I10" i="12"/>
  <c r="I97" i="12"/>
  <c r="I60" i="12"/>
  <c r="I110" i="12"/>
  <c r="I36" i="12"/>
  <c r="I68" i="12"/>
  <c r="I50" i="12"/>
  <c r="I43" i="12"/>
  <c r="I33" i="12"/>
  <c r="I74" i="12"/>
  <c r="I70" i="12"/>
  <c r="I103" i="12"/>
  <c r="I47" i="12"/>
  <c r="I31" i="12"/>
  <c r="I14" i="12"/>
  <c r="I106" i="12"/>
  <c r="I48" i="12"/>
  <c r="I105" i="12"/>
  <c r="I64" i="12"/>
  <c r="I108" i="12"/>
  <c r="I77" i="12"/>
  <c r="I58" i="12"/>
  <c r="I76" i="12"/>
  <c r="I54" i="12"/>
  <c r="I2" i="12"/>
  <c r="I93" i="12"/>
  <c r="I9" i="12"/>
  <c r="I22" i="12"/>
  <c r="I18" i="12"/>
  <c r="I112" i="12"/>
  <c r="I5" i="12"/>
  <c r="I122" i="12" l="1"/>
  <c r="E52" i="12"/>
  <c r="K52" i="12" s="1"/>
  <c r="E12" i="12"/>
  <c r="K12" i="12" s="1"/>
  <c r="E84" i="12"/>
  <c r="K84" i="12" s="1"/>
  <c r="E38" i="12"/>
  <c r="K38" i="12" s="1"/>
  <c r="E15" i="12"/>
  <c r="K15" i="12" s="1"/>
  <c r="J92" i="12"/>
  <c r="E92" i="12"/>
  <c r="K92" i="12" s="1"/>
  <c r="J15" i="12"/>
  <c r="E42" i="12"/>
  <c r="K42" i="12" s="1"/>
  <c r="J12" i="12"/>
  <c r="E103" i="12"/>
  <c r="K103" i="12" s="1"/>
  <c r="E81" i="12"/>
  <c r="K81" i="12" s="1"/>
  <c r="J81" i="12"/>
  <c r="J64" i="12"/>
  <c r="E64" i="12"/>
  <c r="K64" i="12" s="1"/>
  <c r="E23" i="12"/>
  <c r="K23" i="12" s="1"/>
  <c r="J38" i="12"/>
  <c r="E104" i="12"/>
  <c r="K104" i="12" s="1"/>
  <c r="E110" i="12"/>
  <c r="K110" i="12" s="1"/>
  <c r="E78" i="12"/>
  <c r="K78" i="12" s="1"/>
  <c r="E86" i="12"/>
  <c r="K86" i="12" s="1"/>
  <c r="E96" i="12"/>
  <c r="K96" i="12" s="1"/>
  <c r="E57" i="12"/>
  <c r="K57" i="12" s="1"/>
  <c r="E5" i="12"/>
  <c r="K5" i="12" s="1"/>
  <c r="E116" i="12"/>
  <c r="K116" i="12" s="1"/>
  <c r="J106" i="12"/>
  <c r="E106" i="12"/>
  <c r="K106" i="12"/>
  <c r="J116" i="12"/>
  <c r="J48" i="12"/>
  <c r="E48" i="12"/>
  <c r="K48" i="12"/>
  <c r="E46" i="12"/>
  <c r="K46" i="12" s="1"/>
  <c r="J10" i="12"/>
  <c r="E10" i="12"/>
  <c r="K10" i="12" s="1"/>
  <c r="E27" i="12"/>
  <c r="K27" i="12" s="1"/>
  <c r="J42" i="12"/>
  <c r="J103" i="12"/>
  <c r="E24" i="12"/>
  <c r="K24" i="12" s="1"/>
  <c r="J111" i="12"/>
  <c r="E111" i="12"/>
  <c r="K111" i="12" s="1"/>
  <c r="J33" i="12"/>
  <c r="E33" i="12"/>
  <c r="K33" i="12" s="1"/>
  <c r="J23" i="12"/>
  <c r="J97" i="12"/>
  <c r="E97" i="12"/>
  <c r="K97" i="12" s="1"/>
  <c r="J44" i="12"/>
  <c r="E44" i="12"/>
  <c r="K44" i="12" s="1"/>
  <c r="E16" i="12"/>
  <c r="K16" i="12" s="1"/>
  <c r="J104" i="12"/>
  <c r="E71" i="12"/>
  <c r="K71" i="12"/>
  <c r="E109" i="12"/>
  <c r="K109" i="12" s="1"/>
  <c r="J86" i="12"/>
  <c r="E98" i="12"/>
  <c r="K98" i="12" s="1"/>
  <c r="J98" i="12"/>
  <c r="E20" i="12"/>
  <c r="K20" i="12" s="1"/>
  <c r="E4" i="12"/>
  <c r="K4" i="12" s="1"/>
  <c r="E114" i="12"/>
  <c r="K114" i="12" s="1"/>
  <c r="E108" i="12"/>
  <c r="K108" i="12" s="1"/>
  <c r="E68" i="12"/>
  <c r="K68" i="12" s="1"/>
  <c r="E90" i="12"/>
  <c r="K90" i="12" s="1"/>
  <c r="E45" i="12"/>
  <c r="K45" i="12" s="1"/>
  <c r="E87" i="12"/>
  <c r="K87" i="12" s="1"/>
  <c r="E26" i="12"/>
  <c r="K26" i="12" s="1"/>
  <c r="E35" i="12"/>
  <c r="K35" i="12" s="1"/>
  <c r="J57" i="12"/>
  <c r="E50" i="12"/>
  <c r="K50" i="12" s="1"/>
  <c r="J50" i="12"/>
  <c r="E70" i="12"/>
  <c r="K70" i="12" s="1"/>
  <c r="E85" i="12"/>
  <c r="K85" i="12" s="1"/>
  <c r="E73" i="12"/>
  <c r="K73" i="12" s="1"/>
  <c r="E8" i="12"/>
  <c r="K8" i="12" s="1"/>
  <c r="E69" i="12"/>
  <c r="K69" i="12" s="1"/>
  <c r="E80" i="12"/>
  <c r="K80" i="12" s="1"/>
  <c r="J27" i="12"/>
  <c r="E65" i="12"/>
  <c r="K65" i="12" s="1"/>
  <c r="E13" i="12"/>
  <c r="K13" i="12" s="1"/>
  <c r="E56" i="12"/>
  <c r="K56" i="12" s="1"/>
  <c r="E31" i="12"/>
  <c r="K31" i="12" s="1"/>
  <c r="J29" i="12"/>
  <c r="E29" i="12"/>
  <c r="K29" i="12" s="1"/>
  <c r="J22" i="12"/>
  <c r="E22" i="12"/>
  <c r="K22" i="12" s="1"/>
  <c r="J82" i="12"/>
  <c r="E82" i="12"/>
  <c r="K82" i="12"/>
  <c r="J67" i="12"/>
  <c r="E67" i="12"/>
  <c r="K67" i="12"/>
  <c r="E34" i="12"/>
  <c r="K34" i="12" s="1"/>
  <c r="J109" i="12"/>
  <c r="J78" i="12"/>
  <c r="J72" i="12"/>
  <c r="E72" i="12"/>
  <c r="K72" i="12" s="1"/>
  <c r="J47" i="12"/>
  <c r="E47" i="12"/>
  <c r="K47" i="12"/>
  <c r="J20" i="12"/>
  <c r="J46" i="12"/>
  <c r="J94" i="12"/>
  <c r="E94" i="12"/>
  <c r="K94" i="12"/>
  <c r="J24" i="12"/>
  <c r="J88" i="12"/>
  <c r="E88" i="12"/>
  <c r="K88" i="12" s="1"/>
  <c r="J107" i="12"/>
  <c r="E107" i="12"/>
  <c r="K107" i="12" s="1"/>
  <c r="J65" i="12"/>
  <c r="E7" i="12"/>
  <c r="K7" i="12" s="1"/>
  <c r="E59" i="12"/>
  <c r="K59" i="12" s="1"/>
  <c r="E9" i="12"/>
  <c r="K9" i="12" s="1"/>
  <c r="E11" i="12"/>
  <c r="K11" i="12" s="1"/>
  <c r="J112" i="12"/>
  <c r="E112" i="12"/>
  <c r="K112" i="12"/>
  <c r="J120" i="12"/>
  <c r="E120" i="12"/>
  <c r="K120" i="12" s="1"/>
  <c r="E36" i="12"/>
  <c r="K36" i="12"/>
  <c r="J100" i="12"/>
  <c r="E100" i="12"/>
  <c r="K100" i="12"/>
  <c r="J90" i="12"/>
  <c r="J85" i="12"/>
  <c r="J19" i="12"/>
  <c r="E19" i="12"/>
  <c r="K19" i="12" s="1"/>
  <c r="J52" i="12"/>
  <c r="E28" i="12"/>
  <c r="K28" i="12"/>
  <c r="J84" i="12"/>
  <c r="J16" i="12"/>
  <c r="J34" i="12"/>
  <c r="J114" i="12"/>
  <c r="J68" i="12"/>
  <c r="J45" i="12"/>
  <c r="J26" i="12"/>
  <c r="J70" i="12"/>
  <c r="J73" i="12"/>
  <c r="J69" i="12"/>
  <c r="J80" i="12"/>
  <c r="J56" i="12"/>
  <c r="E101" i="12"/>
  <c r="K101" i="12" s="1"/>
  <c r="J7" i="12"/>
  <c r="J121" i="12"/>
  <c r="E121" i="12"/>
  <c r="K121" i="12"/>
  <c r="E58" i="12"/>
  <c r="K58" i="12" s="1"/>
  <c r="E60" i="12"/>
  <c r="K60" i="12"/>
  <c r="E105" i="12"/>
  <c r="K105" i="12" s="1"/>
  <c r="E117" i="12"/>
  <c r="K117" i="12" s="1"/>
  <c r="E95" i="12"/>
  <c r="K95" i="12" s="1"/>
  <c r="E37" i="12"/>
  <c r="K37" i="12"/>
  <c r="E55" i="12"/>
  <c r="K55" i="12" s="1"/>
  <c r="J9" i="12"/>
  <c r="J18" i="12"/>
  <c r="E18" i="12"/>
  <c r="K18" i="12" s="1"/>
  <c r="E40" i="12"/>
  <c r="K40" i="12" s="1"/>
  <c r="E30" i="12"/>
  <c r="K30" i="12" s="1"/>
  <c r="E91" i="12"/>
  <c r="K91" i="12" s="1"/>
  <c r="E32" i="12"/>
  <c r="K32" i="12" s="1"/>
  <c r="E93" i="12"/>
  <c r="K93" i="12" s="1"/>
  <c r="E63" i="12"/>
  <c r="K63" i="12" s="1"/>
  <c r="E77" i="12"/>
  <c r="K77" i="12" s="1"/>
  <c r="E99" i="12"/>
  <c r="K99" i="12" s="1"/>
  <c r="E76" i="12"/>
  <c r="K76" i="12" s="1"/>
  <c r="E89" i="12"/>
  <c r="K89" i="12" s="1"/>
  <c r="E61" i="12"/>
  <c r="K61" i="12" s="1"/>
  <c r="E118" i="12"/>
  <c r="K118" i="12" s="1"/>
  <c r="J4" i="12"/>
  <c r="J87" i="12"/>
  <c r="J8" i="12"/>
  <c r="J31" i="12"/>
  <c r="J75" i="12"/>
  <c r="E75" i="12"/>
  <c r="K75" i="12" s="1"/>
  <c r="J25" i="12"/>
  <c r="E25" i="12"/>
  <c r="K25" i="12" s="1"/>
  <c r="J49" i="12"/>
  <c r="E49" i="12"/>
  <c r="K49" i="12" s="1"/>
  <c r="J36" i="12"/>
  <c r="J71" i="12"/>
  <c r="J2" i="12"/>
  <c r="E122" i="12"/>
  <c r="K122" i="12" s="1"/>
  <c r="J110" i="12"/>
  <c r="J74" i="12"/>
  <c r="E74" i="12"/>
  <c r="K74" i="12" s="1"/>
  <c r="J62" i="12"/>
  <c r="E62" i="12"/>
  <c r="K62" i="12" s="1"/>
  <c r="J96" i="12"/>
  <c r="J113" i="12"/>
  <c r="E113" i="12"/>
  <c r="K113" i="12" s="1"/>
  <c r="J28" i="12"/>
  <c r="J101" i="12"/>
  <c r="J14" i="12"/>
  <c r="E14" i="12"/>
  <c r="K14" i="12" s="1"/>
  <c r="J55" i="12"/>
  <c r="J21" i="12"/>
  <c r="E21" i="12"/>
  <c r="K21" i="12" s="1"/>
  <c r="J43" i="12"/>
  <c r="E43" i="12"/>
  <c r="K43" i="12" s="1"/>
  <c r="J79" i="12"/>
  <c r="E79" i="12"/>
  <c r="K79" i="12"/>
  <c r="J53" i="12"/>
  <c r="E53" i="12"/>
  <c r="K53" i="12" s="1"/>
  <c r="J17" i="12"/>
  <c r="E17" i="12"/>
  <c r="K17" i="12" s="1"/>
  <c r="J115" i="12"/>
  <c r="E115" i="12"/>
  <c r="K115" i="12"/>
  <c r="J54" i="12"/>
  <c r="E54" i="12"/>
  <c r="K54" i="12" s="1"/>
  <c r="J3" i="12"/>
  <c r="E3" i="12"/>
  <c r="K3" i="12" s="1"/>
  <c r="J41" i="12"/>
  <c r="E41" i="12"/>
  <c r="K41" i="12" s="1"/>
  <c r="J83" i="12"/>
  <c r="E83" i="12"/>
  <c r="K83" i="12" s="1"/>
  <c r="J32" i="12"/>
  <c r="J93" i="12"/>
  <c r="J63" i="12"/>
  <c r="J77" i="12"/>
  <c r="J99" i="12"/>
  <c r="J76" i="12"/>
  <c r="J89" i="12"/>
  <c r="J61" i="12"/>
  <c r="J118" i="12"/>
  <c r="J6" i="12"/>
  <c r="E6" i="12"/>
  <c r="K6" i="12" s="1"/>
  <c r="J108" i="12"/>
  <c r="J35" i="12"/>
  <c r="J13" i="12"/>
  <c r="J58" i="12"/>
  <c r="J95" i="12"/>
  <c r="J30" i="12"/>
  <c r="J66" i="12"/>
  <c r="E66" i="12"/>
  <c r="K66" i="12" s="1"/>
  <c r="J51" i="12"/>
  <c r="E51" i="12"/>
  <c r="K51" i="12" s="1"/>
  <c r="J5" i="12"/>
  <c r="J60" i="12"/>
  <c r="J37" i="12"/>
  <c r="J91" i="12"/>
  <c r="J119" i="12"/>
  <c r="E119" i="12"/>
  <c r="K119" i="12" s="1"/>
  <c r="J39" i="12"/>
  <c r="E39" i="12"/>
  <c r="K39" i="12" s="1"/>
  <c r="J117" i="12"/>
  <c r="J102" i="12"/>
  <c r="E102" i="12"/>
  <c r="K102" i="12"/>
  <c r="J105" i="12"/>
  <c r="J59" i="12"/>
  <c r="J11" i="12"/>
  <c r="J40" i="12"/>
  <c r="J122" i="12" l="1"/>
</calcChain>
</file>

<file path=xl/comments1.xml><?xml version="1.0" encoding="utf-8"?>
<comments xmlns="http://schemas.openxmlformats.org/spreadsheetml/2006/main">
  <authors>
    <author>만든 이</author>
  </authors>
  <commentList>
    <comment ref="D2" authorId="0" shapeId="0">
      <text>
        <r>
          <rPr>
            <b/>
            <sz val="12"/>
            <color indexed="81"/>
            <rFont val="돋움"/>
            <family val="3"/>
            <charset val="129"/>
          </rPr>
          <t>회색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부분은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중복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제출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데이터</t>
        </r>
      </text>
    </comment>
  </commentList>
</comments>
</file>

<file path=xl/sharedStrings.xml><?xml version="1.0" encoding="utf-8"?>
<sst xmlns="http://schemas.openxmlformats.org/spreadsheetml/2006/main" count="6421" uniqueCount="1374">
  <si>
    <t>기관명</t>
  </si>
  <si>
    <t>서울특별시</t>
  </si>
  <si>
    <t>서울특별시 중구</t>
  </si>
  <si>
    <t>서울특별시 용산구</t>
  </si>
  <si>
    <t>서울특별시 성동구</t>
  </si>
  <si>
    <t>서울특별시 광진구</t>
  </si>
  <si>
    <t>서울특별시 동대문구</t>
  </si>
  <si>
    <t>서울특별시 중랑구</t>
  </si>
  <si>
    <t>서울특별시 성북구</t>
  </si>
  <si>
    <t>서울특별시 강북구</t>
  </si>
  <si>
    <t>서울특별시 노원구</t>
  </si>
  <si>
    <t>서울특별시 은평구</t>
  </si>
  <si>
    <t>서울특별시 서대문구</t>
  </si>
  <si>
    <t>서울특별시 양천구</t>
  </si>
  <si>
    <t>서울특별시 강서구</t>
  </si>
  <si>
    <t>서울특별시 금천구</t>
  </si>
  <si>
    <t>서울특별시 영등포구</t>
  </si>
  <si>
    <t>서울특별시 동작구</t>
  </si>
  <si>
    <t>서울특별시 관악구</t>
  </si>
  <si>
    <t>서울특별시 서초구</t>
  </si>
  <si>
    <t>서울특별시 강남구</t>
  </si>
  <si>
    <t>서울특별시 강동구</t>
  </si>
  <si>
    <t>서울특별시 종로구</t>
  </si>
  <si>
    <t>서울특별시 도봉구</t>
  </si>
  <si>
    <t>서울특별시 마포구</t>
  </si>
  <si>
    <t>서울특별시 구로구</t>
  </si>
  <si>
    <t>서울특별시 송파구</t>
  </si>
  <si>
    <t>부산광역시</t>
  </si>
  <si>
    <t>부산광역시 중구</t>
  </si>
  <si>
    <t>부산광역시 서구</t>
  </si>
  <si>
    <t>부산광역시 동구</t>
  </si>
  <si>
    <t>부산광역시 영도구</t>
  </si>
  <si>
    <t>부산광역시 부산진구</t>
  </si>
  <si>
    <t>부산광역시 동래구</t>
  </si>
  <si>
    <t>부산광역시 남구</t>
  </si>
  <si>
    <t>부산광역시 북구</t>
  </si>
  <si>
    <t>부산광역시 해운대구</t>
  </si>
  <si>
    <t>부산광역시 사하구</t>
  </si>
  <si>
    <t>부산광역시 금정구</t>
  </si>
  <si>
    <t>부산광역시 강서구</t>
  </si>
  <si>
    <t>부산광역시 연제구</t>
  </si>
  <si>
    <t>부산광역시 수영구</t>
  </si>
  <si>
    <t>부산광역시 사상구</t>
  </si>
  <si>
    <t>부산광역시 기장군</t>
  </si>
  <si>
    <t>인천광역시</t>
  </si>
  <si>
    <t>인천광역시 중구</t>
  </si>
  <si>
    <t>인천광역시 동구</t>
  </si>
  <si>
    <t>인천광역시 미추홀구</t>
  </si>
  <si>
    <t>인천광역시 연수구</t>
  </si>
  <si>
    <t>인천광역시 남동구</t>
  </si>
  <si>
    <t>인천광역시 부평구</t>
  </si>
  <si>
    <t>인천광역시 계양구</t>
  </si>
  <si>
    <t>인천광역시 서구</t>
  </si>
  <si>
    <t>인천광역시 강화군</t>
  </si>
  <si>
    <t>인천광역시 옹진군</t>
  </si>
  <si>
    <t>대구광역시</t>
  </si>
  <si>
    <t>대구광역시 중구</t>
  </si>
  <si>
    <t>대구광역시 동구</t>
  </si>
  <si>
    <t>대구광역시 서구</t>
  </si>
  <si>
    <t>대구광역시 남구</t>
  </si>
  <si>
    <t>대구광역시 북구</t>
  </si>
  <si>
    <t>대구광역시 수성구</t>
  </si>
  <si>
    <t>대구광역시 달서구</t>
  </si>
  <si>
    <t>대구광역시 달성군</t>
  </si>
  <si>
    <t>광주광역시</t>
  </si>
  <si>
    <t>광주광역시 동구</t>
  </si>
  <si>
    <t>광주광역시 서구</t>
  </si>
  <si>
    <t>광주광역시 남구</t>
  </si>
  <si>
    <t>광주광역시 북구</t>
  </si>
  <si>
    <t>광주광역시 광산구</t>
  </si>
  <si>
    <t>대전광역시</t>
  </si>
  <si>
    <t>대전광역시 동구</t>
  </si>
  <si>
    <t>대전광역시 서구</t>
  </si>
  <si>
    <t>대전광역시 유성구</t>
  </si>
  <si>
    <t>대전광역시 대덕구</t>
  </si>
  <si>
    <t>대전광역시 중구</t>
  </si>
  <si>
    <t>울산광역시</t>
  </si>
  <si>
    <t>울산광역시 중구</t>
  </si>
  <si>
    <t>울산광역시 남구</t>
  </si>
  <si>
    <t>울산광역시 북구</t>
  </si>
  <si>
    <t>울산광역시 울주군</t>
  </si>
  <si>
    <t>울산광역시 동구</t>
  </si>
  <si>
    <t>세종특별자치시</t>
  </si>
  <si>
    <t>경기도</t>
  </si>
  <si>
    <t>경기도 수원시</t>
  </si>
  <si>
    <t>경기도 성남시</t>
  </si>
  <si>
    <t>경기도 용인시</t>
  </si>
  <si>
    <t>경기도 부천시</t>
  </si>
  <si>
    <t>경기도 안산시</t>
  </si>
  <si>
    <t>경기도 남양주시</t>
  </si>
  <si>
    <t>경기도 화성시</t>
  </si>
  <si>
    <t>경기도 평택시</t>
  </si>
  <si>
    <t>경기도 의정부시</t>
  </si>
  <si>
    <t>경기도 시흥시</t>
  </si>
  <si>
    <t>경기도 파주시</t>
  </si>
  <si>
    <t>경기도 김포시</t>
  </si>
  <si>
    <t>경기도 광명시</t>
  </si>
  <si>
    <t>경기도 광주시</t>
  </si>
  <si>
    <t>경기도 군포시</t>
  </si>
  <si>
    <t>경기도 오산시</t>
  </si>
  <si>
    <t>경기도 이천시</t>
  </si>
  <si>
    <t>경기도 양주시</t>
  </si>
  <si>
    <t>경기도 구리시</t>
  </si>
  <si>
    <t>경기도 포천시</t>
  </si>
  <si>
    <t>경기도 의왕시</t>
  </si>
  <si>
    <t>경기도 하남시</t>
  </si>
  <si>
    <t>경기도 양평군</t>
  </si>
  <si>
    <t>경기도 동두천시</t>
  </si>
  <si>
    <t>경기도 과천시</t>
  </si>
  <si>
    <t>경기도 가평군</t>
  </si>
  <si>
    <t>경기도 안성시</t>
  </si>
  <si>
    <t>경기도 고양시</t>
  </si>
  <si>
    <t>경기도 안양시</t>
  </si>
  <si>
    <t>경기도 여주시</t>
  </si>
  <si>
    <t>경기도 연천군</t>
  </si>
  <si>
    <t>강원도</t>
  </si>
  <si>
    <t>강원도 강릉시</t>
  </si>
  <si>
    <t>강원도 고성군</t>
  </si>
  <si>
    <t>강원도 동해시</t>
  </si>
  <si>
    <t>강원도 삼척시</t>
  </si>
  <si>
    <t>강원도 양구군</t>
  </si>
  <si>
    <t>강원도 양양군</t>
  </si>
  <si>
    <t>강원도 원주시</t>
  </si>
  <si>
    <t>강원도 인제군</t>
  </si>
  <si>
    <t>강원도 정선군</t>
  </si>
  <si>
    <t>강원도 철원군</t>
  </si>
  <si>
    <t>강원도 춘천시</t>
  </si>
  <si>
    <t>강원도 평창군</t>
  </si>
  <si>
    <t>강원도 횡성군</t>
  </si>
  <si>
    <t>강원도 태백시</t>
  </si>
  <si>
    <t>강원도 속초시</t>
  </si>
  <si>
    <t>강원도 홍천군</t>
  </si>
  <si>
    <t>강원도 영월군</t>
  </si>
  <si>
    <t>강원도 화천군</t>
  </si>
  <si>
    <t>충청북도</t>
  </si>
  <si>
    <t>충청북도 청주시</t>
  </si>
  <si>
    <t>충청북도 충주시</t>
  </si>
  <si>
    <t>충청북도 제천시</t>
  </si>
  <si>
    <t>충청북도 보은군</t>
  </si>
  <si>
    <t>충청북도 옥천군</t>
  </si>
  <si>
    <t>충청북도 영동군</t>
  </si>
  <si>
    <t>충청북도 증평군</t>
  </si>
  <si>
    <t>충청북도 진천군</t>
  </si>
  <si>
    <t>충청북도 괴산군</t>
  </si>
  <si>
    <t>충청북도 음성군</t>
  </si>
  <si>
    <t>충청북도 단양군</t>
  </si>
  <si>
    <t>충청남도</t>
  </si>
  <si>
    <t>충청남도 천안시</t>
  </si>
  <si>
    <t>충청남도 공주시</t>
  </si>
  <si>
    <t>충청남도 보령시</t>
  </si>
  <si>
    <t>충청남도 아산시</t>
  </si>
  <si>
    <t>충청남도 서산시</t>
  </si>
  <si>
    <t>충청남도 논산시</t>
  </si>
  <si>
    <t>충청남도 계룡시</t>
  </si>
  <si>
    <t>충청남도 당진시</t>
  </si>
  <si>
    <t>충청남도 금산군</t>
  </si>
  <si>
    <t>충청남도 부여군</t>
  </si>
  <si>
    <t>충청남도 서천군</t>
  </si>
  <si>
    <t>충청남도 청양군</t>
  </si>
  <si>
    <t>충청남도 홍성군</t>
  </si>
  <si>
    <t>충청남도 예산군</t>
  </si>
  <si>
    <t>충청남도 태안군</t>
  </si>
  <si>
    <t>전라북도</t>
  </si>
  <si>
    <t>전라북도 전주시</t>
  </si>
  <si>
    <t>전라북도 군산시</t>
  </si>
  <si>
    <t>전라북도 익산시</t>
  </si>
  <si>
    <t>전라북도 정읍시</t>
  </si>
  <si>
    <t>전라북도 남원시</t>
  </si>
  <si>
    <t>전라북도 김제시</t>
  </si>
  <si>
    <t>전라북도 완주군</t>
  </si>
  <si>
    <t>전라북도 진안군</t>
  </si>
  <si>
    <t>전라북도 무주군</t>
  </si>
  <si>
    <t>전라북도 장수군</t>
  </si>
  <si>
    <t>전라북도 임실군</t>
  </si>
  <si>
    <t>전라북도 순창군</t>
  </si>
  <si>
    <t>전라북도 고창군</t>
  </si>
  <si>
    <t>전라북도 부안군</t>
  </si>
  <si>
    <t>전라남도</t>
  </si>
  <si>
    <t>전라남도 목포시</t>
  </si>
  <si>
    <t>전라남도 여수시</t>
  </si>
  <si>
    <t>전라남도 순천시</t>
  </si>
  <si>
    <t>전라남도 광양시</t>
  </si>
  <si>
    <t>전라남도 담양군</t>
  </si>
  <si>
    <t>전라남도 곡성군</t>
  </si>
  <si>
    <t>전라남도 구례군</t>
  </si>
  <si>
    <t>전라남도 고흥군</t>
  </si>
  <si>
    <t>전라남도 보성군</t>
  </si>
  <si>
    <t>전라남도 화순군</t>
  </si>
  <si>
    <t>전라남도 장흥군</t>
  </si>
  <si>
    <t>전라남도 강진군</t>
  </si>
  <si>
    <t>전라남도 해남군</t>
  </si>
  <si>
    <t>전라남도 영암군</t>
  </si>
  <si>
    <t>전라남도 무안군</t>
  </si>
  <si>
    <t>전라남도 함평군</t>
  </si>
  <si>
    <t>전라남도 영광군</t>
  </si>
  <si>
    <t>전라남도 장성군</t>
  </si>
  <si>
    <t>전라남도 완도군</t>
  </si>
  <si>
    <t>전라남도 진도군</t>
  </si>
  <si>
    <t>전라남도 신안군</t>
  </si>
  <si>
    <t>전라남도 나주시</t>
  </si>
  <si>
    <t>경상북도</t>
  </si>
  <si>
    <t>경상북도 포항시</t>
  </si>
  <si>
    <t>경상북도 경주시</t>
  </si>
  <si>
    <t>경상북도 김천시</t>
  </si>
  <si>
    <t>경상북도 안동시</t>
  </si>
  <si>
    <t>경상북도 영천시</t>
  </si>
  <si>
    <t>경상북도 문경시</t>
  </si>
  <si>
    <t>경상북도 경산시</t>
  </si>
  <si>
    <t>경상북도 군위군</t>
  </si>
  <si>
    <t>경상북도 의성군</t>
  </si>
  <si>
    <t>경상북도 청송군</t>
  </si>
  <si>
    <t>경상북도 영양군</t>
  </si>
  <si>
    <t>경상북도 예천군</t>
  </si>
  <si>
    <t>경상북도 칠곡군</t>
  </si>
  <si>
    <t>경상북도 청도군</t>
  </si>
  <si>
    <t>경상북도 울릉군</t>
  </si>
  <si>
    <t>경상북도 구미시</t>
  </si>
  <si>
    <t>경상북도 영주시</t>
  </si>
  <si>
    <t>경상북도 상주시</t>
  </si>
  <si>
    <t>경상북도 영덕군</t>
  </si>
  <si>
    <t>경상북도 고령군</t>
  </si>
  <si>
    <t>경상북도 성주군</t>
  </si>
  <si>
    <t>경상북도 봉화군</t>
  </si>
  <si>
    <t>경상북도 울진군</t>
  </si>
  <si>
    <t>경상남도</t>
  </si>
  <si>
    <t>경상남도 창원시</t>
  </si>
  <si>
    <t>경상남도 진주시</t>
  </si>
  <si>
    <t>경상남도 통영시</t>
  </si>
  <si>
    <t>경상남도 사천시</t>
  </si>
  <si>
    <t>경상남도 김해시</t>
  </si>
  <si>
    <t>경상남도 밀양시</t>
  </si>
  <si>
    <t>경상남도 거제시</t>
  </si>
  <si>
    <t>경상남도 양산시</t>
  </si>
  <si>
    <t>경상남도 의령군</t>
  </si>
  <si>
    <t>경상남도 창녕군</t>
  </si>
  <si>
    <t>경상남도 고성군</t>
  </si>
  <si>
    <t>경상남도 남해군</t>
  </si>
  <si>
    <t>경상남도 하동군</t>
  </si>
  <si>
    <t>경상남도 산청군</t>
  </si>
  <si>
    <t>경상남도 함양군</t>
  </si>
  <si>
    <t>경상남도 거창군</t>
  </si>
  <si>
    <t>경상남도 합천군</t>
  </si>
  <si>
    <t>제주특별자치도</t>
  </si>
  <si>
    <t>경상남도 함안군</t>
  </si>
  <si>
    <t>제주특별자치도 제주시</t>
  </si>
  <si>
    <t>제주특별자치도 서귀포시</t>
  </si>
  <si>
    <t>실 보유 데이터수</t>
    <phoneticPr fontId="8" type="noConversion"/>
  </si>
  <si>
    <t>순번</t>
    <phoneticPr fontId="8" type="noConversion"/>
  </si>
  <si>
    <t>기관 제출 보유 수</t>
    <phoneticPr fontId="8" type="noConversion"/>
  </si>
  <si>
    <t>제출 등록 수</t>
    <phoneticPr fontId="8" type="noConversion"/>
  </si>
  <si>
    <t>기관 등록%</t>
    <phoneticPr fontId="8" type="noConversion"/>
  </si>
  <si>
    <t>정확히 제출한 기관</t>
    <phoneticPr fontId="8" type="noConversion"/>
  </si>
  <si>
    <t>상이한 기관</t>
    <phoneticPr fontId="8" type="noConversion"/>
  </si>
  <si>
    <t>점검 필요</t>
    <phoneticPr fontId="8" type="noConversion"/>
  </si>
  <si>
    <t>실제 등록 %</t>
    <phoneticPr fontId="8" type="noConversion"/>
  </si>
  <si>
    <t>데이터 갱신후
눌러주세요</t>
    <phoneticPr fontId="8" type="noConversion"/>
  </si>
  <si>
    <t>세차장</t>
  </si>
  <si>
    <t>약수터</t>
  </si>
  <si>
    <t>지진해일</t>
  </si>
  <si>
    <t>공중화장실</t>
  </si>
  <si>
    <t>사회적기업</t>
  </si>
  <si>
    <t>무인민원발급</t>
  </si>
  <si>
    <t>전통시장</t>
  </si>
  <si>
    <t>민박펜션업소</t>
  </si>
  <si>
    <t>CCTV</t>
  </si>
  <si>
    <t>어린이집</t>
  </si>
  <si>
    <t>전기차충전소</t>
  </si>
  <si>
    <t>무료와이파이</t>
  </si>
  <si>
    <t>보호수</t>
  </si>
  <si>
    <t>무더위쉼터</t>
  </si>
  <si>
    <t>자전거보관소</t>
  </si>
  <si>
    <t>낚시터</t>
  </si>
  <si>
    <t>동물보호센터</t>
  </si>
  <si>
    <t>도로안내표지</t>
  </si>
  <si>
    <t>안전비상벨위치</t>
  </si>
  <si>
    <t>지반침하</t>
  </si>
  <si>
    <t>교량</t>
  </si>
  <si>
    <t>재해위험지구</t>
  </si>
  <si>
    <t>생활쓰레기배출</t>
  </si>
  <si>
    <t>자동심장충격기</t>
  </si>
  <si>
    <t>야영(캠핑)장</t>
  </si>
  <si>
    <t>휴게소</t>
  </si>
  <si>
    <t>농어촌체험</t>
  </si>
  <si>
    <t>상수도수질검사</t>
  </si>
  <si>
    <t>도시철도노선</t>
  </si>
  <si>
    <t>도시철도역사</t>
  </si>
  <si>
    <t>도시철도운행</t>
  </si>
  <si>
    <t>산정보</t>
  </si>
  <si>
    <t>도로터널</t>
  </si>
  <si>
    <t>개별공시지가</t>
  </si>
  <si>
    <t>등산로</t>
  </si>
  <si>
    <t>개별주택가격</t>
  </si>
  <si>
    <t>졸음쉼터</t>
  </si>
  <si>
    <t>과속방지턱</t>
  </si>
  <si>
    <t>연속지적도형</t>
  </si>
  <si>
    <t>산불위험지역</t>
  </si>
  <si>
    <t>삭제해야할 데이터</t>
    <phoneticPr fontId="8" type="noConversion"/>
  </si>
  <si>
    <t>삭제 데이터 개수</t>
    <phoneticPr fontId="8" type="noConversion"/>
  </si>
  <si>
    <t>점검내역</t>
    <phoneticPr fontId="8" type="noConversion"/>
  </si>
  <si>
    <t>CCTV정보</t>
    <phoneticPr fontId="8" type="noConversion"/>
  </si>
  <si>
    <t>공중화장실</t>
    <phoneticPr fontId="8" type="noConversion"/>
  </si>
  <si>
    <t>과속방지턱</t>
    <phoneticPr fontId="8" type="noConversion"/>
  </si>
  <si>
    <t>낚시터정보</t>
    <phoneticPr fontId="8" type="noConversion"/>
  </si>
  <si>
    <t>무료와이파이정보</t>
    <phoneticPr fontId="8" type="noConversion"/>
  </si>
  <si>
    <t>보호수정보</t>
    <phoneticPr fontId="8" type="noConversion"/>
  </si>
  <si>
    <t>생활쓰레기배출정보</t>
    <phoneticPr fontId="8" type="noConversion"/>
  </si>
  <si>
    <t>세차장정보</t>
    <phoneticPr fontId="8" type="noConversion"/>
  </si>
  <si>
    <t>안전비상벨위치정보</t>
    <phoneticPr fontId="8" type="noConversion"/>
  </si>
  <si>
    <t>자전거보관소정보</t>
    <phoneticPr fontId="8" type="noConversion"/>
  </si>
  <si>
    <t>2020-07-01</t>
  </si>
  <si>
    <t>2021-03-15</t>
  </si>
  <si>
    <t>2021-10-22</t>
  </si>
  <si>
    <t>2020-12-09</t>
  </si>
  <si>
    <t>2020-12-30</t>
  </si>
  <si>
    <t>2020-12-24</t>
  </si>
  <si>
    <t>2021-03-31</t>
  </si>
  <si>
    <t>2020-05-12</t>
  </si>
  <si>
    <t>2021-09-13</t>
  </si>
  <si>
    <t>2021-08-01</t>
  </si>
  <si>
    <t>2021-02-28</t>
  </si>
  <si>
    <t>2020-12-03</t>
  </si>
  <si>
    <t>2020-05-18</t>
  </si>
  <si>
    <t>2021-08-02</t>
  </si>
  <si>
    <t>2020-10-23</t>
  </si>
  <si>
    <t>2021-07-31</t>
  </si>
  <si>
    <t>2021-06-28</t>
  </si>
  <si>
    <t>2020-11-30</t>
  </si>
  <si>
    <t>2020-10-01</t>
  </si>
  <si>
    <t>2021-09-30</t>
  </si>
  <si>
    <t>2020-02-28</t>
  </si>
  <si>
    <t>2021-10-25</t>
  </si>
  <si>
    <t>2021-10-19</t>
  </si>
  <si>
    <t>2020-12-10</t>
  </si>
  <si>
    <t>2021-10-08</t>
  </si>
  <si>
    <t>2021-10-14</t>
  </si>
  <si>
    <t>2020-03-20</t>
  </si>
  <si>
    <t>2020-11-17</t>
  </si>
  <si>
    <t>2020-09-23</t>
  </si>
  <si>
    <t>2021-02-26</t>
  </si>
  <si>
    <t>2021-10-20</t>
  </si>
  <si>
    <t>2020-07-02</t>
  </si>
  <si>
    <t>2020-09-01</t>
  </si>
  <si>
    <t>2021-10-12</t>
  </si>
  <si>
    <t>2020-07-09</t>
  </si>
  <si>
    <t>2021-10-26</t>
  </si>
  <si>
    <t>2020-02-29</t>
  </si>
  <si>
    <t>2021-10-28</t>
  </si>
  <si>
    <t>2021-09-17</t>
  </si>
  <si>
    <t>2020-11-16</t>
  </si>
  <si>
    <t>2021-10-01</t>
  </si>
  <si>
    <t>2021-06-30</t>
  </si>
  <si>
    <t>2021-10-18</t>
  </si>
  <si>
    <t>2020-12-08</t>
  </si>
  <si>
    <t>2021-06-09</t>
  </si>
  <si>
    <t>2020-03-31</t>
  </si>
  <si>
    <t>2020-12-23</t>
  </si>
  <si>
    <t>2021-01-01</t>
  </si>
  <si>
    <t>2020-09-17</t>
  </si>
  <si>
    <t>2021-07-01</t>
  </si>
  <si>
    <t>2021-10-27</t>
  </si>
  <si>
    <t>2021-05-24</t>
  </si>
  <si>
    <t>2020-11-26</t>
  </si>
  <si>
    <t>2021-08-03</t>
  </si>
  <si>
    <t>2020-12-31</t>
  </si>
  <si>
    <t>2020-05-31</t>
  </si>
  <si>
    <t>2021-08-23</t>
  </si>
  <si>
    <t>2021-10-21</t>
  </si>
  <si>
    <t>2021-03-01</t>
  </si>
  <si>
    <t>2021-07-28</t>
  </si>
  <si>
    <t>2021-07-19</t>
  </si>
  <si>
    <t>2020-07-15</t>
  </si>
  <si>
    <t>2021-08-24</t>
  </si>
  <si>
    <t>2021-10-07</t>
  </si>
  <si>
    <t>2021-10-06</t>
  </si>
  <si>
    <t>2020-07-31</t>
  </si>
  <si>
    <t>2020-12-18</t>
  </si>
  <si>
    <t>2021-09-27</t>
  </si>
  <si>
    <t>2020-12-11</t>
  </si>
  <si>
    <t>2021-03-29</t>
  </si>
  <si>
    <t>2021-08-19</t>
  </si>
  <si>
    <t>2020-07-23</t>
  </si>
  <si>
    <t>2020-07-12</t>
  </si>
  <si>
    <t>2021-03-22</t>
  </si>
  <si>
    <t>2020-12-14</t>
  </si>
  <si>
    <t>2021-07-27</t>
  </si>
  <si>
    <t>2020-12-28</t>
  </si>
  <si>
    <t>2021-09-23</t>
  </si>
  <si>
    <t>2021-06-16</t>
  </si>
  <si>
    <t>2020-12-16</t>
  </si>
  <si>
    <t>2020-12-15</t>
  </si>
  <si>
    <t>2021-09-16</t>
  </si>
  <si>
    <t>2020-07-17</t>
  </si>
  <si>
    <t>2020-06-24</t>
  </si>
  <si>
    <t>2021-08-25</t>
  </si>
  <si>
    <t>2021-10-16</t>
  </si>
  <si>
    <t>2021-06-18</t>
  </si>
  <si>
    <t>2020-11-20</t>
  </si>
  <si>
    <t>2021-09-24</t>
  </si>
  <si>
    <t>2021-02-03</t>
  </si>
  <si>
    <t>2021-09-14</t>
  </si>
  <si>
    <t>2021-08-13</t>
  </si>
  <si>
    <t>2021-07-30</t>
  </si>
  <si>
    <t>2021-06-23</t>
  </si>
  <si>
    <t>2020-06-30</t>
  </si>
  <si>
    <t>2020-03-23</t>
  </si>
  <si>
    <t>2021-09-22</t>
  </si>
  <si>
    <t>2021-10-11</t>
  </si>
  <si>
    <t>2021-05-03</t>
  </si>
  <si>
    <t>2019-05-31</t>
  </si>
  <si>
    <t>2020-11-25</t>
  </si>
  <si>
    <t>2020-09-03</t>
  </si>
  <si>
    <t>2020-06-17</t>
  </si>
  <si>
    <t>2020-09-16</t>
  </si>
  <si>
    <t>2021-08-31</t>
  </si>
  <si>
    <t>2020-12-20</t>
  </si>
  <si>
    <t>2020-06-04</t>
  </si>
  <si>
    <t>2020-12-22</t>
  </si>
  <si>
    <t>2020-07-03</t>
  </si>
  <si>
    <t>2020-12-01</t>
  </si>
  <si>
    <t>2020-08-25</t>
  </si>
  <si>
    <t>2021-09-01</t>
  </si>
  <si>
    <t>2021-10-05</t>
  </si>
  <si>
    <t>2021-10-13</t>
  </si>
  <si>
    <t>2020-12-17</t>
  </si>
  <si>
    <t>2020-11-24</t>
  </si>
  <si>
    <t>2020-07-21</t>
  </si>
  <si>
    <t>2021-03-18</t>
  </si>
  <si>
    <t>2020-07-07</t>
  </si>
  <si>
    <t>2021-01-06</t>
  </si>
  <si>
    <t>2020-06-25</t>
  </si>
  <si>
    <t>2021-02-10</t>
  </si>
  <si>
    <t>2021-03-02</t>
  </si>
  <si>
    <t>2020-07-27</t>
  </si>
  <si>
    <t>2021-05-31</t>
  </si>
  <si>
    <t>2020-10-05</t>
  </si>
  <si>
    <t>2020-08-05</t>
  </si>
  <si>
    <t>2020-12-21</t>
  </si>
  <si>
    <t>2021-06-01</t>
  </si>
  <si>
    <t>2020-09-04</t>
  </si>
  <si>
    <t>2021-07-02</t>
  </si>
  <si>
    <t>2020-09-24</t>
  </si>
  <si>
    <t>2020-04-01</t>
  </si>
  <si>
    <t>2021-07-14</t>
  </si>
  <si>
    <t>2021-10-15</t>
  </si>
  <si>
    <t>2020-06-26</t>
  </si>
  <si>
    <t>2019-07-01</t>
  </si>
  <si>
    <t>2021-07-20</t>
  </si>
  <si>
    <t>2021-09-28</t>
  </si>
  <si>
    <t>2021-01-28</t>
  </si>
  <si>
    <t>2020-08-31</t>
  </si>
  <si>
    <t>2021-06-27</t>
  </si>
  <si>
    <t>2021-07-15</t>
  </si>
  <si>
    <t>2020-06-29</t>
  </si>
  <si>
    <t>2021-06-24</t>
  </si>
  <si>
    <t>2020-05-14</t>
  </si>
  <si>
    <t>2020-09-28</t>
  </si>
  <si>
    <t>2021-08-18</t>
  </si>
  <si>
    <t>2020-05-27</t>
  </si>
  <si>
    <t>2020-05-29</t>
  </si>
  <si>
    <t>2021-05-04</t>
  </si>
  <si>
    <t>2020-08-10</t>
  </si>
  <si>
    <t>2020-08-13</t>
  </si>
  <si>
    <t>2019-12-31</t>
  </si>
  <si>
    <t>2020-10-07</t>
  </si>
  <si>
    <t>2020-09-21</t>
  </si>
  <si>
    <t>2021-10-17</t>
  </si>
  <si>
    <t>2020-08-27</t>
  </si>
  <si>
    <t>2021-09-15</t>
  </si>
  <si>
    <t>2019-12-30</t>
  </si>
  <si>
    <t>2021-04-02</t>
  </si>
  <si>
    <t>2021-06-17</t>
  </si>
  <si>
    <t>2020-04-28</t>
  </si>
  <si>
    <t>2021-05-27</t>
  </si>
  <si>
    <t>2021-06-29</t>
  </si>
  <si>
    <t>2020-04-30</t>
  </si>
  <si>
    <t>2020-09-12</t>
  </si>
  <si>
    <t>2020-09-09</t>
  </si>
  <si>
    <t>2021-08-26</t>
  </si>
  <si>
    <t>2020-06-19</t>
  </si>
  <si>
    <t>2020-10-28</t>
  </si>
  <si>
    <t>2020-08-24</t>
  </si>
  <si>
    <t>2021-02-18</t>
  </si>
  <si>
    <t>2021-09-12</t>
  </si>
  <si>
    <t>2020-09-07</t>
  </si>
  <si>
    <t>2020-12-29</t>
  </si>
  <si>
    <t>2020-09-15</t>
  </si>
  <si>
    <t>2020-11-04</t>
  </si>
  <si>
    <t>2021-08-04</t>
  </si>
  <si>
    <t>2020-05-15</t>
  </si>
  <si>
    <t>2020-09-11</t>
  </si>
  <si>
    <t>2020-05-11</t>
  </si>
  <si>
    <t>2020-03-30</t>
  </si>
  <si>
    <t>2021-06-11</t>
  </si>
  <si>
    <t>2020-10-08</t>
  </si>
  <si>
    <t>2020-09-22</t>
  </si>
  <si>
    <t>2020-08-11</t>
  </si>
  <si>
    <t>2021-03-30</t>
  </si>
  <si>
    <t>2020-06-23</t>
  </si>
  <si>
    <t>2020-05-22</t>
  </si>
  <si>
    <t>2021-03-23</t>
  </si>
  <si>
    <t>2021-08-11</t>
  </si>
  <si>
    <t>2020-10-27</t>
  </si>
  <si>
    <t>2021-08-05</t>
  </si>
  <si>
    <t>2020-12-07</t>
  </si>
  <si>
    <t>2021-10-29</t>
  </si>
  <si>
    <t>2020-07-28</t>
  </si>
  <si>
    <t>2021-06-10</t>
  </si>
  <si>
    <t>2020-07-30</t>
  </si>
  <si>
    <t>2021-04-29</t>
  </si>
  <si>
    <t>2021-09-09</t>
  </si>
  <si>
    <t>2020-12-04</t>
  </si>
  <si>
    <t>2020-07-13</t>
  </si>
  <si>
    <t>2021-05-26</t>
  </si>
  <si>
    <t>2020-02-27</t>
  </si>
  <si>
    <t>2020-10-15</t>
  </si>
  <si>
    <t>2021-09-08</t>
  </si>
  <si>
    <t>2020-07-10</t>
  </si>
  <si>
    <t>2021-09-07</t>
  </si>
  <si>
    <t>2019-06-25</t>
  </si>
  <si>
    <t>2020-06-22</t>
  </si>
  <si>
    <t>2020-07-22</t>
  </si>
  <si>
    <t>2021-09-26</t>
  </si>
  <si>
    <t>2021-01-14</t>
  </si>
  <si>
    <t>2021-04-01</t>
  </si>
  <si>
    <t>2020-10-30</t>
  </si>
  <si>
    <t>2020-05-30</t>
  </si>
  <si>
    <t>2020-06-18</t>
  </si>
  <si>
    <t>2020-09-10</t>
  </si>
  <si>
    <t>2021-04-16</t>
  </si>
  <si>
    <t>2020-11-23</t>
  </si>
  <si>
    <t>2021-07-22</t>
  </si>
  <si>
    <t>2021-01-18</t>
  </si>
  <si>
    <t>2020-03-19</t>
  </si>
  <si>
    <t>2021-05-25</t>
  </si>
  <si>
    <t>2020-07-08</t>
  </si>
  <si>
    <t>2020-05-13</t>
  </si>
  <si>
    <t>2019-06-17</t>
  </si>
  <si>
    <t>2020-07-20</t>
  </si>
  <si>
    <t>2020-11-19</t>
  </si>
  <si>
    <t>2021-09-02</t>
  </si>
  <si>
    <t>2021-05-21</t>
  </si>
  <si>
    <t>2020-11-27</t>
  </si>
  <si>
    <t>2021-09-29</t>
  </si>
  <si>
    <t>2021-03-24</t>
  </si>
  <si>
    <t>2021-04-14</t>
  </si>
  <si>
    <t>2021-04-09</t>
  </si>
  <si>
    <t>2020-06-15</t>
  </si>
  <si>
    <t>2019-02-25</t>
  </si>
  <si>
    <t>2020-10-31</t>
  </si>
  <si>
    <t>2019-11-04</t>
  </si>
  <si>
    <t>2020-02-14</t>
  </si>
  <si>
    <t>2021-07-21</t>
  </si>
  <si>
    <t>2021-06-03</t>
  </si>
  <si>
    <t>2020-10-16</t>
  </si>
  <si>
    <t>2020-07-14</t>
  </si>
  <si>
    <t>2021-05-20</t>
  </si>
  <si>
    <t>2021-05-10</t>
  </si>
  <si>
    <t>2021-05-14</t>
  </si>
  <si>
    <t>2021-07-23</t>
  </si>
  <si>
    <t>2020-07-16</t>
  </si>
  <si>
    <t>2020-10-26</t>
  </si>
  <si>
    <t>2021-03-25</t>
  </si>
  <si>
    <t>2020-12-02</t>
  </si>
  <si>
    <t>2021-04-20</t>
  </si>
  <si>
    <t>2021-05-13</t>
  </si>
  <si>
    <t>2021-04-22</t>
  </si>
  <si>
    <t>2021-09-03</t>
  </si>
  <si>
    <t>2020-04-10</t>
  </si>
  <si>
    <t>2021-01-12</t>
  </si>
  <si>
    <t>2020-03-12</t>
  </si>
  <si>
    <t>2021-05-28</t>
  </si>
  <si>
    <t>2021-04-30</t>
  </si>
  <si>
    <t>2021-08-12</t>
  </si>
  <si>
    <t>2019-06-28</t>
  </si>
  <si>
    <t>2020-03-24</t>
  </si>
  <si>
    <t>2020-10-29</t>
  </si>
  <si>
    <t>2020-10-20</t>
  </si>
  <si>
    <t>2020-07-24</t>
  </si>
  <si>
    <t>2021-03-17</t>
  </si>
  <si>
    <t>2021-06-07</t>
  </si>
  <si>
    <t>2020-03-11</t>
  </si>
  <si>
    <t>2021-03-12</t>
  </si>
  <si>
    <t>2020-09-02</t>
  </si>
  <si>
    <t>2020-07-06</t>
  </si>
  <si>
    <t>2021-06-25</t>
  </si>
  <si>
    <t>2020-02-20</t>
  </si>
  <si>
    <t>2020-09-18</t>
  </si>
  <si>
    <t>2020-05-25</t>
  </si>
  <si>
    <t>2020-08-19</t>
  </si>
  <si>
    <t>2019-09-03</t>
  </si>
  <si>
    <t>2021-05-06</t>
  </si>
  <si>
    <t>2019-06-12</t>
  </si>
  <si>
    <t>2020-04-16</t>
  </si>
  <si>
    <t>2021-05-18</t>
  </si>
  <si>
    <t>2020-06-01</t>
  </si>
  <si>
    <t>2021-06-22</t>
  </si>
  <si>
    <t>2021-04-21</t>
  </si>
  <si>
    <t>2020-11-02</t>
  </si>
  <si>
    <t>2021-08-30</t>
  </si>
  <si>
    <t>2020-05-20</t>
  </si>
  <si>
    <t>2020-12-06</t>
  </si>
  <si>
    <t>2021-07-12</t>
  </si>
  <si>
    <t>2020-08-03</t>
  </si>
  <si>
    <t>2021-09-06</t>
  </si>
  <si>
    <t>2021-07-29</t>
  </si>
  <si>
    <t>2019-11-06</t>
  </si>
  <si>
    <t>2021-06-04</t>
  </si>
  <si>
    <t>2020-08-01</t>
  </si>
  <si>
    <t>2019-09-17</t>
  </si>
  <si>
    <t>2021-05-01</t>
  </si>
  <si>
    <t>2019-07-18</t>
  </si>
  <si>
    <t>2020-01-01</t>
  </si>
  <si>
    <t>2019-08-30</t>
  </si>
  <si>
    <t>2020-02-17</t>
  </si>
  <si>
    <t>2021-06-15</t>
  </si>
  <si>
    <t>2020-04-23</t>
  </si>
  <si>
    <t>2019-09-10</t>
  </si>
  <si>
    <t>2021-08-09</t>
  </si>
  <si>
    <t>2020-03-16</t>
  </si>
  <si>
    <t>2021-06-20</t>
  </si>
  <si>
    <t>2020-06-02</t>
  </si>
  <si>
    <t>2020-03-04</t>
  </si>
  <si>
    <t>2020-10-21</t>
  </si>
  <si>
    <t>2019-11-30</t>
  </si>
  <si>
    <t>2021-08-27</t>
  </si>
  <si>
    <t>2020-08-14</t>
  </si>
  <si>
    <t>2020-06-05</t>
  </si>
  <si>
    <t>2020-12-05</t>
  </si>
  <si>
    <t>2020-02-25</t>
  </si>
  <si>
    <t>2020-09-14</t>
  </si>
  <si>
    <t>2021-04-05</t>
  </si>
  <si>
    <t>2019-05-29</t>
  </si>
  <si>
    <t>2021-06-14</t>
  </si>
  <si>
    <t>2019-06-30</t>
  </si>
  <si>
    <t>2019-09-05</t>
  </si>
  <si>
    <t>2019-08-01</t>
  </si>
  <si>
    <t>2012-05-11</t>
  </si>
  <si>
    <t>2020-03-13</t>
  </si>
  <si>
    <t>2020-06-20</t>
  </si>
  <si>
    <t>2021-05-12</t>
  </si>
  <si>
    <t>2020-12-27</t>
  </si>
  <si>
    <t>2020-05-28</t>
  </si>
  <si>
    <t>2019-05-22</t>
  </si>
  <si>
    <t>2019-06-20</t>
  </si>
  <si>
    <t>2018-01-17</t>
  </si>
  <si>
    <t>2019-04-22</t>
  </si>
  <si>
    <t>2020-03-03</t>
  </si>
  <si>
    <t>2019-09-02</t>
  </si>
  <si>
    <t>2021-01-22</t>
  </si>
  <si>
    <t>2020-06-08</t>
  </si>
  <si>
    <t>2020-05-10</t>
  </si>
  <si>
    <t>2020-04-13</t>
  </si>
  <si>
    <t>2021-05-22</t>
  </si>
  <si>
    <t>2021-08-10</t>
  </si>
  <si>
    <t>2020-01-28</t>
  </si>
  <si>
    <t>2020-05-07</t>
  </si>
  <si>
    <t>2021-01-08</t>
  </si>
  <si>
    <t>2019-02-20</t>
  </si>
  <si>
    <t>2021-01-07</t>
  </si>
  <si>
    <t>충청북도 충주시</t>
    <phoneticPr fontId="8" type="noConversion"/>
  </si>
  <si>
    <t>2021-07-05</t>
  </si>
  <si>
    <t>2020-06-16</t>
  </si>
  <si>
    <t>2021-01-11</t>
  </si>
  <si>
    <t>2021-04-28</t>
  </si>
  <si>
    <t>2020-09-08</t>
  </si>
  <si>
    <t>2019-05-28</t>
  </si>
  <si>
    <t>2020-12-19</t>
  </si>
  <si>
    <t>2018-02-13</t>
  </si>
  <si>
    <t>2019-05-30</t>
  </si>
  <si>
    <t>2021-04-13</t>
  </si>
  <si>
    <t>2022-10-22</t>
  </si>
  <si>
    <t>2021-07-13</t>
  </si>
  <si>
    <t>2019-05-23</t>
  </si>
  <si>
    <t>2020-10-22</t>
  </si>
  <si>
    <t>2020-08-06</t>
  </si>
  <si>
    <t>데이터 총합</t>
    <phoneticPr fontId="8" type="noConversion"/>
  </si>
  <si>
    <t>무인민원발금정보</t>
    <phoneticPr fontId="8" type="noConversion"/>
  </si>
  <si>
    <t>경찰청</t>
    <phoneticPr fontId="8" type="noConversion"/>
  </si>
  <si>
    <t>국토교통부</t>
    <phoneticPr fontId="8" type="noConversion"/>
  </si>
  <si>
    <t>산림청</t>
    <phoneticPr fontId="8" type="noConversion"/>
  </si>
  <si>
    <t>조달청</t>
    <phoneticPr fontId="8" type="noConversion"/>
  </si>
  <si>
    <t>한국도로공사</t>
    <phoneticPr fontId="8" type="noConversion"/>
  </si>
  <si>
    <t>한국수자원공사</t>
    <phoneticPr fontId="8" type="noConversion"/>
  </si>
  <si>
    <t>해양수산부</t>
    <phoneticPr fontId="8" type="noConversion"/>
  </si>
  <si>
    <t>행정안전부</t>
    <phoneticPr fontId="8" type="noConversion"/>
  </si>
  <si>
    <t>환경부</t>
    <phoneticPr fontId="8" type="noConversion"/>
  </si>
  <si>
    <t>파일명</t>
    <phoneticPr fontId="8" type="noConversion"/>
  </si>
  <si>
    <t>파일명</t>
    <phoneticPr fontId="8" type="noConversion"/>
  </si>
  <si>
    <t>연번</t>
  </si>
  <si>
    <t>상위기관</t>
  </si>
  <si>
    <t>소속·산하기관명</t>
  </si>
  <si>
    <t>개정표준 데이터셋(122개)</t>
  </si>
  <si>
    <t>① 데이터보유현황(o, x)</t>
  </si>
  <si>
    <t>②  목록등록관리시스템 등록여부(o, x)</t>
  </si>
  <si>
    <t>③ 개방표준 미보유 사유</t>
  </si>
  <si>
    <t>④ 개방표준 미등록 사유</t>
  </si>
  <si>
    <t>⑤ 표준 적용 계획</t>
  </si>
  <si>
    <t>⑥ 개방표준 데이터셋 등록 파일명</t>
  </si>
  <si>
    <t>⑦ 개방표준 데이터셋 포털등록일</t>
  </si>
  <si>
    <t>비고</t>
  </si>
  <si>
    <t>건축데이터민간개방시스템
(open.eais.go.kr)</t>
  </si>
  <si>
    <t>국토교통부</t>
  </si>
  <si>
    <t>건축인허가기본정보</t>
    <phoneticPr fontId="14" type="noConversion"/>
  </si>
  <si>
    <t>O</t>
  </si>
  <si>
    <t>OpenAPI 제공 중</t>
    <phoneticPr fontId="14" type="noConversion"/>
  </si>
  <si>
    <t>전국건축인허가기본정보표준데이터 (OpenAPI)</t>
    <phoneticPr fontId="14" type="noConversion"/>
  </si>
  <si>
    <t>녹색건축과</t>
  </si>
  <si>
    <t>건축인허가전유공용면적</t>
    <phoneticPr fontId="14" type="noConversion"/>
  </si>
  <si>
    <t>전국건축인허가전유공용면적표준데이터 (OpenAPI)</t>
    <phoneticPr fontId="14" type="noConversion"/>
  </si>
  <si>
    <t>건축인허가대지위치</t>
    <phoneticPr fontId="14" type="noConversion"/>
  </si>
  <si>
    <t>OpenAPI 제공 중</t>
    <phoneticPr fontId="14" type="noConversion"/>
  </si>
  <si>
    <t>전국건축인허가대지위치표준데이터(OpenAPI)</t>
    <phoneticPr fontId="14" type="noConversion"/>
  </si>
  <si>
    <t>국토교통부</t>
    <phoneticPr fontId="8" type="noConversion"/>
  </si>
  <si>
    <t>건축인허가주택유형</t>
    <phoneticPr fontId="14" type="noConversion"/>
  </si>
  <si>
    <t>전국건축인허가주택유형표준데이터(OpenAPI)</t>
    <phoneticPr fontId="14" type="noConversion"/>
  </si>
  <si>
    <t>한국도로공사</t>
    <phoneticPr fontId="8" type="noConversion"/>
  </si>
  <si>
    <t>한국부동산원</t>
    <phoneticPr fontId="14" type="noConversion"/>
  </si>
  <si>
    <t>건축인허가기본정보</t>
    <phoneticPr fontId="14" type="noConversion"/>
  </si>
  <si>
    <t>건축인허가전유공용면적</t>
    <phoneticPr fontId="14" type="noConversion"/>
  </si>
  <si>
    <t>한국부동산원</t>
    <phoneticPr fontId="14" type="noConversion"/>
  </si>
  <si>
    <t>건축인허가대지위치</t>
    <phoneticPr fontId="14" type="noConversion"/>
  </si>
  <si>
    <t xml:space="preserve">고속도로공공데이터포털
(data.ex.co.kr)  </t>
  </si>
  <si>
    <t>국토교통부</t>
    <phoneticPr fontId="14" type="noConversion"/>
  </si>
  <si>
    <t>한국도로공사</t>
    <phoneticPr fontId="14" type="noConversion"/>
  </si>
  <si>
    <t>휴게소정보</t>
    <phoneticPr fontId="14" type="noConversion"/>
  </si>
  <si>
    <t>한국도로공사_휴게소정보_20210809_1628471257275_28745</t>
    <phoneticPr fontId="14" type="noConversion"/>
  </si>
  <si>
    <t xml:space="preserve"> 2021-08-09</t>
    <phoneticPr fontId="14" type="noConversion"/>
  </si>
  <si>
    <t>도로투자지원과</t>
  </si>
  <si>
    <t>국토교통부</t>
    <phoneticPr fontId="14" type="noConversion"/>
  </si>
  <si>
    <t>한국도로공사</t>
    <phoneticPr fontId="14" type="noConversion"/>
  </si>
  <si>
    <t>졸음쉼터</t>
    <phoneticPr fontId="14" type="noConversion"/>
  </si>
  <si>
    <t>한국도로공사_졸음쉼터_20210610_1623991442881_41605</t>
    <phoneticPr fontId="14" type="noConversion"/>
  </si>
  <si>
    <t>도로시설안전과</t>
  </si>
  <si>
    <t>휴게소정보</t>
    <phoneticPr fontId="14" type="noConversion"/>
  </si>
  <si>
    <t xml:space="preserve">한국도로공사_휴게소정보_20210809_1628471257275_28745 </t>
  </si>
  <si>
    <t>국토교통부</t>
    <phoneticPr fontId="14" type="noConversion"/>
  </si>
  <si>
    <t>졸음쉼터</t>
    <phoneticPr fontId="14" type="noConversion"/>
  </si>
  <si>
    <t>교통사고분석시스템
(taas.koroad.or.kr)</t>
  </si>
  <si>
    <t>경찰청</t>
    <phoneticPr fontId="8" type="noConversion"/>
  </si>
  <si>
    <t>경찰청</t>
  </si>
  <si>
    <t>도로교통공단</t>
  </si>
  <si>
    <t>교통사고다발지역</t>
  </si>
  <si>
    <t>API 제공</t>
  </si>
  <si>
    <t>국가공간정보포털
(nsdi.go.kr)</t>
  </si>
  <si>
    <t>한국국토정보공사</t>
    <phoneticPr fontId="14" type="noConversion"/>
  </si>
  <si>
    <t>법정구역(읍면동)정보</t>
    <phoneticPr fontId="14" type="noConversion"/>
  </si>
  <si>
    <t>X</t>
  </si>
  <si>
    <t>중앙행정기관 일괄 제공 분야로 개별 기관 중복점검, 관리대상이 아님</t>
    <phoneticPr fontId="14" type="noConversion"/>
  </si>
  <si>
    <t>포털은 데이터 개방창구 역할로 외부생산데이터의 단순개방</t>
    <phoneticPr fontId="14" type="noConversion"/>
  </si>
  <si>
    <t>데이터 제공/생산기관의 표준 준용</t>
    <phoneticPr fontId="14" type="noConversion"/>
  </si>
  <si>
    <t>데이터 제공/생산기관의 표준 준용</t>
    <phoneticPr fontId="14" type="noConversion"/>
  </si>
  <si>
    <t>국가공간정보센터</t>
  </si>
  <si>
    <t>연속지적도형정보</t>
    <phoneticPr fontId="14" type="noConversion"/>
  </si>
  <si>
    <t>중앙행정기관 일괄 제공 분야로 개별 기관 중복점검, 관리대상이 아님</t>
    <phoneticPr fontId="14" type="noConversion"/>
  </si>
  <si>
    <t>한국국토정보공사</t>
    <phoneticPr fontId="14" type="noConversion"/>
  </si>
  <si>
    <t>GIS건물통합정보</t>
    <phoneticPr fontId="14" type="noConversion"/>
  </si>
  <si>
    <t>개별공시지가정보</t>
    <phoneticPr fontId="14" type="noConversion"/>
  </si>
  <si>
    <t>OpenAPI</t>
    <phoneticPr fontId="14" type="noConversion"/>
  </si>
  <si>
    <t>전국개별공시지가정보표준데이터 (OpenAPI)</t>
    <phoneticPr fontId="14" type="noConversion"/>
  </si>
  <si>
    <t>개별주택가격정보</t>
    <phoneticPr fontId="14" type="noConversion"/>
  </si>
  <si>
    <t>전국개별주택가격정보표준데이터 (OpenAPI)</t>
    <phoneticPr fontId="14" type="noConversion"/>
  </si>
  <si>
    <t>법정구역(읍면동)정보</t>
    <phoneticPr fontId="14" type="noConversion"/>
  </si>
  <si>
    <t>GIS건물통합정보</t>
    <phoneticPr fontId="14" type="noConversion"/>
  </si>
  <si>
    <t>국가상수도정보시스템
(waternow.go.kr)</t>
  </si>
  <si>
    <t>한국수자원공사</t>
    <phoneticPr fontId="8" type="noConversion"/>
  </si>
  <si>
    <t>환경부</t>
  </si>
  <si>
    <t>한국수자원공사</t>
  </si>
  <si>
    <t>waternow.go.kr
(메뉴)
(배움터 -&gt; 수질검사/감시항목-&gt;상수원수/먹는물)</t>
  </si>
  <si>
    <t>해당사항 없음</t>
  </si>
  <si>
    <t>○ 공공데이터 포털 등록 URL: https://www.data.go.kr/data/15013114/standard.do
○ 공공데이터포털 개방 목록명 : 전국상수도수질검사표준데이터</t>
  </si>
  <si>
    <t>농촌체험휴양마을사업관리시스템
www.rucos.kr)
농촌해양관광누리집바다여행
seantour.com)</t>
  </si>
  <si>
    <t>해양수산부</t>
    <phoneticPr fontId="8" type="noConversion"/>
  </si>
  <si>
    <t>해양수산부</t>
  </si>
  <si>
    <t>한국어촌어항공단</t>
  </si>
  <si>
    <t>농어촌체험휴양마을</t>
    <phoneticPr fontId="8" type="noConversion"/>
  </si>
  <si>
    <t>적용완료</t>
  </si>
  <si>
    <t>한국어촌어항공단_농어촌체험휴양마을</t>
  </si>
  <si>
    <t>2021.10.25.</t>
  </si>
  <si>
    <t>도로교량및터널 현황정보시스템
(bti.kict.re.kr)</t>
    <phoneticPr fontId="14" type="noConversion"/>
  </si>
  <si>
    <t>교량</t>
    <phoneticPr fontId="8" type="noConversion"/>
  </si>
  <si>
    <t xml:space="preserve"> 국토교통부_교량_20211022_1634867350047_7954662.csv</t>
    <phoneticPr fontId="14" type="noConversion"/>
  </si>
  <si>
    <t>한국도로공사</t>
    <phoneticPr fontId="8" type="noConversion"/>
  </si>
  <si>
    <t>한국건설기술연구원</t>
    <phoneticPr fontId="14" type="noConversion"/>
  </si>
  <si>
    <t>교량</t>
    <phoneticPr fontId="8" type="noConversion"/>
  </si>
  <si>
    <t>도로교량및터널현황정보시스템
(bti.kict.re.kr)</t>
    <phoneticPr fontId="14" type="noConversion"/>
  </si>
  <si>
    <t>한국건설기술연구원</t>
    <phoneticPr fontId="14" type="noConversion"/>
  </si>
  <si>
    <t>도로터널정보</t>
    <phoneticPr fontId="8" type="noConversion"/>
  </si>
  <si>
    <t>도로교량및터널현황정보시스템(bti.kict.re.kr)</t>
    <phoneticPr fontId="8" type="noConversion"/>
  </si>
  <si>
    <t>도로터널정보</t>
    <phoneticPr fontId="8" type="noConversion"/>
  </si>
  <si>
    <t>국토교통부_도로터널정보_20211022_1634869140276_676949.csv</t>
    <phoneticPr fontId="14" type="noConversion"/>
  </si>
  <si>
    <t xml:space="preserve"> 2021-10-22</t>
    <phoneticPr fontId="14" type="noConversion"/>
  </si>
  <si>
    <t>도로표지관리시스템
(korearoadsign.go.kr, roadsign.go.kr)</t>
    <phoneticPr fontId="14" type="noConversion"/>
  </si>
  <si>
    <t>한국건설기술연구원</t>
    <phoneticPr fontId="14" type="noConversion"/>
  </si>
  <si>
    <t>도로안내표지</t>
    <phoneticPr fontId="14" type="noConversion"/>
  </si>
  <si>
    <t>도로관리과</t>
  </si>
  <si>
    <t>도로표지관리시스템(korearoadsign.go.kr, roadsign.go.kr)</t>
    <phoneticPr fontId="8" type="noConversion"/>
  </si>
  <si>
    <t>도로안내표지</t>
    <phoneticPr fontId="14" type="noConversion"/>
  </si>
  <si>
    <t>국토교통부_도로안내표지_20210930_1634774602463_70614705.csv</t>
    <phoneticPr fontId="14" type="noConversion"/>
  </si>
  <si>
    <t>레일포털
(data.kric.go.kr)</t>
  </si>
  <si>
    <t>한국철도공사</t>
    <phoneticPr fontId="14" type="noConversion"/>
  </si>
  <si>
    <t>도시철도노선정보</t>
    <phoneticPr fontId="14" type="noConversion"/>
  </si>
  <si>
    <t>국가철도공단_도시광역철도_노선정보</t>
    <phoneticPr fontId="14" type="noConversion"/>
  </si>
  <si>
    <t>2021.10.29</t>
    <phoneticPr fontId="14" type="noConversion"/>
  </si>
  <si>
    <t>철도정책과</t>
    <phoneticPr fontId="14" type="noConversion"/>
  </si>
  <si>
    <t>국토교통부</t>
    <phoneticPr fontId="8" type="noConversion"/>
  </si>
  <si>
    <t>도시철도역사정보</t>
    <phoneticPr fontId="14" type="noConversion"/>
  </si>
  <si>
    <t>국가철도공단_도시광역철도_역사정보</t>
    <phoneticPr fontId="14" type="noConversion"/>
  </si>
  <si>
    <t>2021.10.29</t>
    <phoneticPr fontId="14" type="noConversion"/>
  </si>
  <si>
    <t>철도정책과</t>
    <phoneticPr fontId="14" type="noConversion"/>
  </si>
  <si>
    <t>한국철도공사</t>
    <phoneticPr fontId="14" type="noConversion"/>
  </si>
  <si>
    <t>도시철도운행정보</t>
    <phoneticPr fontId="14" type="noConversion"/>
  </si>
  <si>
    <t>국가철도공단_도시광역철도_운행정보</t>
    <phoneticPr fontId="14" type="noConversion"/>
  </si>
  <si>
    <t>한국철도공사</t>
    <phoneticPr fontId="14" type="noConversion"/>
  </si>
  <si>
    <t>도시철도노선정보</t>
    <phoneticPr fontId="14" type="noConversion"/>
  </si>
  <si>
    <t>도시철도운행정보</t>
    <phoneticPr fontId="14" type="noConversion"/>
  </si>
  <si>
    <t>목록등록관리시스템</t>
    <phoneticPr fontId="8" type="noConversion"/>
  </si>
  <si>
    <t>경상북도경찰청
대구광역시경찰청
제주특별자치도경찰청
부산광역시경찰청
경기도북부경찰청
광주광역시경찰청
대전광역시경찰청
경상남도경찰청
경기도남부경찰청
강원도경찰청
충청남도경찰청
전라남도경찰청
인천광역시경찰청
전라북도경찰청
경찰청</t>
  </si>
  <si>
    <t>무인교통단속카메라</t>
  </si>
  <si>
    <t>경찰청_경상북도경찰청_무인단속카메라
경찰청_대구경찰청_무인단속카메라
경찰청_제주경찰청_무인단속카메라
경찰청_부산광역시경찰청_무인단속카메라
경찰청_경기도북부경찰청_무인단속카메라
경찰청_광주경찰청_무인단속카메라
경찰청_대전광역시경찰청_무인단속카메라
경찰청_경상남도경찰청_무인단속카메라
경찰청_경기도남부경찰청_무인단속카메라
경찰청_강원도경찰청_무인단속카메라
경찰청_충청남도경찰청_무인단속카메라
경찰청_전라남도경찰청_무인단속카메라
경찰청_인천광역시경찰청_무인단속카메라
경찰청_전라북도경찰청_무인단속카메라
경찰청_전국_무인단속카메라</t>
  </si>
  <si>
    <t>2021-10-21
2021-10-18
2021-09-30
2021-10-19
2021-10-19
2021-10-21
2021-10-14
2021-09-30
2021-10-13
2021-10-13
2021-10-24
2021-08-23
2021-08-18
2021-07-19
2020-05-31</t>
  </si>
  <si>
    <t>파일데이터</t>
  </si>
  <si>
    <t>목록등록관리시스템</t>
    <phoneticPr fontId="8" type="noConversion"/>
  </si>
  <si>
    <t>한국교통안전공단</t>
    <phoneticPr fontId="14" type="noConversion"/>
  </si>
  <si>
    <t>자동차검사소</t>
    <phoneticPr fontId="14" type="noConversion"/>
  </si>
  <si>
    <t>한국교통안전공단_자동차검사소_20210222_1613978294735_13034</t>
    <phoneticPr fontId="14" type="noConversion"/>
  </si>
  <si>
    <t>자동차운영보험과</t>
  </si>
  <si>
    <t>지방자치단체</t>
    <phoneticPr fontId="14" type="noConversion"/>
  </si>
  <si>
    <t>렌터카업체정보</t>
    <phoneticPr fontId="14" type="noConversion"/>
  </si>
  <si>
    <t>국토교통부_렌터카업체정보_20211016_1634868747578_733979.csv</t>
    <phoneticPr fontId="14" type="noConversion"/>
  </si>
  <si>
    <t>모빌리티정책과</t>
  </si>
  <si>
    <t>자동차정비업체</t>
    <phoneticPr fontId="14" type="noConversion"/>
  </si>
  <si>
    <t xml:space="preserve"> 국토교통부_자동차정비업체_20211022_1634868048437_4168102.csv</t>
    <phoneticPr fontId="14" type="noConversion"/>
  </si>
  <si>
    <t>가변전광표지판(안내전광판)</t>
    <phoneticPr fontId="14" type="noConversion"/>
  </si>
  <si>
    <t>국토교통부_가변전광표지판_20211020_1634864798479_583840.csv</t>
    <phoneticPr fontId="14" type="noConversion"/>
  </si>
  <si>
    <t>디지털도로팀</t>
  </si>
  <si>
    <t>가변전광표지판(안내전광판)</t>
    <phoneticPr fontId="14" type="noConversion"/>
  </si>
  <si>
    <t>한국도로공사_가변전광표지판(안내전광판)_20211012_1634689433061_282333</t>
    <phoneticPr fontId="14" type="noConversion"/>
  </si>
  <si>
    <t>야생동물구조센터정보</t>
  </si>
  <si>
    <t>표준적용완료</t>
  </si>
  <si>
    <t>해양수산부_야생동물구조센터정보_20211019</t>
  </si>
  <si>
    <t>산림휴양복지
(forest.go.kr)</t>
  </si>
  <si>
    <t>산림청</t>
    <phoneticPr fontId="8" type="noConversion"/>
  </si>
  <si>
    <t>산림청</t>
    <phoneticPr fontId="14" type="noConversion"/>
  </si>
  <si>
    <t>산림청</t>
    <phoneticPr fontId="14" type="noConversion"/>
  </si>
  <si>
    <t>산정보</t>
    <phoneticPr fontId="14" type="noConversion"/>
  </si>
  <si>
    <t>산림청_산정보_20211012_1634018407861_1394813.csv
result_data_237835.xls</t>
    <phoneticPr fontId="14" type="noConversion"/>
  </si>
  <si>
    <t>등산로</t>
    <phoneticPr fontId="14" type="noConversion"/>
  </si>
  <si>
    <t>산림청_등산로_20211013_1634108151595_6484834.csv
result_data_238318.xls</t>
    <phoneticPr fontId="14" type="noConversion"/>
  </si>
  <si>
    <t>산불위험예보시스템
(forestfire.nifos.go.kr)</t>
  </si>
  <si>
    <t>국립산림과학원</t>
    <phoneticPr fontId="14" type="noConversion"/>
  </si>
  <si>
    <t>산불위험지역</t>
    <phoneticPr fontId="14" type="noConversion"/>
  </si>
  <si>
    <t>산림청_국립산림과학원_산불위험지역_20211012_1634091499880_17659.csv
result_data_237975.xls</t>
    <phoneticPr fontId="14" type="noConversion"/>
  </si>
  <si>
    <t>재난관리업무포털
(NDMS)</t>
  </si>
  <si>
    <t>행정안전부</t>
    <phoneticPr fontId="14" type="noConversion"/>
  </si>
  <si>
    <t>지진해일긴급대피장소</t>
    <phoneticPr fontId="14" type="noConversion"/>
  </si>
  <si>
    <t>https://www.data.go.kr/data/15025449/standard.do</t>
    <phoneticPr fontId="14" type="noConversion"/>
  </si>
  <si>
    <t>Open API 서비스로 실시간 제공</t>
    <phoneticPr fontId="14" type="noConversion"/>
  </si>
  <si>
    <t>행정안전부</t>
    <phoneticPr fontId="14" type="noConversion"/>
  </si>
  <si>
    <t>지진옥외대피장소</t>
    <phoneticPr fontId="14" type="noConversion"/>
  </si>
  <si>
    <t>https://www.data.go.kr/data/15072620/standard.do</t>
    <phoneticPr fontId="14" type="noConversion"/>
  </si>
  <si>
    <t>행정안전부</t>
    <phoneticPr fontId="8" type="noConversion"/>
  </si>
  <si>
    <t>지진겸용 임시주거시설</t>
    <phoneticPr fontId="14" type="noConversion"/>
  </si>
  <si>
    <t>https://www.data.go.kr/data/15072622/standard.do</t>
    <phoneticPr fontId="14" type="noConversion"/>
  </si>
  <si>
    <t>저공해통합정보누리집
(ev.or.kr)</t>
  </si>
  <si>
    <t>한국환경공단</t>
  </si>
  <si>
    <t>○ 공공데이터 포털 등록 URL: https://www.data.go.kr/data/15076352/openapi.do
○ 공공데이터포털 개방 목록명 : 한국환경공단_전기자동차 충전소 정보</t>
  </si>
  <si>
    <t>조달정보개방포털
(data.g2b.go.kr) 등</t>
  </si>
  <si>
    <t>조달청</t>
    <phoneticPr fontId="8" type="noConversion"/>
  </si>
  <si>
    <t>조달청</t>
  </si>
  <si>
    <t>입찰공고</t>
  </si>
  <si>
    <t>(오픈API) 나라장터 공공데이터 개방표준서비스-입찰정보</t>
  </si>
  <si>
    <t>계약정보</t>
  </si>
  <si>
    <t>(오픈API) 나라장터 공공데이터 개방표준서비스-계약정보</t>
  </si>
  <si>
    <t>조달청</t>
    <phoneticPr fontId="8" type="noConversion"/>
  </si>
  <si>
    <t>낙찰정보</t>
  </si>
  <si>
    <t>(오픈API) 나라장터 공공데이터 개방표준서비스-낙찰정보</t>
  </si>
  <si>
    <t>지방행정 인허가시스템
(localdata.go.kr)</t>
  </si>
  <si>
    <t>한국지역정보개발원</t>
    <phoneticPr fontId="14" type="noConversion"/>
  </si>
  <si>
    <t>공중화장실</t>
    <phoneticPr fontId="14" type="noConversion"/>
  </si>
  <si>
    <t>O</t>
    <phoneticPr fontId="14" type="noConversion"/>
  </si>
  <si>
    <t>O</t>
    <phoneticPr fontId="14" type="noConversion"/>
  </si>
  <si>
    <t>행정안전부_공중화장실정보_20201228</t>
    <phoneticPr fontId="14" type="noConversion"/>
  </si>
  <si>
    <t>지방행정인허가시스템(localdata.go.kr) 파일 다운로드 링크 제공</t>
    <phoneticPr fontId="14" type="noConversion"/>
  </si>
  <si>
    <t>행정안전부</t>
    <phoneticPr fontId="8" type="noConversion"/>
  </si>
  <si>
    <t>무인민원발급정보</t>
    <phoneticPr fontId="14" type="noConversion"/>
  </si>
  <si>
    <t>행정안전부_무인민원발급기정보_20210128</t>
    <phoneticPr fontId="14" type="noConversion"/>
  </si>
  <si>
    <t>지방행정인허가시스템(localdata.go.kr) 파일 다운로드 링크 제공</t>
    <phoneticPr fontId="14" type="noConversion"/>
  </si>
  <si>
    <t>민박·펜션업소</t>
    <phoneticPr fontId="14" type="noConversion"/>
  </si>
  <si>
    <t>전국민박펜션업소표준데이터</t>
    <phoneticPr fontId="14" type="noConversion"/>
  </si>
  <si>
    <t>지방행정인허가시스템(localdata.go.kr) 파일 다운로드 링크 제공 - 공공데이터 포털에 설명란에 기술되어 있음
- 공공데이터 포털 데이터 목록 존재(26건)</t>
    <phoneticPr fontId="14" type="noConversion"/>
  </si>
  <si>
    <t>CCTV</t>
    <phoneticPr fontId="14" type="noConversion"/>
  </si>
  <si>
    <t>행정안전부_CCTV정보_20211027</t>
    <phoneticPr fontId="14" type="noConversion"/>
  </si>
  <si>
    <t>한국지역정보개발원</t>
    <phoneticPr fontId="14" type="noConversion"/>
  </si>
  <si>
    <t>무료와이파이</t>
    <phoneticPr fontId="14" type="noConversion"/>
  </si>
  <si>
    <t>행정안전부_무료와이파이정보_20211027</t>
    <phoneticPr fontId="14" type="noConversion"/>
  </si>
  <si>
    <t>한국지역정보개발원</t>
    <phoneticPr fontId="14" type="noConversion"/>
  </si>
  <si>
    <t>세차장</t>
    <phoneticPr fontId="14" type="noConversion"/>
  </si>
  <si>
    <t>행정안전부_세차장정보_20201228</t>
    <phoneticPr fontId="14" type="noConversion"/>
  </si>
  <si>
    <t>보호수</t>
    <phoneticPr fontId="14" type="noConversion"/>
  </si>
  <si>
    <t>행정안전부_보호수정보_20211027</t>
    <phoneticPr fontId="14" type="noConversion"/>
  </si>
  <si>
    <t>자전거보관소</t>
    <phoneticPr fontId="14" type="noConversion"/>
  </si>
  <si>
    <t>행정안전부_자전거보관소정보_20201228</t>
    <phoneticPr fontId="14" type="noConversion"/>
  </si>
  <si>
    <t>야영(캠핑)장</t>
    <phoneticPr fontId="14" type="noConversion"/>
  </si>
  <si>
    <t>전국야영(캠핑)장표준데이터</t>
    <phoneticPr fontId="14" type="noConversion"/>
  </si>
  <si>
    <t>지방행정인허가시스템(localdata.go.kr) 파일 다운로드 링크 제공 - 공공데이터 포털에 설명란에 기술되어 있음
- 공공데이터 포털 데이터 목록 존재(32건)</t>
    <phoneticPr fontId="14" type="noConversion"/>
  </si>
  <si>
    <t>낚시터정보</t>
    <phoneticPr fontId="14" type="noConversion"/>
  </si>
  <si>
    <t>행정안전부_낚시터정보_20210316</t>
    <phoneticPr fontId="14" type="noConversion"/>
  </si>
  <si>
    <t>지방행정인허가시스템(localdata.go.kr) 파일 다운로드 링크 제공</t>
  </si>
  <si>
    <t>생활쓰레기배출정보</t>
    <phoneticPr fontId="14" type="noConversion"/>
  </si>
  <si>
    <t>행정안전부_생활쓰레기배출정보_20211027</t>
    <phoneticPr fontId="14" type="noConversion"/>
  </si>
  <si>
    <t>과속방지턱</t>
    <phoneticPr fontId="14" type="noConversion"/>
  </si>
  <si>
    <t>행정안전부_과속방지턱정보_20201228</t>
    <phoneticPr fontId="14" type="noConversion"/>
  </si>
  <si>
    <t>안전비상벨위치</t>
    <phoneticPr fontId="14" type="noConversion"/>
  </si>
  <si>
    <t>행정안전부_안전비상벨위치정보_20211027</t>
    <phoneticPr fontId="14" type="noConversion"/>
  </si>
  <si>
    <t>지하안전정보시스템
(jis.go.kr)</t>
  </si>
  <si>
    <t>국토안전관리원</t>
    <phoneticPr fontId="14" type="noConversion"/>
  </si>
  <si>
    <t>지반침하정보</t>
    <phoneticPr fontId="14" type="noConversion"/>
  </si>
  <si>
    <t>전국지반침하정보표준데이터 (OpenAPI)</t>
    <phoneticPr fontId="14" type="noConversion"/>
  </si>
  <si>
    <t>2021-10-14 (최종수정일)</t>
    <phoneticPr fontId="14" type="noConversion"/>
  </si>
  <si>
    <t>건설안전과</t>
  </si>
  <si>
    <t>국토안전관리원</t>
    <phoneticPr fontId="14" type="noConversion"/>
  </si>
  <si>
    <t>토양지하수정보시스템
(sgis.nier.go.kr)</t>
  </si>
  <si>
    <t>국립환경과학원</t>
  </si>
  <si>
    <t>먹는물공동시설(약수터)</t>
  </si>
  <si>
    <t>○ 공공데이터 포털 등록 URL: https://www.data.go.kr/data/15017324/standard.do
○ 공공데이터포털 개방 목록명 : 전국먹는물공동시설(약수터)표준데이터</t>
  </si>
  <si>
    <t>데이터유형</t>
  </si>
  <si>
    <t>분류체계</t>
  </si>
  <si>
    <t>데이터명</t>
  </si>
  <si>
    <t>기준일자</t>
  </si>
  <si>
    <t>요청구분</t>
  </si>
  <si>
    <t>요청결과</t>
  </si>
  <si>
    <t>수정일자</t>
  </si>
  <si>
    <t>차기등록예정일</t>
  </si>
  <si>
    <t>승인/반려일자</t>
  </si>
  <si>
    <t>파일</t>
  </si>
  <si>
    <t>교통및물류&gt;도로</t>
  </si>
  <si>
    <t>경찰청_전국_무인교통단속카메라</t>
  </si>
  <si>
    <t>등록요청</t>
  </si>
  <si>
    <t>승인</t>
  </si>
  <si>
    <t>확인</t>
    <phoneticPr fontId="8" type="noConversion"/>
  </si>
  <si>
    <t>국토교통부_도로안내표지_20210930</t>
  </si>
  <si>
    <t>변경요청</t>
  </si>
  <si>
    <t>국토교통부_도로터널정보_20211022</t>
  </si>
  <si>
    <t>교통및물류&gt;물류등기타</t>
  </si>
  <si>
    <t>국토교통부_렌터카업체정보_20211016</t>
  </si>
  <si>
    <t>국토교통부_자동차정비업체_20211022</t>
  </si>
  <si>
    <t>국토교통부_가변전광표지판_20211020</t>
  </si>
  <si>
    <t>국토교통부_교량_20211022</t>
  </si>
  <si>
    <t>국토교통부_휴게소정보_20190827</t>
  </si>
  <si>
    <t>null</t>
  </si>
  <si>
    <t>국토교통부_대전지방국토관리청_논산국토관리사무소_도로안내표지_20180822</t>
  </si>
  <si>
    <t>한국도로공사_가변전광표지판(안내전광판)_20211012</t>
  </si>
  <si>
    <t>한국도로공사</t>
  </si>
  <si>
    <t>한국도로공사_휴게소정보_20210809</t>
  </si>
  <si>
    <t>한국도로공사_졸음쉼터_20210610</t>
  </si>
  <si>
    <t>환경&gt;환경일반</t>
  </si>
  <si>
    <t>문화체육관광&gt;관광</t>
  </si>
  <si>
    <t>한국어촌어항공단_농어촌체험휴양마을_20211022</t>
  </si>
  <si>
    <t>한국교통안전공단_자동차검사소_20210222</t>
  </si>
  <si>
    <t>한국교통안전공단</t>
  </si>
  <si>
    <t>기관별 데이터 개수</t>
    <phoneticPr fontId="8" type="noConversion"/>
  </si>
  <si>
    <t>2021-07-10</t>
  </si>
  <si>
    <t>2021-09-05</t>
  </si>
  <si>
    <t>2021-10-30</t>
  </si>
  <si>
    <t>2021-08-14</t>
  </si>
  <si>
    <t>2021-09-11</t>
  </si>
  <si>
    <t>2021-10-10</t>
  </si>
  <si>
    <t>2021-08-21</t>
  </si>
  <si>
    <t>2021-10-02</t>
  </si>
  <si>
    <t>2021-11-02</t>
  </si>
  <si>
    <t>2021-10-24</t>
  </si>
  <si>
    <t>2021-10-23</t>
  </si>
  <si>
    <t>2021-05-05</t>
  </si>
  <si>
    <t>2021-07-08</t>
  </si>
  <si>
    <t>2021-09-04</t>
  </si>
  <si>
    <t>2021-07-07</t>
  </si>
  <si>
    <t>2021-07-17</t>
  </si>
  <si>
    <t>2021-08-06</t>
  </si>
  <si>
    <t>2021-07-03</t>
  </si>
  <si>
    <t>2021-10-31</t>
  </si>
  <si>
    <t>2021-07-09</t>
  </si>
  <si>
    <t>2021-04-25</t>
  </si>
  <si>
    <t>2021-08-08</t>
  </si>
  <si>
    <t>2021-07-16</t>
  </si>
  <si>
    <t>2021-10-03</t>
  </si>
  <si>
    <t>2021-07-04</t>
  </si>
  <si>
    <t>2021-08-29</t>
  </si>
  <si>
    <t>2021-09-18</t>
  </si>
  <si>
    <t>2021-08-20</t>
  </si>
  <si>
    <t>2021-10-09</t>
  </si>
  <si>
    <t>2021-10-04</t>
  </si>
  <si>
    <t>2021-01-09</t>
  </si>
  <si>
    <t>2021-07-06</t>
  </si>
  <si>
    <t>2021-08-07</t>
  </si>
  <si>
    <t>기타</t>
    <phoneticPr fontId="8" type="noConversion"/>
  </si>
  <si>
    <t>temp</t>
    <phoneticPr fontId="8" type="noConversion"/>
  </si>
  <si>
    <t>결과</t>
    <phoneticPr fontId="8" type="noConversion"/>
  </si>
  <si>
    <t>표준X삭제</t>
    <phoneticPr fontId="8" type="noConversion"/>
  </si>
  <si>
    <t>전체</t>
    <phoneticPr fontId="8" type="noConversion"/>
  </si>
  <si>
    <t>초과 정상</t>
    <phoneticPr fontId="8" type="noConversion"/>
  </si>
  <si>
    <t>비정상</t>
    <phoneticPr fontId="8" type="noConversion"/>
  </si>
  <si>
    <t>기관명  ＼  표준데이터셋</t>
    <phoneticPr fontId="14" type="noConversion"/>
  </si>
  <si>
    <t>주차장</t>
    <phoneticPr fontId="14" type="noConversion"/>
  </si>
  <si>
    <t>도시공원</t>
    <phoneticPr fontId="14" type="noConversion"/>
  </si>
  <si>
    <t>어린이보호구역</t>
    <phoneticPr fontId="14" type="noConversion"/>
  </si>
  <si>
    <t>문화축제</t>
    <phoneticPr fontId="14" type="noConversion"/>
  </si>
  <si>
    <t>공연행사</t>
    <phoneticPr fontId="14" type="noConversion"/>
  </si>
  <si>
    <t>무료급식소</t>
    <phoneticPr fontId="14" type="noConversion"/>
  </si>
  <si>
    <t>도서관</t>
    <phoneticPr fontId="14" type="noConversion"/>
  </si>
  <si>
    <t>평생학습강좌</t>
    <phoneticPr fontId="14" type="noConversion"/>
  </si>
  <si>
    <t>휴양림</t>
    <phoneticPr fontId="14" type="noConversion"/>
  </si>
  <si>
    <t>관광안내소</t>
    <phoneticPr fontId="14" type="noConversion"/>
  </si>
  <si>
    <t>공공시설개방</t>
    <phoneticPr fontId="14" type="noConversion"/>
  </si>
  <si>
    <t>금연구역</t>
    <phoneticPr fontId="14" type="noConversion"/>
  </si>
  <si>
    <t>자전거대여소</t>
    <phoneticPr fontId="14" type="noConversion"/>
  </si>
  <si>
    <t>보안등</t>
    <phoneticPr fontId="14" type="noConversion"/>
  </si>
  <si>
    <t>길관광</t>
    <phoneticPr fontId="14" type="noConversion"/>
  </si>
  <si>
    <t>지역특화거리</t>
    <phoneticPr fontId="14" type="noConversion"/>
  </si>
  <si>
    <t>박물관미술관</t>
    <phoneticPr fontId="14" type="noConversion"/>
  </si>
  <si>
    <t>농기계임대</t>
    <phoneticPr fontId="14" type="noConversion"/>
  </si>
  <si>
    <t>마을기업</t>
    <phoneticPr fontId="14" type="noConversion"/>
  </si>
  <si>
    <t>민방위대피시설</t>
    <phoneticPr fontId="14" type="noConversion"/>
  </si>
  <si>
    <t>거주자우선주차</t>
    <phoneticPr fontId="14" type="noConversion"/>
  </si>
  <si>
    <t>견인차량보관소</t>
    <phoneticPr fontId="14" type="noConversion"/>
  </si>
  <si>
    <t>자동차검사소</t>
    <phoneticPr fontId="14" type="noConversion"/>
  </si>
  <si>
    <t>재활용센터</t>
    <phoneticPr fontId="14" type="noConversion"/>
  </si>
  <si>
    <t>건강증진센터</t>
    <phoneticPr fontId="14" type="noConversion"/>
  </si>
  <si>
    <t>치매센터</t>
    <phoneticPr fontId="14" type="noConversion"/>
  </si>
  <si>
    <t>관광지</t>
    <phoneticPr fontId="14" type="noConversion"/>
  </si>
  <si>
    <t>가로수길</t>
    <phoneticPr fontId="14" type="noConversion"/>
  </si>
  <si>
    <t>향토문화유적</t>
    <phoneticPr fontId="14" type="noConversion"/>
  </si>
  <si>
    <t>보행자전용도로</t>
    <phoneticPr fontId="14" type="noConversion"/>
  </si>
  <si>
    <t>육교</t>
    <phoneticPr fontId="14" type="noConversion"/>
  </si>
  <si>
    <t>렌터카업체</t>
    <phoneticPr fontId="14" type="noConversion"/>
  </si>
  <si>
    <t>음식물쓰레기납부필증가격</t>
    <phoneticPr fontId="14" type="noConversion"/>
  </si>
  <si>
    <t>종량제봉투가격</t>
    <phoneticPr fontId="14" type="noConversion"/>
  </si>
  <si>
    <t>야생동물구조센터</t>
    <phoneticPr fontId="14" type="noConversion"/>
  </si>
  <si>
    <t>로컬푸드인증</t>
    <phoneticPr fontId="14" type="noConversion"/>
  </si>
  <si>
    <t>시티투어</t>
    <phoneticPr fontId="14" type="noConversion"/>
  </si>
  <si>
    <t>도로안전표지</t>
    <phoneticPr fontId="14" type="noConversion"/>
  </si>
  <si>
    <t>버스전용차로</t>
    <phoneticPr fontId="14" type="noConversion"/>
  </si>
  <si>
    <t>신호등</t>
    <phoneticPr fontId="14" type="noConversion"/>
  </si>
  <si>
    <t>일방통행도로</t>
    <phoneticPr fontId="14" type="noConversion"/>
  </si>
  <si>
    <t>무인교통단속카메라</t>
    <phoneticPr fontId="14" type="noConversion"/>
  </si>
  <si>
    <t>횡단보도</t>
    <phoneticPr fontId="14" type="noConversion"/>
  </si>
  <si>
    <t>보행자우선도로</t>
    <phoneticPr fontId="14" type="noConversion"/>
  </si>
  <si>
    <t>스마트가로등</t>
    <phoneticPr fontId="14" type="noConversion"/>
  </si>
  <si>
    <t>교통약자이동지원센터</t>
    <phoneticPr fontId="14" type="noConversion"/>
  </si>
  <si>
    <t>푸드트럭허가구역</t>
    <phoneticPr fontId="14" type="noConversion"/>
  </si>
  <si>
    <t>아동복지급식</t>
    <phoneticPr fontId="14" type="noConversion"/>
  </si>
  <si>
    <t>경로우대지정업소</t>
    <phoneticPr fontId="14" type="noConversion"/>
  </si>
  <si>
    <t>노인장애인보호구역</t>
    <phoneticPr fontId="14" type="noConversion"/>
  </si>
  <si>
    <t>전동휠체어급속충전기</t>
    <phoneticPr fontId="14" type="noConversion"/>
  </si>
  <si>
    <t>여성안심택배함</t>
    <phoneticPr fontId="14" type="noConversion"/>
  </si>
  <si>
    <t>여성안심지킴이집</t>
    <phoneticPr fontId="14" type="noConversion"/>
  </si>
  <si>
    <t>가변전광표지판</t>
    <phoneticPr fontId="14" type="noConversion"/>
  </si>
  <si>
    <t>대중교통환승센터</t>
    <phoneticPr fontId="14" type="noConversion"/>
  </si>
  <si>
    <t>주정차금지(지정)구역</t>
    <phoneticPr fontId="14" type="noConversion"/>
  </si>
  <si>
    <t>소규모공공시설위험지정</t>
    <phoneticPr fontId="14" type="noConversion"/>
  </si>
  <si>
    <t>소방자동차전용구역</t>
  </si>
  <si>
    <t>소방용수시설</t>
    <phoneticPr fontId="14" type="noConversion"/>
  </si>
  <si>
    <t>데이터갯수</t>
    <phoneticPr fontId="14" type="noConversion"/>
  </si>
  <si>
    <t>빈칸수</t>
    <phoneticPr fontId="14" type="noConversion"/>
  </si>
  <si>
    <t>확인용(245)</t>
    <phoneticPr fontId="14" type="noConversion"/>
  </si>
  <si>
    <t>갱신주기</t>
    <phoneticPr fontId="14" type="noConversion"/>
  </si>
  <si>
    <t>반기</t>
  </si>
  <si>
    <t>연간</t>
  </si>
  <si>
    <t>분기</t>
  </si>
  <si>
    <t>반기</t>
    <phoneticPr fontId="14" type="noConversion"/>
  </si>
  <si>
    <t>갱신 기준 날짜</t>
    <phoneticPr fontId="14" type="noConversion"/>
  </si>
  <si>
    <t>개수</t>
    <phoneticPr fontId="14" type="noConversion"/>
  </si>
  <si>
    <t>공공시설개방정보, 소방용수시설 등록 여부 검토</t>
    <phoneticPr fontId="8" type="noConversion"/>
  </si>
  <si>
    <t>낚시터 삭제, 주차장, 거주자우선주차정보 등록여부 검토</t>
    <phoneticPr fontId="8" type="noConversion"/>
  </si>
  <si>
    <t>보행자우선도로 등록여부 검토</t>
    <phoneticPr fontId="8" type="noConversion"/>
  </si>
  <si>
    <t>지역특화거리 등록 여부 검토</t>
    <phoneticPr fontId="8" type="noConversion"/>
  </si>
  <si>
    <t>자동차검사소 등록 여부 검토</t>
    <phoneticPr fontId="8" type="noConversion"/>
  </si>
  <si>
    <t>무인교통단속카메라 등록 여부 검토 및 표준데이터제공기관 확인 및 중복 여부 확인</t>
    <phoneticPr fontId="8" type="noConversion"/>
  </si>
  <si>
    <t>소방용수시설 등록여부 확인</t>
    <phoneticPr fontId="8" type="noConversion"/>
  </si>
  <si>
    <t>신호등 등록여부 확인</t>
    <phoneticPr fontId="8" type="noConversion"/>
  </si>
  <si>
    <t>공연행사정보, 재활용센터, 평생학습강좌 등록여부 확인</t>
    <phoneticPr fontId="8" type="noConversion"/>
  </si>
  <si>
    <t>시티투어정보 등록여부 확인</t>
    <phoneticPr fontId="8" type="noConversion"/>
  </si>
  <si>
    <t>주정차금지(지정)구역 등록여부 확인</t>
    <phoneticPr fontId="8" type="noConversion"/>
  </si>
  <si>
    <t>소방용수시설 등록여부 확인</t>
    <phoneticPr fontId="8" type="noConversion"/>
  </si>
  <si>
    <t>무더위쉼터, 소규모공공시설위험지정정보, 자동차검사소, 재해위험지구, 지진해일 검토</t>
    <phoneticPr fontId="8" type="noConversion"/>
  </si>
  <si>
    <t>자동차검사소, 휴양림, 아동복지급식 등록여부 검토</t>
    <phoneticPr fontId="8" type="noConversion"/>
  </si>
  <si>
    <t>도로안전표지, 신호등 등록여부 검토</t>
    <phoneticPr fontId="8" type="noConversion"/>
  </si>
  <si>
    <t>야생동물구조센터정보, 자동차검사소, 재활용센터, 휴게소 등록여부 검토</t>
    <phoneticPr fontId="8" type="noConversion"/>
  </si>
  <si>
    <t>소방용수시설, 소방자동차전용구역, 소규모공공시설위험지정 등록여부 검토</t>
    <phoneticPr fontId="8" type="noConversion"/>
  </si>
  <si>
    <t>산하 지방 공공기관 통합본</t>
    <phoneticPr fontId="8" type="noConversion"/>
  </si>
  <si>
    <t>광주광역시 도시공사</t>
    <phoneticPr fontId="8" type="noConversion"/>
  </si>
  <si>
    <t>광주환경공단</t>
    <phoneticPr fontId="8" type="noConversion"/>
  </si>
  <si>
    <t>김대중컨벤션센터</t>
    <phoneticPr fontId="8" type="noConversion"/>
  </si>
  <si>
    <t>대구도시철도공사</t>
    <phoneticPr fontId="8" type="noConversion"/>
  </si>
  <si>
    <t>인천관광공사</t>
    <phoneticPr fontId="8" type="noConversion"/>
  </si>
  <si>
    <t>인천시설공단</t>
    <phoneticPr fontId="8" type="noConversion"/>
  </si>
  <si>
    <t>미추홀구시설관리공단</t>
    <phoneticPr fontId="8" type="noConversion"/>
  </si>
  <si>
    <t>부산도시공사</t>
    <phoneticPr fontId="8" type="noConversion"/>
  </si>
  <si>
    <t>서울교통공사</t>
    <phoneticPr fontId="8" type="noConversion"/>
  </si>
  <si>
    <t>세종시설관리공단</t>
    <phoneticPr fontId="8" type="noConversion"/>
  </si>
  <si>
    <t>광주광역시도시철도공사</t>
    <phoneticPr fontId="8" type="noConversion"/>
  </si>
  <si>
    <t>공연행사 데이터 확인 및 철도3종데이터 등록됨</t>
    <phoneticPr fontId="8" type="noConversion"/>
  </si>
  <si>
    <t>중앙행정기관</t>
    <phoneticPr fontId="8" type="noConversion"/>
  </si>
  <si>
    <t>평생학습강좌</t>
  </si>
  <si>
    <t>휴양림</t>
  </si>
  <si>
    <t>주정차금지(지정)구역</t>
  </si>
  <si>
    <t>가로수길</t>
  </si>
  <si>
    <t>치매센터</t>
  </si>
  <si>
    <t>자동차검사소</t>
  </si>
  <si>
    <t>박물관미술관</t>
  </si>
  <si>
    <t>공공시설개방</t>
  </si>
  <si>
    <t>관광안내소</t>
  </si>
  <si>
    <t>도서관</t>
  </si>
  <si>
    <t>공연행사</t>
  </si>
  <si>
    <t>어린이보호구역</t>
  </si>
  <si>
    <t>도시공원</t>
  </si>
  <si>
    <t>소규모공공시설위험지정</t>
  </si>
  <si>
    <t>전동휠체어급속충전기</t>
  </si>
  <si>
    <t>노인장애인보호구역</t>
  </si>
  <si>
    <t>아동복지급식</t>
  </si>
  <si>
    <t>푸드트럭허가구역</t>
  </si>
  <si>
    <t>자동차정비업체</t>
  </si>
  <si>
    <t>종량제봉투가격</t>
  </si>
  <si>
    <t>마을기업</t>
  </si>
  <si>
    <t>금연구역</t>
  </si>
  <si>
    <t>주차장</t>
  </si>
  <si>
    <t>보안등</t>
  </si>
  <si>
    <t>교통약자이동지원센터</t>
  </si>
  <si>
    <t>시티투어</t>
  </si>
  <si>
    <t>음식물쓰레기납부필증가격</t>
  </si>
  <si>
    <t>렌터카업체</t>
  </si>
  <si>
    <t>지역특화거리</t>
  </si>
  <si>
    <t>자전거대여소</t>
  </si>
  <si>
    <t>길관광</t>
  </si>
  <si>
    <t>민방위대피시설</t>
  </si>
  <si>
    <t>가변전광표지판</t>
  </si>
  <si>
    <t>일방통행도로</t>
  </si>
  <si>
    <t>건강증진센터</t>
  </si>
  <si>
    <t>재활용센터</t>
  </si>
  <si>
    <t>향토문화유적</t>
  </si>
  <si>
    <t>관광지</t>
  </si>
  <si>
    <t>농기계임대</t>
  </si>
  <si>
    <t>무료급식소</t>
  </si>
  <si>
    <t>문화축제</t>
  </si>
  <si>
    <t>스마트가로등</t>
  </si>
  <si>
    <t>횡단보도</t>
  </si>
  <si>
    <t>도로안전표지</t>
  </si>
  <si>
    <t>육교</t>
  </si>
  <si>
    <t>보행자전용도로</t>
  </si>
  <si>
    <t>로컬푸드인증</t>
  </si>
  <si>
    <t>여성안심택배함</t>
  </si>
  <si>
    <t>버스전용차로</t>
  </si>
  <si>
    <t>견인차량보관소</t>
  </si>
  <si>
    <t>경로우대지정업소</t>
  </si>
  <si>
    <t>소방용수시설</t>
  </si>
  <si>
    <t>야생동물구조센터</t>
  </si>
  <si>
    <t>여성안심지킴이집</t>
  </si>
  <si>
    <t>거주자우선주차</t>
  </si>
  <si>
    <t>보행자우선도로</t>
  </si>
  <si>
    <t>기관명</t>
    <phoneticPr fontId="8" type="noConversion"/>
  </si>
  <si>
    <t>데이터셋</t>
    <phoneticPr fontId="8" type="noConversion"/>
  </si>
  <si>
    <t>개수</t>
    <phoneticPr fontId="8" type="noConversion"/>
  </si>
  <si>
    <t>총합</t>
    <phoneticPr fontId="8" type="noConversion"/>
  </si>
  <si>
    <t>분기</t>
    <phoneticPr fontId="14" type="noConversion"/>
  </si>
  <si>
    <t>기관별 소유갯수</t>
    <phoneticPr fontId="14" type="noConversion"/>
  </si>
  <si>
    <t>소방용수시설</t>
    <phoneticPr fontId="14" type="noConversion"/>
  </si>
  <si>
    <t>소규모공공시설위험지정</t>
    <phoneticPr fontId="14" type="noConversion"/>
  </si>
  <si>
    <t>대중교통환승센터</t>
    <phoneticPr fontId="14" type="noConversion"/>
  </si>
  <si>
    <t>가변전광표지판</t>
    <phoneticPr fontId="14" type="noConversion"/>
  </si>
  <si>
    <t>여성안심택배함</t>
    <phoneticPr fontId="14" type="noConversion"/>
  </si>
  <si>
    <t>전동휠체어급속충전기</t>
    <phoneticPr fontId="14" type="noConversion"/>
  </si>
  <si>
    <t>노인장애인보호구역</t>
    <phoneticPr fontId="14" type="noConversion"/>
  </si>
  <si>
    <t>경로우대지정업소</t>
    <phoneticPr fontId="14" type="noConversion"/>
  </si>
  <si>
    <t>아동복지급식</t>
    <phoneticPr fontId="14" type="noConversion"/>
  </si>
  <si>
    <t>푸드트럭허가구역</t>
    <phoneticPr fontId="14" type="noConversion"/>
  </si>
  <si>
    <t>교통약자이동지원센터</t>
    <phoneticPr fontId="14" type="noConversion"/>
  </si>
  <si>
    <t>스마트가로등</t>
    <phoneticPr fontId="14" type="noConversion"/>
  </si>
  <si>
    <t>자동차정비업체</t>
    <phoneticPr fontId="14" type="noConversion"/>
  </si>
  <si>
    <t>보행자우선도로</t>
    <phoneticPr fontId="14" type="noConversion"/>
  </si>
  <si>
    <t>횡단보도</t>
    <phoneticPr fontId="14" type="noConversion"/>
  </si>
  <si>
    <t>무인교통단속카메라</t>
    <phoneticPr fontId="14" type="noConversion"/>
  </si>
  <si>
    <t>일방통행도로</t>
    <phoneticPr fontId="14" type="noConversion"/>
  </si>
  <si>
    <t>신호등</t>
    <phoneticPr fontId="14" type="noConversion"/>
  </si>
  <si>
    <t>버스전용차로</t>
    <phoneticPr fontId="14" type="noConversion"/>
  </si>
  <si>
    <t>도로안전표지</t>
    <phoneticPr fontId="14" type="noConversion"/>
  </si>
  <si>
    <t>시티투어</t>
    <phoneticPr fontId="14" type="noConversion"/>
  </si>
  <si>
    <t>야생동물구조센터</t>
    <phoneticPr fontId="14" type="noConversion"/>
  </si>
  <si>
    <t>종량제봉투가격</t>
    <phoneticPr fontId="14" type="noConversion"/>
  </si>
  <si>
    <t>음식물쓰레기납부필증가격</t>
    <phoneticPr fontId="14" type="noConversion"/>
  </si>
  <si>
    <t>렌터카업체</t>
    <phoneticPr fontId="14" type="noConversion"/>
  </si>
  <si>
    <t>육교</t>
    <phoneticPr fontId="14" type="noConversion"/>
  </si>
  <si>
    <t>보행자전용도로</t>
    <phoneticPr fontId="14" type="noConversion"/>
  </si>
  <si>
    <t>향토문화유적</t>
    <phoneticPr fontId="14" type="noConversion"/>
  </si>
  <si>
    <t>가로수길</t>
    <phoneticPr fontId="14" type="noConversion"/>
  </si>
  <si>
    <t>관광지</t>
    <phoneticPr fontId="14" type="noConversion"/>
  </si>
  <si>
    <t>치매센터</t>
    <phoneticPr fontId="14" type="noConversion"/>
  </si>
  <si>
    <t>건강증진센터</t>
    <phoneticPr fontId="14" type="noConversion"/>
  </si>
  <si>
    <t>재활용센터</t>
    <phoneticPr fontId="14" type="noConversion"/>
  </si>
  <si>
    <t>자동차검사소</t>
    <phoneticPr fontId="14" type="noConversion"/>
  </si>
  <si>
    <t>거주자우선주차</t>
    <phoneticPr fontId="14" type="noConversion"/>
  </si>
  <si>
    <t>민방위대피시설</t>
    <phoneticPr fontId="14" type="noConversion"/>
  </si>
  <si>
    <t>마을기업</t>
    <phoneticPr fontId="14" type="noConversion"/>
  </si>
  <si>
    <t>농기계임대</t>
    <phoneticPr fontId="14" type="noConversion"/>
  </si>
  <si>
    <t>박물관미술관</t>
    <phoneticPr fontId="14" type="noConversion"/>
  </si>
  <si>
    <t>지역특화거리</t>
    <phoneticPr fontId="14" type="noConversion"/>
  </si>
  <si>
    <t>길관광</t>
    <phoneticPr fontId="14" type="noConversion"/>
  </si>
  <si>
    <t>보안등</t>
    <phoneticPr fontId="14" type="noConversion"/>
  </si>
  <si>
    <t>자전거대여소</t>
    <phoneticPr fontId="14" type="noConversion"/>
  </si>
  <si>
    <t>금연구역</t>
    <phoneticPr fontId="14" type="noConversion"/>
  </si>
  <si>
    <t>공공시설개방</t>
    <phoneticPr fontId="14" type="noConversion"/>
  </si>
  <si>
    <t>관광안내소</t>
    <phoneticPr fontId="14" type="noConversion"/>
  </si>
  <si>
    <t>휴양림</t>
    <phoneticPr fontId="14" type="noConversion"/>
  </si>
  <si>
    <t>평생학습강좌</t>
    <phoneticPr fontId="14" type="noConversion"/>
  </si>
  <si>
    <t>도서관</t>
    <phoneticPr fontId="14" type="noConversion"/>
  </si>
  <si>
    <t>공연행사</t>
    <phoneticPr fontId="14" type="noConversion"/>
  </si>
  <si>
    <t>문화축제</t>
    <phoneticPr fontId="14" type="noConversion"/>
  </si>
  <si>
    <t>도시공원</t>
    <phoneticPr fontId="14" type="noConversion"/>
  </si>
  <si>
    <t>기관명  ＼  표준데이터셋</t>
    <phoneticPr fontId="14" type="noConversion"/>
  </si>
  <si>
    <t>기관코드</t>
    <phoneticPr fontId="14" type="noConversion"/>
  </si>
  <si>
    <t>반기</t>
    <phoneticPr fontId="14" type="noConversion"/>
  </si>
  <si>
    <t>연간</t>
    <phoneticPr fontId="14" type="noConversion"/>
  </si>
  <si>
    <t>갱신 기준 날짜</t>
    <phoneticPr fontId="14" type="noConversion"/>
  </si>
  <si>
    <t>갱신 날짜</t>
    <phoneticPr fontId="14" type="noConversion"/>
  </si>
  <si>
    <t>갱신주기</t>
    <phoneticPr fontId="14" type="noConversion"/>
  </si>
  <si>
    <t>기준 날짜</t>
    <phoneticPr fontId="14" type="noConversion"/>
  </si>
  <si>
    <t>&lt;- 날짜 갱신 확인 (수기)</t>
    <phoneticPr fontId="14" type="noConversion"/>
  </si>
  <si>
    <t>국토교통부</t>
    <phoneticPr fontId="8" type="noConversion"/>
  </si>
  <si>
    <t>국토교통부</t>
    <phoneticPr fontId="8" type="noConversion"/>
  </si>
  <si>
    <t>한국도로공사</t>
    <phoneticPr fontId="8" type="noConversion"/>
  </si>
  <si>
    <t>한국도로공사</t>
    <phoneticPr fontId="8" type="noConversion"/>
  </si>
  <si>
    <t>지방자치단체 제출</t>
    <phoneticPr fontId="8" type="noConversion"/>
  </si>
  <si>
    <t>지방 경찰청 제출</t>
    <phoneticPr fontId="8" type="noConversion"/>
  </si>
  <si>
    <t>삭제 사유</t>
    <phoneticPr fontId="8" type="noConversion"/>
  </si>
  <si>
    <t>한국도로공사 제출</t>
    <phoneticPr fontId="8" type="noConversion"/>
  </si>
  <si>
    <t>관리청 별도 제출 불필요</t>
    <phoneticPr fontId="8" type="noConversion"/>
  </si>
  <si>
    <t>국토부, 지방자치단체 제출</t>
    <phoneticPr fontId="8" type="noConversion"/>
  </si>
  <si>
    <t>제공시스템이 다름</t>
    <phoneticPr fontId="8" type="noConversion"/>
  </si>
  <si>
    <t>API로 개방중</t>
    <phoneticPr fontId="14" type="noConversion"/>
  </si>
  <si>
    <t>등록완료</t>
    <phoneticPr fontId="14" type="noConversion"/>
  </si>
  <si>
    <t>API</t>
    <phoneticPr fontId="8" type="noConversion"/>
  </si>
  <si>
    <t>파일</t>
    <phoneticPr fontId="8" type="noConversion"/>
  </si>
  <si>
    <t>재해위험지구</t>
    <phoneticPr fontId="8" type="noConversion"/>
  </si>
  <si>
    <t>행정안전부</t>
    <phoneticPr fontId="8" type="noConversion"/>
  </si>
  <si>
    <t>무더위쉼터</t>
    <phoneticPr fontId="8" type="noConversion"/>
  </si>
  <si>
    <t>농수축산물도매시장경락가격</t>
    <phoneticPr fontId="8" type="noConversion"/>
  </si>
  <si>
    <t>농림수산식품 교육문화정보원</t>
    <phoneticPr fontId="8" type="noConversion"/>
  </si>
  <si>
    <t>농수축산물조사가격</t>
    <phoneticPr fontId="8" type="noConversion"/>
  </si>
  <si>
    <t>동물보호센터정보</t>
    <phoneticPr fontId="8" type="noConversion"/>
  </si>
  <si>
    <t>농림축산 검역본부</t>
    <phoneticPr fontId="8" type="noConversion"/>
  </si>
  <si>
    <t>사회적기업</t>
    <phoneticPr fontId="8" type="noConversion"/>
  </si>
  <si>
    <t>한국사회적기업 진흥원</t>
    <phoneticPr fontId="8" type="noConversion"/>
  </si>
  <si>
    <t>전국주요상권현황</t>
    <phoneticPr fontId="8" type="noConversion"/>
  </si>
  <si>
    <t>소상공인시장 진흥공단</t>
    <phoneticPr fontId="8" type="noConversion"/>
  </si>
  <si>
    <t>어린이집</t>
    <phoneticPr fontId="8" type="noConversion"/>
  </si>
  <si>
    <t>한국사회보장정보원</t>
    <phoneticPr fontId="8" type="noConversion"/>
  </si>
  <si>
    <t>전통시장</t>
    <phoneticPr fontId="8" type="noConversion"/>
  </si>
  <si>
    <t>소상공인시장진흥공단</t>
    <phoneticPr fontId="8" type="noConversion"/>
  </si>
  <si>
    <t>자동심장충격기</t>
    <phoneticPr fontId="8" type="noConversion"/>
  </si>
  <si>
    <t>국립중앙의료원</t>
    <phoneticPr fontId="8" type="noConversion"/>
  </si>
  <si>
    <t>초·중등학교위치</t>
    <phoneticPr fontId="8" type="noConversion"/>
  </si>
  <si>
    <t>한국교원대학교</t>
    <phoneticPr fontId="8" type="noConversion"/>
  </si>
  <si>
    <t>초등학교통학구역</t>
    <phoneticPr fontId="8" type="noConversion"/>
  </si>
  <si>
    <t>중학교학교군</t>
    <phoneticPr fontId="8" type="noConversion"/>
  </si>
  <si>
    <t>고등학교학교군</t>
    <phoneticPr fontId="8" type="noConversion"/>
  </si>
  <si>
    <t>고등학교비평준화지역</t>
    <phoneticPr fontId="8" type="noConversion"/>
  </si>
  <si>
    <t>교육행정구역</t>
    <phoneticPr fontId="8" type="noConversion"/>
  </si>
  <si>
    <t>학교학구도연계정보</t>
    <phoneticPr fontId="8" type="noConversion"/>
  </si>
  <si>
    <t>순번</t>
    <phoneticPr fontId="14" type="noConversion"/>
  </si>
  <si>
    <t>표준데이터셋</t>
    <phoneticPr fontId="14" type="noConversion"/>
  </si>
  <si>
    <t>보유기관</t>
    <phoneticPr fontId="14" type="noConversion"/>
  </si>
  <si>
    <t>등록기관</t>
    <phoneticPr fontId="14" type="noConversion"/>
  </si>
  <si>
    <t>등록율(%)</t>
    <phoneticPr fontId="14" type="noConversion"/>
  </si>
  <si>
    <t>9월등록율(%)</t>
    <phoneticPr fontId="14" type="noConversion"/>
  </si>
  <si>
    <t>보유기관증감</t>
    <phoneticPr fontId="14" type="noConversion"/>
  </si>
  <si>
    <t>등록기관증감</t>
    <phoneticPr fontId="14" type="noConversion"/>
  </si>
  <si>
    <t>증감(%p)</t>
    <phoneticPr fontId="14" type="noConversion"/>
  </si>
  <si>
    <t>민박/펜션업소</t>
  </si>
  <si>
    <t>농어촌체험휴양마을</t>
    <phoneticPr fontId="14" type="noConversion"/>
  </si>
  <si>
    <t>법정구역(읍면동)정보</t>
  </si>
  <si>
    <t>연속지적도형정보</t>
  </si>
  <si>
    <t>GIS건물통합정보</t>
  </si>
  <si>
    <t>건축인허가기본정보</t>
  </si>
  <si>
    <t>건축인허가전유공용면적</t>
  </si>
  <si>
    <t>건축인허가대지위치</t>
  </si>
  <si>
    <t>건축인허가주택유형</t>
  </si>
  <si>
    <t>전국주요상권현황</t>
  </si>
  <si>
    <t>농수축산물도매시장경락가격</t>
  </si>
  <si>
    <t>농수축산물조사가격</t>
  </si>
  <si>
    <t>도시철도노선정보</t>
  </si>
  <si>
    <t>도시철도역사정보</t>
  </si>
  <si>
    <t>도시철도운행정보</t>
  </si>
  <si>
    <t>보안등정보</t>
  </si>
  <si>
    <t>길관광정보</t>
  </si>
  <si>
    <t>박물관미술관정보</t>
  </si>
  <si>
    <t>먹는물공동시설(약수터)</t>
    <phoneticPr fontId="14" type="noConversion"/>
  </si>
  <si>
    <t>농기계임대정보</t>
  </si>
  <si>
    <t>소규모공공시설위험지정정보</t>
  </si>
  <si>
    <t>거주자우선주차정보</t>
  </si>
  <si>
    <t>관광지정보</t>
  </si>
  <si>
    <t>낚시터정보</t>
  </si>
  <si>
    <t>가로수길정보</t>
  </si>
  <si>
    <t>개별공시지가정보</t>
  </si>
  <si>
    <t>개별주택가격정보</t>
  </si>
  <si>
    <t>초·중등학교위치</t>
  </si>
  <si>
    <t>초등학교통학구역</t>
  </si>
  <si>
    <t>중학교학교군</t>
  </si>
  <si>
    <t>고등학교학교군</t>
  </si>
  <si>
    <t>고등학교비평준화지역</t>
  </si>
  <si>
    <t>교육행정구역</t>
  </si>
  <si>
    <t>학교학구도연계정보</t>
  </si>
  <si>
    <t>육교정보</t>
  </si>
  <si>
    <t>도로터널정보</t>
  </si>
  <si>
    <t>휴게소정보</t>
  </si>
  <si>
    <t>렌터카업체정보</t>
  </si>
  <si>
    <t>지반침하정보</t>
  </si>
  <si>
    <t>지진·해일대피소</t>
  </si>
  <si>
    <t>생활쓰레기배출정보</t>
  </si>
  <si>
    <t>음식물쓰레기납부필증가격정보</t>
  </si>
  <si>
    <t>동물보호센터정보</t>
  </si>
  <si>
    <t>로컬푸드인증정보</t>
  </si>
  <si>
    <t>시티투어정보</t>
  </si>
  <si>
    <t>버스전용차로정보</t>
  </si>
  <si>
    <t>신호등</t>
  </si>
  <si>
    <t>교통약자이동지원센터정보</t>
  </si>
  <si>
    <t>아동복지급식정보</t>
  </si>
  <si>
    <t>노인·장애인보호구역</t>
    <phoneticPr fontId="14" type="noConversion"/>
  </si>
  <si>
    <t>소방자동차전용구역</t>
    <phoneticPr fontId="14" type="noConversion"/>
  </si>
  <si>
    <t>대중교통환승센터</t>
  </si>
  <si>
    <t>총괄(62종)</t>
    <phoneticPr fontId="14" type="noConversion"/>
  </si>
  <si>
    <t>12월보유기관</t>
  </si>
  <si>
    <t>12월등록기관</t>
  </si>
  <si>
    <t>제출 보유수 0</t>
    <phoneticPr fontId="8" type="noConversion"/>
  </si>
  <si>
    <r>
      <t>민박</t>
    </r>
    <r>
      <rPr>
        <sz val="10"/>
        <color theme="0"/>
        <rFont val="휴먼명조"/>
        <family val="3"/>
        <charset val="129"/>
      </rPr>
      <t>·</t>
    </r>
    <r>
      <rPr>
        <sz val="10"/>
        <color theme="0"/>
        <rFont val="맑은 고딕"/>
        <family val="3"/>
        <charset val="129"/>
        <scheme val="minor"/>
      </rPr>
      <t>펜션업소</t>
    </r>
    <phoneticPr fontId="8" type="noConversion"/>
  </si>
  <si>
    <t>야영(캠핑)장</t>
    <phoneticPr fontId="8" type="noConversion"/>
  </si>
  <si>
    <t>기관명</t>
    <phoneticPr fontId="8" type="noConversion"/>
  </si>
  <si>
    <t>2019-08-23</t>
  </si>
  <si>
    <t>2019-01-31</t>
  </si>
  <si>
    <t>2021-05-19</t>
  </si>
  <si>
    <t>2018-11-26</t>
  </si>
  <si>
    <t>2020-02-16</t>
  </si>
  <si>
    <t>2020-03-29</t>
  </si>
  <si>
    <t>2018-08-31</t>
  </si>
  <si>
    <t>2021-07-24</t>
  </si>
  <si>
    <t>2020-04-12</t>
  </si>
  <si>
    <t>2020-02-06</t>
  </si>
  <si>
    <t>2021-09-10</t>
  </si>
  <si>
    <t>2021-03-27</t>
  </si>
  <si>
    <t>2020-02-13</t>
  </si>
  <si>
    <t>2021-04-10</t>
  </si>
  <si>
    <t>2021-03-04</t>
  </si>
  <si>
    <t>2021-01-23</t>
  </si>
  <si>
    <t>2021-07-18</t>
  </si>
  <si>
    <t>2021-09-19</t>
  </si>
  <si>
    <t>2021-07-25</t>
  </si>
  <si>
    <t>2019-08-24</t>
  </si>
  <si>
    <t>2020-05-24</t>
  </si>
  <si>
    <t>2019-07-31</t>
  </si>
  <si>
    <t>2021-02-14</t>
  </si>
  <si>
    <t>2021-09-25</t>
  </si>
  <si>
    <t>2019-06-26</t>
  </si>
  <si>
    <t>2019-12-29</t>
  </si>
  <si>
    <t>2021-06-06</t>
  </si>
  <si>
    <t>2021-04-04</t>
  </si>
  <si>
    <t>2020-11-15</t>
  </si>
  <si>
    <t>2021-08-15</t>
  </si>
  <si>
    <t>2021-08-28</t>
  </si>
  <si>
    <t>2021-03-20</t>
  </si>
  <si>
    <t>2020-12-25</t>
  </si>
  <si>
    <t>2021-03-06</t>
  </si>
  <si>
    <t>렌터카 반려 데이터 중복 검토</t>
    <phoneticPr fontId="8" type="noConversion"/>
  </si>
  <si>
    <t>점검 필요</t>
    <phoneticPr fontId="8" type="noConversion"/>
  </si>
  <si>
    <t>점검 필요</t>
    <phoneticPr fontId="8" type="noConversion"/>
  </si>
  <si>
    <t>점검 필요</t>
    <phoneticPr fontId="8" type="noConversion"/>
  </si>
  <si>
    <t>점검 필요</t>
    <phoneticPr fontId="8" type="noConversion"/>
  </si>
  <si>
    <t>점검 필요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</si>
</sst>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.0%"/>
    <numFmt numFmtId="177" formatCode="0.0"/>
  </numFmts>
  <fonts count="2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006100"/>
      <name val="맑은 고딕"/>
      <family val="3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2"/>
      <scheme val="minor"/>
    </font>
    <font>
      <sz val="10"/>
      <color theme="0"/>
      <name val="휴먼명조"/>
      <family val="3"/>
      <charset val="129"/>
    </font>
    <font>
      <sz val="10"/>
      <color theme="0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DB4455"/>
        <bgColor indexed="64"/>
      </patternFill>
    </fill>
    <fill>
      <patternFill patternType="solid">
        <fgColor rgb="FF32A753"/>
        <bgColor indexed="64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4" borderId="1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2" fillId="10" borderId="15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7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</cellStyleXfs>
  <cellXfs count="147">
    <xf numFmtId="0" fontId="0" fillId="0" borderId="0" xfId="0"/>
    <xf numFmtId="0" fontId="0" fillId="0" borderId="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/>
    <xf numFmtId="0" fontId="7" fillId="5" borderId="0" xfId="4" applyBorder="1" applyAlignment="1">
      <alignment horizontal="center" vertical="center"/>
    </xf>
    <xf numFmtId="0" fontId="7" fillId="5" borderId="2" xfId="4" applyBorder="1" applyAlignment="1">
      <alignment horizontal="center" vertical="center"/>
    </xf>
    <xf numFmtId="0" fontId="7" fillId="6" borderId="2" xfId="5" applyBorder="1" applyAlignment="1">
      <alignment horizontal="center" vertical="center"/>
    </xf>
    <xf numFmtId="0" fontId="7" fillId="5" borderId="4" xfId="4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/>
    <xf numFmtId="176" fontId="0" fillId="0" borderId="8" xfId="0" applyNumberFormat="1" applyBorder="1"/>
    <xf numFmtId="0" fontId="3" fillId="0" borderId="0" xfId="6" applyAlignment="1">
      <alignment horizontal="center" vertical="center"/>
    </xf>
    <xf numFmtId="0" fontId="6" fillId="3" borderId="13" xfId="3" applyFill="1" applyBorder="1" applyAlignment="1">
      <alignment horizontal="center" vertical="center"/>
    </xf>
    <xf numFmtId="0" fontId="7" fillId="5" borderId="3" xfId="4" applyBorder="1" applyAlignment="1">
      <alignment horizontal="center" vertical="center"/>
    </xf>
    <xf numFmtId="0" fontId="7" fillId="6" borderId="3" xfId="5" applyBorder="1" applyAlignment="1">
      <alignment horizontal="center" vertical="center"/>
    </xf>
    <xf numFmtId="176" fontId="0" fillId="0" borderId="0" xfId="0" applyNumberFormat="1" applyFill="1" applyBorder="1"/>
    <xf numFmtId="176" fontId="0" fillId="8" borderId="0" xfId="0" applyNumberFormat="1" applyFill="1" applyBorder="1"/>
    <xf numFmtId="176" fontId="0" fillId="7" borderId="0" xfId="0" applyNumberFormat="1" applyFill="1" applyBorder="1"/>
    <xf numFmtId="14" fontId="0" fillId="0" borderId="0" xfId="0" applyNumberFormat="1" applyAlignment="1">
      <alignment vertical="center"/>
    </xf>
    <xf numFmtId="0" fontId="0" fillId="0" borderId="14" xfId="0" applyBorder="1"/>
    <xf numFmtId="0" fontId="5" fillId="3" borderId="14" xfId="2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5" fillId="3" borderId="0" xfId="2" applyAlignment="1"/>
    <xf numFmtId="0" fontId="10" fillId="2" borderId="8" xfId="1" applyFont="1" applyBorder="1" applyAlignment="1">
      <alignment horizontal="center" vertical="center"/>
    </xf>
    <xf numFmtId="0" fontId="7" fillId="12" borderId="0" xfId="12" applyAlignment="1"/>
    <xf numFmtId="0" fontId="13" fillId="14" borderId="16" xfId="14" applyFont="1" applyFill="1" applyBorder="1" applyAlignment="1">
      <alignment horizontal="center" vertical="center"/>
    </xf>
    <xf numFmtId="0" fontId="13" fillId="14" borderId="3" xfId="14" applyFont="1" applyFill="1" applyBorder="1" applyAlignment="1">
      <alignment horizontal="center" vertical="center"/>
    </xf>
    <xf numFmtId="0" fontId="13" fillId="14" borderId="2" xfId="14" applyFont="1" applyFill="1" applyBorder="1" applyAlignment="1">
      <alignment horizontal="center" vertical="center"/>
    </xf>
    <xf numFmtId="0" fontId="13" fillId="14" borderId="17" xfId="14" applyFont="1" applyFill="1" applyBorder="1" applyAlignment="1">
      <alignment horizontal="center" vertical="center"/>
    </xf>
    <xf numFmtId="0" fontId="12" fillId="10" borderId="0" xfId="10" applyBorder="1" applyAlignment="1">
      <alignment vertical="center"/>
    </xf>
    <xf numFmtId="0" fontId="12" fillId="10" borderId="0" xfId="10" applyBorder="1" applyAlignment="1"/>
    <xf numFmtId="14" fontId="0" fillId="0" borderId="0" xfId="0" applyNumberFormat="1"/>
    <xf numFmtId="0" fontId="4" fillId="2" borderId="0" xfId="1" applyAlignment="1"/>
    <xf numFmtId="0" fontId="2" fillId="0" borderId="0" xfId="14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0" xfId="0" applyAlignment="1">
      <alignment wrapText="1"/>
    </xf>
    <xf numFmtId="0" fontId="2" fillId="13" borderId="0" xfId="13">
      <alignment vertical="center"/>
    </xf>
    <xf numFmtId="0" fontId="2" fillId="11" borderId="0" xfId="11" applyAlignment="1"/>
    <xf numFmtId="0" fontId="11" fillId="9" borderId="0" xfId="9" applyAlignment="1">
      <alignment horizontal="center" vertical="center"/>
    </xf>
    <xf numFmtId="0" fontId="4" fillId="2" borderId="0" xfId="1" applyAlignment="1">
      <alignment vertical="center"/>
    </xf>
    <xf numFmtId="0" fontId="7" fillId="15" borderId="4" xfId="15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4" fillId="2" borderId="8" xfId="1" applyBorder="1" applyAlignment="1"/>
    <xf numFmtId="0" fontId="5" fillId="3" borderId="8" xfId="2" applyBorder="1" applyAlignment="1"/>
    <xf numFmtId="0" fontId="0" fillId="16" borderId="8" xfId="0" applyFill="1" applyBorder="1" applyAlignment="1">
      <alignment horizontal="center" vertical="center"/>
    </xf>
    <xf numFmtId="14" fontId="0" fillId="16" borderId="18" xfId="0" applyNumberFormat="1" applyFill="1" applyBorder="1" applyAlignment="1">
      <alignment horizontal="center" vertical="center"/>
    </xf>
    <xf numFmtId="14" fontId="17" fillId="16" borderId="18" xfId="0" applyNumberFormat="1" applyFont="1" applyFill="1" applyBorder="1" applyAlignment="1">
      <alignment horizontal="center" vertical="center"/>
    </xf>
    <xf numFmtId="14" fontId="18" fillId="16" borderId="18" xfId="0" applyNumberFormat="1" applyFont="1" applyFill="1" applyBorder="1" applyAlignment="1">
      <alignment horizontal="center" vertical="center"/>
    </xf>
    <xf numFmtId="14" fontId="19" fillId="16" borderId="18" xfId="0" applyNumberFormat="1" applyFont="1" applyFill="1" applyBorder="1" applyAlignment="1">
      <alignment horizontal="center" vertical="center"/>
    </xf>
    <xf numFmtId="14" fontId="0" fillId="17" borderId="19" xfId="0" applyNumberFormat="1" applyFill="1" applyBorder="1" applyAlignment="1">
      <alignment horizontal="center" vertical="center"/>
    </xf>
    <xf numFmtId="14" fontId="0" fillId="17" borderId="20" xfId="0" applyNumberFormat="1" applyFill="1" applyBorder="1" applyAlignment="1">
      <alignment horizontal="center" vertical="center"/>
    </xf>
    <xf numFmtId="14" fontId="0" fillId="0" borderId="0" xfId="0" applyNumberFormat="1" applyFill="1" applyAlignment="1">
      <alignment vertical="center"/>
    </xf>
    <xf numFmtId="14" fontId="0" fillId="18" borderId="0" xfId="0" applyNumberFormat="1" applyFill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22" xfId="0" applyBorder="1"/>
    <xf numFmtId="0" fontId="0" fillId="0" borderId="21" xfId="0" applyBorder="1"/>
    <xf numFmtId="0" fontId="0" fillId="0" borderId="23" xfId="0" applyBorder="1"/>
    <xf numFmtId="0" fontId="7" fillId="6" borderId="24" xfId="5" applyBorder="1" applyAlignment="1">
      <alignment horizontal="center" vertical="center"/>
    </xf>
    <xf numFmtId="0" fontId="7" fillId="5" borderId="19" xfId="4" applyBorder="1" applyAlignment="1">
      <alignment horizontal="center" vertical="center"/>
    </xf>
    <xf numFmtId="0" fontId="7" fillId="6" borderId="20" xfId="5" applyBorder="1" applyAlignment="1">
      <alignment horizontal="center" vertical="center"/>
    </xf>
    <xf numFmtId="0" fontId="0" fillId="0" borderId="0" xfId="0" applyFill="1" applyBorder="1"/>
    <xf numFmtId="0" fontId="1" fillId="0" borderId="0" xfId="16">
      <alignment vertical="center"/>
    </xf>
    <xf numFmtId="0" fontId="1" fillId="0" borderId="0" xfId="16" applyFill="1">
      <alignment vertical="center"/>
    </xf>
    <xf numFmtId="14" fontId="1" fillId="0" borderId="0" xfId="16" applyNumberFormat="1" applyFill="1">
      <alignment vertical="center"/>
    </xf>
    <xf numFmtId="14" fontId="1" fillId="18" borderId="0" xfId="16" applyNumberFormat="1" applyFill="1">
      <alignment vertical="center"/>
    </xf>
    <xf numFmtId="0" fontId="1" fillId="0" borderId="7" xfId="16" applyBorder="1" applyAlignment="1">
      <alignment vertical="center"/>
    </xf>
    <xf numFmtId="0" fontId="1" fillId="0" borderId="6" xfId="16" applyBorder="1" applyAlignment="1">
      <alignment vertical="center"/>
    </xf>
    <xf numFmtId="0" fontId="1" fillId="0" borderId="5" xfId="16" applyBorder="1" applyAlignment="1">
      <alignment vertical="center"/>
    </xf>
    <xf numFmtId="0" fontId="7" fillId="5" borderId="25" xfId="4" applyBorder="1" applyAlignment="1">
      <alignment horizontal="center" vertical="center"/>
    </xf>
    <xf numFmtId="0" fontId="1" fillId="0" borderId="26" xfId="16" applyBorder="1" applyAlignment="1">
      <alignment vertical="center"/>
    </xf>
    <xf numFmtId="0" fontId="1" fillId="0" borderId="27" xfId="16" applyBorder="1" applyAlignment="1">
      <alignment vertical="center"/>
    </xf>
    <xf numFmtId="0" fontId="1" fillId="0" borderId="28" xfId="16" applyBorder="1" applyAlignment="1">
      <alignment vertical="center"/>
    </xf>
    <xf numFmtId="0" fontId="7" fillId="5" borderId="29" xfId="4" applyBorder="1" applyAlignment="1">
      <alignment horizontal="left" vertical="center"/>
    </xf>
    <xf numFmtId="0" fontId="7" fillId="5" borderId="22" xfId="4" applyBorder="1" applyAlignment="1">
      <alignment horizontal="center" vertical="center"/>
    </xf>
    <xf numFmtId="0" fontId="1" fillId="0" borderId="30" xfId="16" applyBorder="1">
      <alignment vertical="center"/>
    </xf>
    <xf numFmtId="0" fontId="1" fillId="0" borderId="6" xfId="16" applyBorder="1">
      <alignment vertical="center"/>
    </xf>
    <xf numFmtId="0" fontId="1" fillId="0" borderId="7" xfId="16" applyBorder="1">
      <alignment vertical="center"/>
    </xf>
    <xf numFmtId="0" fontId="1" fillId="0" borderId="21" xfId="16" applyFill="1" applyBorder="1" applyAlignment="1">
      <alignment vertical="center"/>
    </xf>
    <xf numFmtId="0" fontId="20" fillId="0" borderId="0" xfId="16" applyFont="1" applyAlignment="1">
      <alignment horizontal="center" vertical="center"/>
    </xf>
    <xf numFmtId="14" fontId="1" fillId="0" borderId="31" xfId="16" applyNumberFormat="1" applyBorder="1">
      <alignment vertical="center"/>
    </xf>
    <xf numFmtId="0" fontId="1" fillId="0" borderId="23" xfId="16" applyBorder="1" applyAlignment="1">
      <alignment horizontal="center" vertical="center"/>
    </xf>
    <xf numFmtId="14" fontId="1" fillId="17" borderId="0" xfId="16" applyNumberFormat="1" applyFill="1" applyBorder="1" applyAlignment="1">
      <alignment horizontal="center" vertical="center"/>
    </xf>
    <xf numFmtId="14" fontId="1" fillId="17" borderId="20" xfId="16" applyNumberFormat="1" applyFill="1" applyBorder="1" applyAlignment="1">
      <alignment horizontal="center" vertical="center"/>
    </xf>
    <xf numFmtId="14" fontId="1" fillId="17" borderId="19" xfId="16" applyNumberFormat="1" applyFill="1" applyBorder="1" applyAlignment="1">
      <alignment horizontal="center" vertical="center"/>
    </xf>
    <xf numFmtId="14" fontId="17" fillId="16" borderId="18" xfId="16" applyNumberFormat="1" applyFont="1" applyFill="1" applyBorder="1" applyAlignment="1">
      <alignment horizontal="center" vertical="center"/>
    </xf>
    <xf numFmtId="14" fontId="18" fillId="16" borderId="18" xfId="16" applyNumberFormat="1" applyFont="1" applyFill="1" applyBorder="1" applyAlignment="1">
      <alignment horizontal="center" vertical="center"/>
    </xf>
    <xf numFmtId="14" fontId="1" fillId="16" borderId="18" xfId="16" applyNumberFormat="1" applyFill="1" applyBorder="1" applyAlignment="1">
      <alignment horizontal="center" vertical="center"/>
    </xf>
    <xf numFmtId="14" fontId="19" fillId="16" borderId="18" xfId="16" applyNumberFormat="1" applyFont="1" applyFill="1" applyBorder="1" applyAlignment="1">
      <alignment horizontal="center" vertical="center"/>
    </xf>
    <xf numFmtId="0" fontId="1" fillId="16" borderId="8" xfId="16" applyFill="1" applyBorder="1" applyAlignment="1">
      <alignment horizontal="center" vertical="center"/>
    </xf>
    <xf numFmtId="14" fontId="1" fillId="0" borderId="0" xfId="16" applyNumberFormat="1">
      <alignment vertical="center"/>
    </xf>
    <xf numFmtId="14" fontId="1" fillId="0" borderId="12" xfId="16" applyNumberFormat="1" applyBorder="1">
      <alignment vertical="center"/>
    </xf>
    <xf numFmtId="0" fontId="1" fillId="0" borderId="21" xfId="16" applyBorder="1" applyAlignment="1">
      <alignment horizontal="center" vertical="center"/>
    </xf>
    <xf numFmtId="0" fontId="1" fillId="0" borderId="22" xfId="16" applyBorder="1" applyAlignment="1">
      <alignment horizontal="center" vertical="center"/>
    </xf>
    <xf numFmtId="0" fontId="1" fillId="0" borderId="0" xfId="16" applyAlignment="1">
      <alignment horizontal="center" vertical="center"/>
    </xf>
    <xf numFmtId="14" fontId="1" fillId="19" borderId="18" xfId="16" applyNumberFormat="1" applyFill="1" applyBorder="1" applyAlignment="1">
      <alignment vertical="center"/>
    </xf>
    <xf numFmtId="0" fontId="1" fillId="19" borderId="8" xfId="16" applyFill="1" applyBorder="1" applyAlignment="1">
      <alignment horizontal="center" vertical="center"/>
    </xf>
    <xf numFmtId="14" fontId="1" fillId="0" borderId="8" xfId="16" applyNumberFormat="1" applyBorder="1" applyAlignment="1">
      <alignment horizontal="center" vertical="center"/>
    </xf>
    <xf numFmtId="14" fontId="5" fillId="3" borderId="0" xfId="2" applyNumberFormat="1" applyAlignment="1">
      <alignment vertical="center"/>
    </xf>
    <xf numFmtId="0" fontId="5" fillId="3" borderId="0" xfId="2" applyAlignment="1">
      <alignment horizontal="center"/>
    </xf>
    <xf numFmtId="0" fontId="13" fillId="0" borderId="32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1" fontId="0" fillId="0" borderId="37" xfId="18" applyNumberFormat="1" applyFont="1" applyBorder="1" applyAlignment="1">
      <alignment horizontal="center" vertical="center"/>
    </xf>
    <xf numFmtId="0" fontId="23" fillId="0" borderId="40" xfId="0" applyFont="1" applyBorder="1" applyAlignment="1">
      <alignment horizontal="center" wrapText="1"/>
    </xf>
    <xf numFmtId="0" fontId="23" fillId="0" borderId="39" xfId="0" applyFont="1" applyBorder="1" applyAlignment="1">
      <alignment horizontal="center" wrapText="1"/>
    </xf>
    <xf numFmtId="0" fontId="0" fillId="0" borderId="41" xfId="0" applyNumberForma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1" fontId="0" fillId="0" borderId="43" xfId="18" applyNumberFormat="1" applyFont="1" applyBorder="1" applyAlignment="1">
      <alignment horizontal="center" vertical="center"/>
    </xf>
    <xf numFmtId="0" fontId="23" fillId="0" borderId="44" xfId="0" applyFont="1" applyBorder="1" applyAlignment="1">
      <alignment horizontal="center" wrapText="1"/>
    </xf>
    <xf numFmtId="0" fontId="23" fillId="0" borderId="45" xfId="0" applyFont="1" applyBorder="1" applyAlignment="1">
      <alignment horizontal="center" wrapText="1"/>
    </xf>
    <xf numFmtId="0" fontId="0" fillId="0" borderId="46" xfId="0" applyNumberFormat="1" applyBorder="1" applyAlignment="1">
      <alignment horizontal="center" vertical="center"/>
    </xf>
    <xf numFmtId="41" fontId="0" fillId="0" borderId="49" xfId="17" applyFont="1" applyBorder="1" applyAlignment="1">
      <alignment horizontal="center" vertical="center"/>
    </xf>
    <xf numFmtId="41" fontId="0" fillId="0" borderId="19" xfId="17" applyFont="1" applyBorder="1" applyAlignment="1">
      <alignment horizontal="center" vertical="center"/>
    </xf>
    <xf numFmtId="177" fontId="0" fillId="0" borderId="50" xfId="0" applyNumberFormat="1" applyBorder="1" applyAlignment="1">
      <alignment horizontal="center" vertical="center"/>
    </xf>
    <xf numFmtId="41" fontId="0" fillId="0" borderId="51" xfId="17" applyFont="1" applyBorder="1" applyAlignment="1">
      <alignment horizontal="center" vertical="center"/>
    </xf>
    <xf numFmtId="177" fontId="0" fillId="0" borderId="18" xfId="0" applyNumberForma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2" borderId="9" xfId="1" applyBorder="1" applyAlignment="1">
      <alignment horizontal="center"/>
    </xf>
    <xf numFmtId="0" fontId="4" fillId="2" borderId="10" xfId="1" applyBorder="1" applyAlignment="1">
      <alignment horizontal="center"/>
    </xf>
    <xf numFmtId="0" fontId="5" fillId="3" borderId="11" xfId="2" applyBorder="1" applyAlignment="1">
      <alignment horizontal="center"/>
    </xf>
    <xf numFmtId="0" fontId="5" fillId="3" borderId="12" xfId="2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3" fillId="0" borderId="47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6" fillId="0" borderId="11" xfId="3" applyBorder="1" applyAlignment="1">
      <alignment horizontal="center" vertical="center"/>
    </xf>
    <xf numFmtId="0" fontId="6" fillId="0" borderId="0" xfId="3" applyAlignment="1">
      <alignment horizontal="center" vertical="center"/>
    </xf>
  </cellXfs>
  <cellStyles count="19">
    <cellStyle name="40% - 강조색3" xfId="11" builtinId="39"/>
    <cellStyle name="40% - 강조색5" xfId="13" builtinId="47"/>
    <cellStyle name="60% - 강조색5" xfId="5" builtinId="48"/>
    <cellStyle name="강조색1" xfId="15" builtinId="29"/>
    <cellStyle name="강조색2" xfId="4" builtinId="33"/>
    <cellStyle name="강조색5" xfId="12" builtinId="45"/>
    <cellStyle name="경고문" xfId="3" builtinId="11"/>
    <cellStyle name="나쁨" xfId="2" builtinId="27"/>
    <cellStyle name="메모 2" xfId="7"/>
    <cellStyle name="백분율" xfId="18" builtinId="5"/>
    <cellStyle name="보통" xfId="9" builtinId="28"/>
    <cellStyle name="셀 확인" xfId="10" builtinId="23"/>
    <cellStyle name="쉼표 [0]" xfId="17" builtinId="6"/>
    <cellStyle name="좋음" xfId="1" builtinId="26"/>
    <cellStyle name="표준" xfId="0" builtinId="0"/>
    <cellStyle name="표준 2" xfId="6"/>
    <cellStyle name="표준 2 2" xfId="14"/>
    <cellStyle name="표준 3" xfId="16"/>
    <cellStyle name="하이퍼링크 2" xfId="8"/>
  </cellStyles>
  <dxfs count="1">
    <dxf>
      <fill>
        <patternFill patternType="solid">
          <fgColor rgb="FFFFC7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647700</xdr:colOff>
          <xdr:row>0</xdr:row>
          <xdr:rowOff>213360</xdr:rowOff>
        </xdr:from>
        <xdr:to>
          <xdr:col>16</xdr:col>
          <xdr:colOff>15240</xdr:colOff>
          <xdr:row>3</xdr:row>
          <xdr:rowOff>0</xdr:rowOff>
        </xdr:to>
        <xdr:sp macro="" textlink="">
          <xdr:nvSpPr>
            <xdr:cNvPr id="1030" name="refres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52712;&#54633;_&#51473;&#50521;\&#52712;&#54633;&#54532;&#47196;&#44536;&#47016;\contents\collect\org\&#44397;&#53664;&#44368;&#53685;&#4851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(11&#48264;&#51648;&#54364;)&#44060;&#48169;&#54364;&#51456;\&#9733;&#45936;&#51060;&#53552;_&#44081;&#49888;\&#50577;&#49885;\&#51088;&#46041;&#51221;&#47532;&#44592;%20&#48260;&#51260;&#44288;&#47532;\&#54364;&#51456;&#45936;&#51060;&#53552;%20&#51221;&#47532;&#48376;_&#52572;&#5133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총괄데이터(작성서식)"/>
      <sheetName val="Sheet1"/>
      <sheetName val="국토부 관리대상(참고용)"/>
    </sheetNames>
    <sheetDataSet>
      <sheetData sheetId="0">
        <row r="2">
          <cell r="J2" t="str">
            <v>O</v>
          </cell>
        </row>
        <row r="3">
          <cell r="J3" t="str">
            <v>O</v>
          </cell>
        </row>
        <row r="4">
          <cell r="J4" t="str">
            <v>X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총괄"/>
      <sheetName val="1-1)갱신주기 미준수기관"/>
      <sheetName val="1-2)갱신주기 미준수기관 리스트"/>
      <sheetName val="2-1)중복등록기관"/>
      <sheetName val="2-2)중복등록기관 리스트"/>
      <sheetName val="데이터셋"/>
      <sheetName val="중복데이터"/>
      <sheetName val="temp"/>
      <sheetName val="기타_데이터"/>
      <sheetName val="버젼관리"/>
    </sheetNames>
    <sheetDataSet>
      <sheetData sheetId="0"/>
      <sheetData sheetId="1">
        <row r="6">
          <cell r="B6" t="str">
            <v>서울특별시</v>
          </cell>
          <cell r="C6"/>
          <cell r="D6"/>
          <cell r="E6"/>
          <cell r="F6"/>
          <cell r="G6"/>
          <cell r="H6"/>
          <cell r="I6"/>
          <cell r="J6"/>
          <cell r="K6"/>
          <cell r="L6">
            <v>1</v>
          </cell>
          <cell r="M6"/>
          <cell r="N6">
            <v>1</v>
          </cell>
          <cell r="O6"/>
          <cell r="P6"/>
          <cell r="Q6"/>
          <cell r="R6"/>
          <cell r="S6">
            <v>1</v>
          </cell>
          <cell r="T6"/>
          <cell r="U6"/>
          <cell r="V6"/>
          <cell r="W6"/>
          <cell r="X6"/>
          <cell r="Y6"/>
          <cell r="Z6"/>
          <cell r="AA6"/>
          <cell r="AB6"/>
          <cell r="AC6"/>
          <cell r="AD6"/>
          <cell r="AE6"/>
          <cell r="AF6"/>
          <cell r="AG6"/>
          <cell r="AH6"/>
          <cell r="AI6"/>
          <cell r="AJ6"/>
          <cell r="AK6"/>
          <cell r="AL6"/>
          <cell r="AM6"/>
          <cell r="AN6"/>
          <cell r="AO6"/>
          <cell r="AP6"/>
          <cell r="AQ6"/>
          <cell r="AR6"/>
          <cell r="AS6"/>
          <cell r="AT6"/>
          <cell r="AU6"/>
          <cell r="AV6"/>
          <cell r="AW6"/>
          <cell r="AX6"/>
          <cell r="AY6"/>
          <cell r="AZ6"/>
          <cell r="BA6"/>
          <cell r="BB6"/>
          <cell r="BC6"/>
          <cell r="BD6"/>
          <cell r="BE6"/>
          <cell r="BF6"/>
          <cell r="BG6"/>
          <cell r="BH6"/>
          <cell r="BI6"/>
          <cell r="BJ6"/>
          <cell r="BK6">
            <v>3</v>
          </cell>
        </row>
        <row r="7">
          <cell r="B7" t="str">
            <v>서울특별시 종로구</v>
          </cell>
          <cell r="C7">
            <v>1</v>
          </cell>
          <cell r="D7">
            <v>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  <cell r="J7">
            <v>1</v>
          </cell>
          <cell r="K7"/>
          <cell r="L7">
            <v>1</v>
          </cell>
          <cell r="M7">
            <v>1</v>
          </cell>
          <cell r="N7">
            <v>1</v>
          </cell>
          <cell r="O7"/>
          <cell r="P7">
            <v>1</v>
          </cell>
          <cell r="Q7">
            <v>1</v>
          </cell>
          <cell r="R7"/>
          <cell r="S7">
            <v>1</v>
          </cell>
          <cell r="T7"/>
          <cell r="U7">
            <v>1</v>
          </cell>
          <cell r="V7"/>
          <cell r="W7">
            <v>1</v>
          </cell>
          <cell r="X7">
            <v>1</v>
          </cell>
          <cell r="Y7"/>
          <cell r="Z7"/>
          <cell r="AA7">
            <v>1</v>
          </cell>
          <cell r="AB7">
            <v>1</v>
          </cell>
          <cell r="AC7"/>
          <cell r="AD7">
            <v>1</v>
          </cell>
          <cell r="AE7"/>
          <cell r="AF7">
            <v>1</v>
          </cell>
          <cell r="AG7">
            <v>1</v>
          </cell>
          <cell r="AH7">
            <v>1</v>
          </cell>
          <cell r="AI7">
            <v>1</v>
          </cell>
          <cell r="AJ7">
            <v>1</v>
          </cell>
          <cell r="AK7"/>
          <cell r="AL7"/>
          <cell r="AM7"/>
          <cell r="AN7"/>
          <cell r="AO7"/>
          <cell r="AP7"/>
          <cell r="AQ7"/>
          <cell r="AR7">
            <v>1</v>
          </cell>
          <cell r="AS7"/>
          <cell r="AT7"/>
          <cell r="AU7">
            <v>1</v>
          </cell>
          <cell r="AV7"/>
          <cell r="AW7"/>
          <cell r="AX7"/>
          <cell r="AY7">
            <v>1</v>
          </cell>
          <cell r="AZ7"/>
          <cell r="BA7">
            <v>1</v>
          </cell>
          <cell r="BB7">
            <v>1</v>
          </cell>
          <cell r="BC7">
            <v>1</v>
          </cell>
          <cell r="BD7">
            <v>1</v>
          </cell>
          <cell r="BE7"/>
          <cell r="BF7"/>
          <cell r="BG7"/>
          <cell r="BH7"/>
          <cell r="BI7"/>
          <cell r="BJ7"/>
          <cell r="BK7">
            <v>32</v>
          </cell>
        </row>
        <row r="8">
          <cell r="B8" t="str">
            <v>서울특별시 중구</v>
          </cell>
          <cell r="C8"/>
          <cell r="D8">
            <v>1</v>
          </cell>
          <cell r="E8">
            <v>1</v>
          </cell>
          <cell r="F8"/>
          <cell r="G8"/>
          <cell r="H8">
            <v>1</v>
          </cell>
          <cell r="I8">
            <v>1</v>
          </cell>
          <cell r="J8">
            <v>1</v>
          </cell>
          <cell r="K8"/>
          <cell r="L8">
            <v>1</v>
          </cell>
          <cell r="M8">
            <v>1</v>
          </cell>
          <cell r="N8">
            <v>1</v>
          </cell>
          <cell r="O8"/>
          <cell r="P8">
            <v>1</v>
          </cell>
          <cell r="Q8">
            <v>1</v>
          </cell>
          <cell r="R8"/>
          <cell r="S8">
            <v>1</v>
          </cell>
          <cell r="T8"/>
          <cell r="U8"/>
          <cell r="V8">
            <v>1</v>
          </cell>
          <cell r="W8"/>
          <cell r="X8">
            <v>1</v>
          </cell>
          <cell r="Y8"/>
          <cell r="Z8">
            <v>1</v>
          </cell>
          <cell r="AA8">
            <v>1</v>
          </cell>
          <cell r="AB8">
            <v>1</v>
          </cell>
          <cell r="AC8"/>
          <cell r="AD8">
            <v>1</v>
          </cell>
          <cell r="AE8"/>
          <cell r="AF8">
            <v>1</v>
          </cell>
          <cell r="AG8">
            <v>1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/>
          <cell r="AM8"/>
          <cell r="AN8"/>
          <cell r="AO8"/>
          <cell r="AP8"/>
          <cell r="AQ8"/>
          <cell r="AR8"/>
          <cell r="AS8"/>
          <cell r="AT8"/>
          <cell r="AU8">
            <v>1</v>
          </cell>
          <cell r="AV8"/>
          <cell r="AW8"/>
          <cell r="AX8"/>
          <cell r="AY8">
            <v>1</v>
          </cell>
          <cell r="AZ8"/>
          <cell r="BA8"/>
          <cell r="BB8"/>
          <cell r="BC8"/>
          <cell r="BD8">
            <v>1</v>
          </cell>
          <cell r="BE8"/>
          <cell r="BF8"/>
          <cell r="BG8"/>
          <cell r="BH8"/>
          <cell r="BI8"/>
          <cell r="BJ8"/>
          <cell r="BK8">
            <v>26</v>
          </cell>
        </row>
        <row r="9">
          <cell r="B9" t="str">
            <v>서울특별시 용산구</v>
          </cell>
          <cell r="C9">
            <v>1</v>
          </cell>
          <cell r="D9">
            <v>1</v>
          </cell>
          <cell r="E9">
            <v>1</v>
          </cell>
          <cell r="F9">
            <v>1</v>
          </cell>
          <cell r="G9"/>
          <cell r="H9">
            <v>1</v>
          </cell>
          <cell r="I9">
            <v>1</v>
          </cell>
          <cell r="J9"/>
          <cell r="K9"/>
          <cell r="L9">
            <v>1</v>
          </cell>
          <cell r="M9">
            <v>1</v>
          </cell>
          <cell r="N9">
            <v>1</v>
          </cell>
          <cell r="O9"/>
          <cell r="P9">
            <v>1</v>
          </cell>
          <cell r="Q9"/>
          <cell r="R9"/>
          <cell r="S9">
            <v>1</v>
          </cell>
          <cell r="T9"/>
          <cell r="U9">
            <v>1</v>
          </cell>
          <cell r="V9">
            <v>1</v>
          </cell>
          <cell r="W9"/>
          <cell r="X9">
            <v>1</v>
          </cell>
          <cell r="Y9"/>
          <cell r="Z9">
            <v>1</v>
          </cell>
          <cell r="AA9">
            <v>1</v>
          </cell>
          <cell r="AB9">
            <v>1</v>
          </cell>
          <cell r="AC9"/>
          <cell r="AD9">
            <v>1</v>
          </cell>
          <cell r="AE9"/>
          <cell r="AF9">
            <v>1</v>
          </cell>
          <cell r="AG9">
            <v>1</v>
          </cell>
          <cell r="AH9">
            <v>1</v>
          </cell>
          <cell r="AI9">
            <v>1</v>
          </cell>
          <cell r="AJ9">
            <v>1</v>
          </cell>
          <cell r="AK9"/>
          <cell r="AL9"/>
          <cell r="AM9"/>
          <cell r="AN9"/>
          <cell r="AO9">
            <v>1</v>
          </cell>
          <cell r="AP9"/>
          <cell r="AQ9">
            <v>1</v>
          </cell>
          <cell r="AR9"/>
          <cell r="AS9"/>
          <cell r="AT9">
            <v>1</v>
          </cell>
          <cell r="AU9">
            <v>1</v>
          </cell>
          <cell r="AV9"/>
          <cell r="AW9"/>
          <cell r="AX9"/>
          <cell r="AY9">
            <v>1</v>
          </cell>
          <cell r="AZ9"/>
          <cell r="BA9">
            <v>1</v>
          </cell>
          <cell r="BB9">
            <v>1</v>
          </cell>
          <cell r="BC9">
            <v>1</v>
          </cell>
          <cell r="BD9">
            <v>1</v>
          </cell>
          <cell r="BE9"/>
          <cell r="BF9"/>
          <cell r="BG9"/>
          <cell r="BH9"/>
          <cell r="BI9"/>
          <cell r="BJ9"/>
          <cell r="BK9">
            <v>32</v>
          </cell>
        </row>
        <row r="10">
          <cell r="B10" t="str">
            <v>서울특별시 성동구</v>
          </cell>
          <cell r="C10"/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/>
          <cell r="L10"/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  <cell r="S10">
            <v>1</v>
          </cell>
          <cell r="T10"/>
          <cell r="U10">
            <v>1</v>
          </cell>
          <cell r="V10">
            <v>1</v>
          </cell>
          <cell r="W10"/>
          <cell r="X10">
            <v>1</v>
          </cell>
          <cell r="Y10"/>
          <cell r="Z10">
            <v>1</v>
          </cell>
          <cell r="AA10">
            <v>1</v>
          </cell>
          <cell r="AB10">
            <v>1</v>
          </cell>
          <cell r="AC10"/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/>
          <cell r="AL10"/>
          <cell r="AM10"/>
          <cell r="AN10"/>
          <cell r="AO10"/>
          <cell r="AP10"/>
          <cell r="AQ10"/>
          <cell r="AR10"/>
          <cell r="AS10"/>
          <cell r="AT10">
            <v>1</v>
          </cell>
          <cell r="AU10">
            <v>1</v>
          </cell>
          <cell r="AV10"/>
          <cell r="AW10"/>
          <cell r="AX10"/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/>
          <cell r="BF10"/>
          <cell r="BG10"/>
          <cell r="BH10"/>
          <cell r="BI10"/>
          <cell r="BJ10"/>
          <cell r="BK10">
            <v>35</v>
          </cell>
        </row>
        <row r="11">
          <cell r="B11" t="str">
            <v>서울특별시 광진구</v>
          </cell>
          <cell r="C11">
            <v>1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  <cell r="J11">
            <v>1</v>
          </cell>
          <cell r="K11"/>
          <cell r="L11"/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1</v>
          </cell>
          <cell r="S11">
            <v>1</v>
          </cell>
          <cell r="T11"/>
          <cell r="U11">
            <v>1</v>
          </cell>
          <cell r="V11">
            <v>1</v>
          </cell>
          <cell r="W11">
            <v>1</v>
          </cell>
          <cell r="X11">
            <v>1</v>
          </cell>
          <cell r="Y11"/>
          <cell r="Z11">
            <v>1</v>
          </cell>
          <cell r="AA11">
            <v>1</v>
          </cell>
          <cell r="AB11">
            <v>1</v>
          </cell>
          <cell r="AC11"/>
          <cell r="AD11">
            <v>1</v>
          </cell>
          <cell r="AE11"/>
          <cell r="AF11"/>
          <cell r="AG11"/>
          <cell r="AH11">
            <v>1</v>
          </cell>
          <cell r="AI11">
            <v>1</v>
          </cell>
          <cell r="AJ11">
            <v>1</v>
          </cell>
          <cell r="AK11">
            <v>1</v>
          </cell>
          <cell r="AL11"/>
          <cell r="AM11"/>
          <cell r="AN11"/>
          <cell r="AO11"/>
          <cell r="AP11"/>
          <cell r="AQ11">
            <v>1</v>
          </cell>
          <cell r="AR11">
            <v>1</v>
          </cell>
          <cell r="AS11"/>
          <cell r="AT11">
            <v>1</v>
          </cell>
          <cell r="AU11">
            <v>1</v>
          </cell>
          <cell r="AV11">
            <v>1</v>
          </cell>
          <cell r="AW11"/>
          <cell r="AX11"/>
          <cell r="AY11">
            <v>1</v>
          </cell>
          <cell r="AZ11">
            <v>1</v>
          </cell>
          <cell r="BA11">
            <v>1</v>
          </cell>
          <cell r="BB11">
            <v>1</v>
          </cell>
          <cell r="BC11">
            <v>1</v>
          </cell>
          <cell r="BD11">
            <v>1</v>
          </cell>
          <cell r="BE11">
            <v>1</v>
          </cell>
          <cell r="BF11"/>
          <cell r="BG11">
            <v>1</v>
          </cell>
          <cell r="BH11"/>
          <cell r="BI11"/>
          <cell r="BJ11"/>
          <cell r="BK11">
            <v>40</v>
          </cell>
        </row>
        <row r="12">
          <cell r="B12" t="str">
            <v>서울특별시 동대문구</v>
          </cell>
          <cell r="C12">
            <v>1</v>
          </cell>
          <cell r="D12">
            <v>1</v>
          </cell>
          <cell r="E12">
            <v>1</v>
          </cell>
          <cell r="F12"/>
          <cell r="G12"/>
          <cell r="H12">
            <v>1</v>
          </cell>
          <cell r="I12"/>
          <cell r="J12"/>
          <cell r="K12"/>
          <cell r="L12"/>
          <cell r="M12">
            <v>1</v>
          </cell>
          <cell r="N12">
            <v>1</v>
          </cell>
          <cell r="O12"/>
          <cell r="P12"/>
          <cell r="Q12"/>
          <cell r="R12"/>
          <cell r="S12"/>
          <cell r="T12"/>
          <cell r="U12">
            <v>1</v>
          </cell>
          <cell r="V12">
            <v>1</v>
          </cell>
          <cell r="W12"/>
          <cell r="X12"/>
          <cell r="Y12"/>
          <cell r="Z12"/>
          <cell r="AA12"/>
          <cell r="AB12">
            <v>1</v>
          </cell>
          <cell r="AC12"/>
          <cell r="AD12"/>
          <cell r="AE12"/>
          <cell r="AF12"/>
          <cell r="AG12"/>
          <cell r="AH12">
            <v>1</v>
          </cell>
          <cell r="AI12">
            <v>1</v>
          </cell>
          <cell r="AJ12">
            <v>1</v>
          </cell>
          <cell r="AK12"/>
          <cell r="AL12"/>
          <cell r="AM12"/>
          <cell r="AN12"/>
          <cell r="AO12"/>
          <cell r="AP12"/>
          <cell r="AQ12"/>
          <cell r="AR12">
            <v>1</v>
          </cell>
          <cell r="AS12"/>
          <cell r="AT12"/>
          <cell r="AU12">
            <v>1</v>
          </cell>
          <cell r="AV12"/>
          <cell r="AW12"/>
          <cell r="AX12"/>
          <cell r="AY12">
            <v>1</v>
          </cell>
          <cell r="AZ12"/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/>
          <cell r="BF12"/>
          <cell r="BG12">
            <v>1</v>
          </cell>
          <cell r="BH12"/>
          <cell r="BI12"/>
          <cell r="BJ12"/>
          <cell r="BK12">
            <v>20</v>
          </cell>
        </row>
        <row r="13">
          <cell r="B13" t="str">
            <v>서울특별시 중랑구</v>
          </cell>
          <cell r="C13">
            <v>1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J13">
            <v>1</v>
          </cell>
          <cell r="K13"/>
          <cell r="L13"/>
          <cell r="M13">
            <v>1</v>
          </cell>
          <cell r="N13">
            <v>1</v>
          </cell>
          <cell r="O13"/>
          <cell r="P13">
            <v>1</v>
          </cell>
          <cell r="Q13">
            <v>1</v>
          </cell>
          <cell r="R13"/>
          <cell r="S13"/>
          <cell r="T13"/>
          <cell r="U13">
            <v>1</v>
          </cell>
          <cell r="V13">
            <v>1</v>
          </cell>
          <cell r="W13">
            <v>1</v>
          </cell>
          <cell r="X13">
            <v>1</v>
          </cell>
          <cell r="Y13"/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/>
          <cell r="AE13"/>
          <cell r="AF13"/>
          <cell r="AG13"/>
          <cell r="AH13">
            <v>1</v>
          </cell>
          <cell r="AI13">
            <v>1</v>
          </cell>
          <cell r="AJ13">
            <v>1</v>
          </cell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>
            <v>1</v>
          </cell>
          <cell r="AV13"/>
          <cell r="AW13"/>
          <cell r="AX13"/>
          <cell r="AY13">
            <v>1</v>
          </cell>
          <cell r="AZ13"/>
          <cell r="BA13">
            <v>1</v>
          </cell>
          <cell r="BB13">
            <v>1</v>
          </cell>
          <cell r="BC13"/>
          <cell r="BD13">
            <v>1</v>
          </cell>
          <cell r="BE13"/>
          <cell r="BF13"/>
          <cell r="BG13">
            <v>1</v>
          </cell>
          <cell r="BH13"/>
          <cell r="BI13"/>
          <cell r="BJ13"/>
          <cell r="BK13">
            <v>29</v>
          </cell>
        </row>
        <row r="14">
          <cell r="B14" t="str">
            <v>서울특별시 성북구</v>
          </cell>
          <cell r="C14">
            <v>1</v>
          </cell>
          <cell r="D14">
            <v>1</v>
          </cell>
          <cell r="E14">
            <v>1</v>
          </cell>
          <cell r="F14"/>
          <cell r="G14">
            <v>1</v>
          </cell>
          <cell r="H14">
            <v>1</v>
          </cell>
          <cell r="I14">
            <v>1</v>
          </cell>
          <cell r="J14">
            <v>1</v>
          </cell>
          <cell r="K14"/>
          <cell r="L14"/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/>
          <cell r="R14"/>
          <cell r="S14">
            <v>1</v>
          </cell>
          <cell r="T14"/>
          <cell r="U14">
            <v>1</v>
          </cell>
          <cell r="V14">
            <v>1</v>
          </cell>
          <cell r="W14">
            <v>1</v>
          </cell>
          <cell r="X14">
            <v>1</v>
          </cell>
          <cell r="Y14"/>
          <cell r="Z14"/>
          <cell r="AA14">
            <v>1</v>
          </cell>
          <cell r="AB14">
            <v>1</v>
          </cell>
          <cell r="AC14">
            <v>1</v>
          </cell>
          <cell r="AD14"/>
          <cell r="AE14"/>
          <cell r="AF14"/>
          <cell r="AG14"/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>
            <v>1</v>
          </cell>
          <cell r="AZ14"/>
          <cell r="BA14">
            <v>1</v>
          </cell>
          <cell r="BB14"/>
          <cell r="BC14">
            <v>1</v>
          </cell>
          <cell r="BD14">
            <v>1</v>
          </cell>
          <cell r="BE14"/>
          <cell r="BF14"/>
          <cell r="BG14"/>
          <cell r="BH14"/>
          <cell r="BI14"/>
          <cell r="BJ14"/>
          <cell r="BK14">
            <v>27</v>
          </cell>
        </row>
        <row r="15">
          <cell r="B15" t="str">
            <v>서울특별시 강북구</v>
          </cell>
          <cell r="C15">
            <v>1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/>
          <cell r="L15"/>
          <cell r="M15">
            <v>1</v>
          </cell>
          <cell r="N15">
            <v>1</v>
          </cell>
          <cell r="O15"/>
          <cell r="P15">
            <v>1</v>
          </cell>
          <cell r="Q15">
            <v>1</v>
          </cell>
          <cell r="R15"/>
          <cell r="S15">
            <v>1</v>
          </cell>
          <cell r="T15"/>
          <cell r="U15">
            <v>1</v>
          </cell>
          <cell r="V15">
            <v>1</v>
          </cell>
          <cell r="W15">
            <v>1</v>
          </cell>
          <cell r="X15">
            <v>1</v>
          </cell>
          <cell r="Y15"/>
          <cell r="Z15">
            <v>1</v>
          </cell>
          <cell r="AA15">
            <v>1</v>
          </cell>
          <cell r="AB15">
            <v>1</v>
          </cell>
          <cell r="AC15"/>
          <cell r="AD15">
            <v>1</v>
          </cell>
          <cell r="AE15"/>
          <cell r="AF15">
            <v>1</v>
          </cell>
          <cell r="AG15">
            <v>1</v>
          </cell>
          <cell r="AH15"/>
          <cell r="AI15">
            <v>1</v>
          </cell>
          <cell r="AJ15">
            <v>1</v>
          </cell>
          <cell r="AK15"/>
          <cell r="AL15"/>
          <cell r="AM15"/>
          <cell r="AN15"/>
          <cell r="AO15"/>
          <cell r="AP15"/>
          <cell r="AQ15"/>
          <cell r="AR15">
            <v>1</v>
          </cell>
          <cell r="AS15"/>
          <cell r="AT15"/>
          <cell r="AU15">
            <v>1</v>
          </cell>
          <cell r="AV15"/>
          <cell r="AW15"/>
          <cell r="AX15">
            <v>1</v>
          </cell>
          <cell r="AY15">
            <v>1</v>
          </cell>
          <cell r="AZ15"/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/>
          <cell r="BF15"/>
          <cell r="BG15">
            <v>1</v>
          </cell>
          <cell r="BH15"/>
          <cell r="BI15"/>
          <cell r="BJ15"/>
          <cell r="BK15">
            <v>34</v>
          </cell>
        </row>
        <row r="16">
          <cell r="B16" t="str">
            <v>서울특별시 도봉구</v>
          </cell>
          <cell r="C16">
            <v>1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/>
          <cell r="L16">
            <v>1</v>
          </cell>
          <cell r="M16">
            <v>1</v>
          </cell>
          <cell r="N16">
            <v>1</v>
          </cell>
          <cell r="O16"/>
          <cell r="P16">
            <v>1</v>
          </cell>
          <cell r="Q16">
            <v>1</v>
          </cell>
          <cell r="R16"/>
          <cell r="S16">
            <v>1</v>
          </cell>
          <cell r="T16"/>
          <cell r="U16">
            <v>1</v>
          </cell>
          <cell r="V16">
            <v>1</v>
          </cell>
          <cell r="W16"/>
          <cell r="X16"/>
          <cell r="Y16"/>
          <cell r="Z16">
            <v>1</v>
          </cell>
          <cell r="AA16"/>
          <cell r="AB16">
            <v>1</v>
          </cell>
          <cell r="AC16"/>
          <cell r="AD16">
            <v>1</v>
          </cell>
          <cell r="AE16">
            <v>1</v>
          </cell>
          <cell r="AF16"/>
          <cell r="AG16"/>
          <cell r="AH16">
            <v>1</v>
          </cell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>
            <v>1</v>
          </cell>
          <cell r="BC16"/>
          <cell r="BD16">
            <v>1</v>
          </cell>
          <cell r="BE16"/>
          <cell r="BF16"/>
          <cell r="BG16"/>
          <cell r="BH16"/>
          <cell r="BI16"/>
          <cell r="BJ16"/>
          <cell r="BK16">
            <v>23</v>
          </cell>
        </row>
        <row r="17">
          <cell r="B17" t="str">
            <v>서울특별시 노원구</v>
          </cell>
          <cell r="C17">
            <v>1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/>
          <cell r="L17"/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/>
          <cell r="S17">
            <v>1</v>
          </cell>
          <cell r="T17"/>
          <cell r="U17">
            <v>1</v>
          </cell>
          <cell r="V17">
            <v>1</v>
          </cell>
          <cell r="W17"/>
          <cell r="X17">
            <v>1</v>
          </cell>
          <cell r="Y17"/>
          <cell r="Z17">
            <v>1</v>
          </cell>
          <cell r="AA17">
            <v>1</v>
          </cell>
          <cell r="AB17">
            <v>1</v>
          </cell>
          <cell r="AC17"/>
          <cell r="AD17">
            <v>1</v>
          </cell>
          <cell r="AE17"/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>
            <v>1</v>
          </cell>
          <cell r="AV17"/>
          <cell r="AW17"/>
          <cell r="AX17"/>
          <cell r="AY17">
            <v>1</v>
          </cell>
          <cell r="AZ17"/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/>
          <cell r="BF17"/>
          <cell r="BG17"/>
          <cell r="BH17"/>
          <cell r="BI17"/>
          <cell r="BJ17"/>
          <cell r="BK17">
            <v>32</v>
          </cell>
        </row>
        <row r="18">
          <cell r="B18" t="str">
            <v>서울특별시 은평구</v>
          </cell>
          <cell r="C18">
            <v>1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1</v>
          </cell>
          <cell r="J18">
            <v>1</v>
          </cell>
          <cell r="K18"/>
          <cell r="L18">
            <v>1</v>
          </cell>
          <cell r="M18">
            <v>1</v>
          </cell>
          <cell r="N18">
            <v>1</v>
          </cell>
          <cell r="O18"/>
          <cell r="P18">
            <v>1</v>
          </cell>
          <cell r="Q18"/>
          <cell r="R18"/>
          <cell r="S18">
            <v>1</v>
          </cell>
          <cell r="T18"/>
          <cell r="U18">
            <v>1</v>
          </cell>
          <cell r="V18">
            <v>1</v>
          </cell>
          <cell r="W18"/>
          <cell r="X18">
            <v>1</v>
          </cell>
          <cell r="Y18"/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/>
          <cell r="AG18"/>
          <cell r="AH18">
            <v>1</v>
          </cell>
          <cell r="AI18">
            <v>1</v>
          </cell>
          <cell r="AJ18">
            <v>1</v>
          </cell>
          <cell r="AK18"/>
          <cell r="AL18"/>
          <cell r="AM18"/>
          <cell r="AN18"/>
          <cell r="AO18"/>
          <cell r="AP18"/>
          <cell r="AQ18"/>
          <cell r="AR18">
            <v>1</v>
          </cell>
          <cell r="AS18"/>
          <cell r="AT18">
            <v>1</v>
          </cell>
          <cell r="AU18">
            <v>1</v>
          </cell>
          <cell r="AV18"/>
          <cell r="AW18"/>
          <cell r="AX18">
            <v>1</v>
          </cell>
          <cell r="AY18">
            <v>1</v>
          </cell>
          <cell r="AZ18"/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/>
          <cell r="BF18"/>
          <cell r="BG18"/>
          <cell r="BH18"/>
          <cell r="BI18"/>
          <cell r="BJ18"/>
          <cell r="BK18">
            <v>34</v>
          </cell>
        </row>
        <row r="19">
          <cell r="B19" t="str">
            <v>서울특별시 서대문구</v>
          </cell>
          <cell r="C19">
            <v>1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/>
          <cell r="L19">
            <v>1</v>
          </cell>
          <cell r="M19">
            <v>1</v>
          </cell>
          <cell r="N19">
            <v>1</v>
          </cell>
          <cell r="O19"/>
          <cell r="P19">
            <v>1</v>
          </cell>
          <cell r="Q19">
            <v>1</v>
          </cell>
          <cell r="R19">
            <v>1</v>
          </cell>
          <cell r="S19">
            <v>1</v>
          </cell>
          <cell r="T19"/>
          <cell r="U19">
            <v>1</v>
          </cell>
          <cell r="V19">
            <v>1</v>
          </cell>
          <cell r="W19"/>
          <cell r="X19">
            <v>1</v>
          </cell>
          <cell r="Y19"/>
          <cell r="Z19">
            <v>1</v>
          </cell>
          <cell r="AA19">
            <v>1</v>
          </cell>
          <cell r="AB19">
            <v>1</v>
          </cell>
          <cell r="AC19"/>
          <cell r="AD19">
            <v>1</v>
          </cell>
          <cell r="AE19"/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/>
          <cell r="AM19"/>
          <cell r="AN19">
            <v>1</v>
          </cell>
          <cell r="AO19"/>
          <cell r="AP19"/>
          <cell r="AQ19">
            <v>1</v>
          </cell>
          <cell r="AR19">
            <v>1</v>
          </cell>
          <cell r="AS19"/>
          <cell r="AT19">
            <v>1</v>
          </cell>
          <cell r="AU19">
            <v>1</v>
          </cell>
          <cell r="AV19">
            <v>1</v>
          </cell>
          <cell r="AW19"/>
          <cell r="AX19">
            <v>1</v>
          </cell>
          <cell r="AY19">
            <v>1</v>
          </cell>
          <cell r="AZ19"/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/>
          <cell r="BF19"/>
          <cell r="BG19"/>
          <cell r="BH19"/>
          <cell r="BI19"/>
          <cell r="BJ19"/>
          <cell r="BK19">
            <v>40</v>
          </cell>
        </row>
        <row r="20">
          <cell r="B20" t="str">
            <v>서울특별시 마포구</v>
          </cell>
          <cell r="C20"/>
          <cell r="D20">
            <v>1</v>
          </cell>
          <cell r="E20">
            <v>1</v>
          </cell>
          <cell r="F20">
            <v>1</v>
          </cell>
          <cell r="G20"/>
          <cell r="H20">
            <v>1</v>
          </cell>
          <cell r="I20">
            <v>1</v>
          </cell>
          <cell r="J20">
            <v>1</v>
          </cell>
          <cell r="K20"/>
          <cell r="L20">
            <v>1</v>
          </cell>
          <cell r="M20">
            <v>1</v>
          </cell>
          <cell r="N20">
            <v>1</v>
          </cell>
          <cell r="O20"/>
          <cell r="P20">
            <v>1</v>
          </cell>
          <cell r="Q20"/>
          <cell r="R20"/>
          <cell r="S20"/>
          <cell r="T20"/>
          <cell r="U20"/>
          <cell r="V20">
            <v>1</v>
          </cell>
          <cell r="W20"/>
          <cell r="X20">
            <v>1</v>
          </cell>
          <cell r="Y20"/>
          <cell r="Z20"/>
          <cell r="AA20"/>
          <cell r="AB20">
            <v>1</v>
          </cell>
          <cell r="AC20"/>
          <cell r="AD20"/>
          <cell r="AE20"/>
          <cell r="AF20">
            <v>1</v>
          </cell>
          <cell r="AG20"/>
          <cell r="AH20">
            <v>1</v>
          </cell>
          <cell r="AI20"/>
          <cell r="AJ20"/>
          <cell r="AK20"/>
          <cell r="AL20"/>
          <cell r="AM20"/>
          <cell r="AN20"/>
          <cell r="AO20"/>
          <cell r="AP20"/>
          <cell r="AQ20"/>
          <cell r="AR20">
            <v>1</v>
          </cell>
          <cell r="AS20"/>
          <cell r="AT20"/>
          <cell r="AU20">
            <v>1</v>
          </cell>
          <cell r="AV20"/>
          <cell r="AW20"/>
          <cell r="AX20"/>
          <cell r="AY20"/>
          <cell r="AZ20"/>
          <cell r="BA20"/>
          <cell r="BB20"/>
          <cell r="BC20"/>
          <cell r="BD20">
            <v>1</v>
          </cell>
          <cell r="BE20"/>
          <cell r="BF20"/>
          <cell r="BG20"/>
          <cell r="BH20"/>
          <cell r="BI20"/>
          <cell r="BJ20"/>
          <cell r="BK20">
            <v>18</v>
          </cell>
        </row>
        <row r="21">
          <cell r="B21" t="str">
            <v>서울특별시 양천구</v>
          </cell>
          <cell r="C21">
            <v>1</v>
          </cell>
          <cell r="D21">
            <v>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J21">
            <v>1</v>
          </cell>
          <cell r="K21"/>
          <cell r="L21"/>
          <cell r="M21">
            <v>1</v>
          </cell>
          <cell r="N21">
            <v>1</v>
          </cell>
          <cell r="O21"/>
          <cell r="P21">
            <v>1</v>
          </cell>
          <cell r="Q21">
            <v>1</v>
          </cell>
          <cell r="R21"/>
          <cell r="S21"/>
          <cell r="T21"/>
          <cell r="U21">
            <v>1</v>
          </cell>
          <cell r="V21">
            <v>1</v>
          </cell>
          <cell r="W21">
            <v>1</v>
          </cell>
          <cell r="X21">
            <v>1</v>
          </cell>
          <cell r="Y21"/>
          <cell r="Z21"/>
          <cell r="AA21">
            <v>1</v>
          </cell>
          <cell r="AB21">
            <v>1</v>
          </cell>
          <cell r="AC21"/>
          <cell r="AD21">
            <v>1</v>
          </cell>
          <cell r="AE21"/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/>
          <cell r="AL21"/>
          <cell r="AM21"/>
          <cell r="AN21"/>
          <cell r="AO21"/>
          <cell r="AP21"/>
          <cell r="AQ21"/>
          <cell r="AR21"/>
          <cell r="AS21"/>
          <cell r="AT21">
            <v>1</v>
          </cell>
          <cell r="AU21">
            <v>1</v>
          </cell>
          <cell r="AV21"/>
          <cell r="AW21"/>
          <cell r="AX21"/>
          <cell r="AY21">
            <v>1</v>
          </cell>
          <cell r="AZ21"/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/>
          <cell r="BF21"/>
          <cell r="BG21"/>
          <cell r="BH21"/>
          <cell r="BI21"/>
          <cell r="BJ21"/>
          <cell r="BK21">
            <v>31</v>
          </cell>
        </row>
        <row r="22">
          <cell r="B22" t="str">
            <v>서울특별시 강서구</v>
          </cell>
          <cell r="C22">
            <v>1</v>
          </cell>
          <cell r="D22">
            <v>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  <cell r="J22">
            <v>1</v>
          </cell>
          <cell r="K22"/>
          <cell r="L22">
            <v>1</v>
          </cell>
          <cell r="M22">
            <v>1</v>
          </cell>
          <cell r="N22">
            <v>1</v>
          </cell>
          <cell r="O22"/>
          <cell r="P22">
            <v>1</v>
          </cell>
          <cell r="Q22">
            <v>1</v>
          </cell>
          <cell r="R22">
            <v>1</v>
          </cell>
          <cell r="S22">
            <v>1</v>
          </cell>
          <cell r="T22"/>
          <cell r="U22">
            <v>1</v>
          </cell>
          <cell r="V22">
            <v>1</v>
          </cell>
          <cell r="W22">
            <v>1</v>
          </cell>
          <cell r="X22">
            <v>1</v>
          </cell>
          <cell r="Y22"/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/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/>
          <cell r="AL22"/>
          <cell r="AM22"/>
          <cell r="AN22"/>
          <cell r="AO22"/>
          <cell r="AP22"/>
          <cell r="AQ22">
            <v>1</v>
          </cell>
          <cell r="AR22"/>
          <cell r="AS22"/>
          <cell r="AT22">
            <v>1</v>
          </cell>
          <cell r="AU22">
            <v>1</v>
          </cell>
          <cell r="AV22">
            <v>1</v>
          </cell>
          <cell r="AW22"/>
          <cell r="AX22"/>
          <cell r="AY22">
            <v>1</v>
          </cell>
          <cell r="AZ22"/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/>
          <cell r="BF22"/>
          <cell r="BG22"/>
          <cell r="BH22"/>
          <cell r="BI22"/>
          <cell r="BJ22"/>
          <cell r="BK22">
            <v>38</v>
          </cell>
        </row>
        <row r="23">
          <cell r="B23" t="str">
            <v>서울특별시 구로구</v>
          </cell>
          <cell r="C23">
            <v>1</v>
          </cell>
          <cell r="D23">
            <v>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  <cell r="J23">
            <v>1</v>
          </cell>
          <cell r="K23"/>
          <cell r="L23"/>
          <cell r="M23">
            <v>1</v>
          </cell>
          <cell r="N23">
            <v>1</v>
          </cell>
          <cell r="O23"/>
          <cell r="P23">
            <v>1</v>
          </cell>
          <cell r="Q23">
            <v>1</v>
          </cell>
          <cell r="R23">
            <v>1</v>
          </cell>
          <cell r="S23">
            <v>1</v>
          </cell>
          <cell r="T23"/>
          <cell r="U23">
            <v>1</v>
          </cell>
          <cell r="V23">
            <v>1</v>
          </cell>
          <cell r="W23">
            <v>1</v>
          </cell>
          <cell r="X23">
            <v>1</v>
          </cell>
          <cell r="Y23"/>
          <cell r="Z23">
            <v>1</v>
          </cell>
          <cell r="AA23">
            <v>1</v>
          </cell>
          <cell r="AB23">
            <v>1</v>
          </cell>
          <cell r="AC23"/>
          <cell r="AD23"/>
          <cell r="AE23"/>
          <cell r="AF23">
            <v>1</v>
          </cell>
          <cell r="AG23">
            <v>1</v>
          </cell>
          <cell r="AH23">
            <v>1</v>
          </cell>
          <cell r="AI23"/>
          <cell r="AJ23">
            <v>1</v>
          </cell>
          <cell r="AK23"/>
          <cell r="AL23"/>
          <cell r="AM23"/>
          <cell r="AN23"/>
          <cell r="AO23"/>
          <cell r="AP23"/>
          <cell r="AQ23"/>
          <cell r="AR23"/>
          <cell r="AS23"/>
          <cell r="AT23">
            <v>1</v>
          </cell>
          <cell r="AU23">
            <v>1</v>
          </cell>
          <cell r="AV23"/>
          <cell r="AW23"/>
          <cell r="AX23"/>
          <cell r="AY23"/>
          <cell r="AZ23"/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/>
          <cell r="BF23"/>
          <cell r="BG23"/>
          <cell r="BH23"/>
          <cell r="BI23"/>
          <cell r="BJ23"/>
          <cell r="BK23">
            <v>31</v>
          </cell>
        </row>
        <row r="24">
          <cell r="B24" t="str">
            <v>서울특별시 금천구</v>
          </cell>
          <cell r="C24">
            <v>1</v>
          </cell>
          <cell r="D24">
            <v>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J24">
            <v>1</v>
          </cell>
          <cell r="K24"/>
          <cell r="L24"/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/>
          <cell r="S24"/>
          <cell r="T24"/>
          <cell r="U24">
            <v>1</v>
          </cell>
          <cell r="V24">
            <v>1</v>
          </cell>
          <cell r="W24">
            <v>1</v>
          </cell>
          <cell r="X24"/>
          <cell r="Y24"/>
          <cell r="Z24">
            <v>1</v>
          </cell>
          <cell r="AA24">
            <v>1</v>
          </cell>
          <cell r="AB24">
            <v>1</v>
          </cell>
          <cell r="AC24"/>
          <cell r="AD24"/>
          <cell r="AE24">
            <v>1</v>
          </cell>
          <cell r="AF24"/>
          <cell r="AG24"/>
          <cell r="AH24">
            <v>1</v>
          </cell>
          <cell r="AI24">
            <v>1</v>
          </cell>
          <cell r="AJ24">
            <v>1</v>
          </cell>
          <cell r="AK24"/>
          <cell r="AL24"/>
          <cell r="AM24"/>
          <cell r="AN24"/>
          <cell r="AO24"/>
          <cell r="AP24"/>
          <cell r="AQ24"/>
          <cell r="AR24">
            <v>1</v>
          </cell>
          <cell r="AS24"/>
          <cell r="AT24">
            <v>1</v>
          </cell>
          <cell r="AU24"/>
          <cell r="AV24"/>
          <cell r="AW24"/>
          <cell r="AX24">
            <v>1</v>
          </cell>
          <cell r="AY24">
            <v>1</v>
          </cell>
          <cell r="AZ24"/>
          <cell r="BA24"/>
          <cell r="BB24"/>
          <cell r="BC24">
            <v>1</v>
          </cell>
          <cell r="BD24">
            <v>1</v>
          </cell>
          <cell r="BE24"/>
          <cell r="BF24"/>
          <cell r="BG24">
            <v>1</v>
          </cell>
          <cell r="BH24"/>
          <cell r="BI24"/>
          <cell r="BJ24"/>
          <cell r="BK24">
            <v>30</v>
          </cell>
        </row>
        <row r="25">
          <cell r="B25" t="str">
            <v>서울특별시 영등포구</v>
          </cell>
          <cell r="C25">
            <v>1</v>
          </cell>
          <cell r="D25">
            <v>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1</v>
          </cell>
          <cell r="K25"/>
          <cell r="L25"/>
          <cell r="M25">
            <v>1</v>
          </cell>
          <cell r="N25">
            <v>1</v>
          </cell>
          <cell r="O25"/>
          <cell r="P25">
            <v>1</v>
          </cell>
          <cell r="Q25">
            <v>1</v>
          </cell>
          <cell r="R25"/>
          <cell r="S25">
            <v>1</v>
          </cell>
          <cell r="T25"/>
          <cell r="U25">
            <v>1</v>
          </cell>
          <cell r="V25">
            <v>1</v>
          </cell>
          <cell r="W25">
            <v>1</v>
          </cell>
          <cell r="X25">
            <v>1</v>
          </cell>
          <cell r="Y25"/>
          <cell r="Z25">
            <v>1</v>
          </cell>
          <cell r="AA25">
            <v>1</v>
          </cell>
          <cell r="AB25">
            <v>1</v>
          </cell>
          <cell r="AC25"/>
          <cell r="AD25">
            <v>1</v>
          </cell>
          <cell r="AE25"/>
          <cell r="AF25">
            <v>1</v>
          </cell>
          <cell r="AG25">
            <v>1</v>
          </cell>
          <cell r="AH25">
            <v>1</v>
          </cell>
          <cell r="AI25">
            <v>1</v>
          </cell>
          <cell r="AJ25">
            <v>1</v>
          </cell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>
            <v>1</v>
          </cell>
          <cell r="AZ25">
            <v>1</v>
          </cell>
          <cell r="BA25">
            <v>1</v>
          </cell>
          <cell r="BB25">
            <v>1</v>
          </cell>
          <cell r="BC25">
            <v>1</v>
          </cell>
          <cell r="BD25">
            <v>1</v>
          </cell>
          <cell r="BE25"/>
          <cell r="BF25"/>
          <cell r="BG25"/>
          <cell r="BH25"/>
          <cell r="BI25"/>
          <cell r="BJ25"/>
          <cell r="BK25">
            <v>32</v>
          </cell>
        </row>
        <row r="26">
          <cell r="B26" t="str">
            <v>서울특별시 동작구</v>
          </cell>
          <cell r="C26">
            <v>1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J26">
            <v>1</v>
          </cell>
          <cell r="K26"/>
          <cell r="L26"/>
          <cell r="M26"/>
          <cell r="N26">
            <v>1</v>
          </cell>
          <cell r="O26"/>
          <cell r="P26">
            <v>1</v>
          </cell>
          <cell r="Q26">
            <v>1</v>
          </cell>
          <cell r="R26">
            <v>1</v>
          </cell>
          <cell r="S26">
            <v>1</v>
          </cell>
          <cell r="T26"/>
          <cell r="U26">
            <v>1</v>
          </cell>
          <cell r="V26">
            <v>1</v>
          </cell>
          <cell r="W26">
            <v>1</v>
          </cell>
          <cell r="X26"/>
          <cell r="Y26"/>
          <cell r="Z26"/>
          <cell r="AA26">
            <v>1</v>
          </cell>
          <cell r="AB26">
            <v>1</v>
          </cell>
          <cell r="AC26"/>
          <cell r="AD26"/>
          <cell r="AE26"/>
          <cell r="AF26">
            <v>1</v>
          </cell>
          <cell r="AG26"/>
          <cell r="AH26">
            <v>1</v>
          </cell>
          <cell r="AI26">
            <v>1</v>
          </cell>
          <cell r="AJ26">
            <v>1</v>
          </cell>
          <cell r="AK26"/>
          <cell r="AL26"/>
          <cell r="AM26"/>
          <cell r="AN26"/>
          <cell r="AO26"/>
          <cell r="AP26"/>
          <cell r="AQ26"/>
          <cell r="AR26"/>
          <cell r="AS26"/>
          <cell r="AT26">
            <v>1</v>
          </cell>
          <cell r="AU26">
            <v>1</v>
          </cell>
          <cell r="AV26"/>
          <cell r="AW26"/>
          <cell r="AX26"/>
          <cell r="AY26">
            <v>1</v>
          </cell>
          <cell r="AZ26"/>
          <cell r="BA26">
            <v>1</v>
          </cell>
          <cell r="BB26">
            <v>1</v>
          </cell>
          <cell r="BC26">
            <v>1</v>
          </cell>
          <cell r="BD26">
            <v>1</v>
          </cell>
          <cell r="BE26"/>
          <cell r="BF26"/>
          <cell r="BG26"/>
          <cell r="BH26"/>
          <cell r="BI26"/>
          <cell r="BJ26"/>
          <cell r="BK26">
            <v>29</v>
          </cell>
        </row>
        <row r="27">
          <cell r="B27" t="str">
            <v>서울특별시 관악구</v>
          </cell>
          <cell r="C27">
            <v>1</v>
          </cell>
          <cell r="D27">
            <v>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  <cell r="J27">
            <v>1</v>
          </cell>
          <cell r="K27"/>
          <cell r="L27"/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  <cell r="S27">
            <v>1</v>
          </cell>
          <cell r="T27"/>
          <cell r="U27">
            <v>1</v>
          </cell>
          <cell r="V27">
            <v>1</v>
          </cell>
          <cell r="W27">
            <v>1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>
            <v>1</v>
          </cell>
          <cell r="AC27">
            <v>1</v>
          </cell>
          <cell r="AD27">
            <v>1</v>
          </cell>
          <cell r="AE27">
            <v>1</v>
          </cell>
          <cell r="AF27">
            <v>1</v>
          </cell>
          <cell r="AG27">
            <v>1</v>
          </cell>
          <cell r="AH27">
            <v>1</v>
          </cell>
          <cell r="AI27">
            <v>1</v>
          </cell>
          <cell r="AJ27">
            <v>1</v>
          </cell>
          <cell r="AK27"/>
          <cell r="AL27"/>
          <cell r="AM27"/>
          <cell r="AN27"/>
          <cell r="AO27"/>
          <cell r="AP27"/>
          <cell r="AQ27">
            <v>1</v>
          </cell>
          <cell r="AR27">
            <v>1</v>
          </cell>
          <cell r="AS27"/>
          <cell r="AT27">
            <v>1</v>
          </cell>
          <cell r="AU27">
            <v>1</v>
          </cell>
          <cell r="AV27"/>
          <cell r="AW27"/>
          <cell r="AX27">
            <v>1</v>
          </cell>
          <cell r="AY27">
            <v>1</v>
          </cell>
          <cell r="AZ27"/>
          <cell r="BA27">
            <v>1</v>
          </cell>
          <cell r="BB27">
            <v>1</v>
          </cell>
          <cell r="BC27">
            <v>1</v>
          </cell>
          <cell r="BD27">
            <v>1</v>
          </cell>
          <cell r="BE27"/>
          <cell r="BF27"/>
          <cell r="BG27"/>
          <cell r="BH27"/>
          <cell r="BI27"/>
          <cell r="BJ27"/>
          <cell r="BK27">
            <v>41</v>
          </cell>
        </row>
        <row r="28">
          <cell r="B28" t="str">
            <v>서울특별시 서초구</v>
          </cell>
          <cell r="C28">
            <v>1</v>
          </cell>
          <cell r="D28"/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1</v>
          </cell>
          <cell r="J28"/>
          <cell r="K28"/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  <cell r="S28">
            <v>1</v>
          </cell>
          <cell r="T28"/>
          <cell r="U28">
            <v>1</v>
          </cell>
          <cell r="V28"/>
          <cell r="W28">
            <v>1</v>
          </cell>
          <cell r="X28">
            <v>1</v>
          </cell>
          <cell r="Y28"/>
          <cell r="Z28">
            <v>1</v>
          </cell>
          <cell r="AA28">
            <v>1</v>
          </cell>
          <cell r="AB28">
            <v>1</v>
          </cell>
          <cell r="AC28">
            <v>1</v>
          </cell>
          <cell r="AD28"/>
          <cell r="AE28"/>
          <cell r="AF28">
            <v>1</v>
          </cell>
          <cell r="AG28">
            <v>1</v>
          </cell>
          <cell r="AH28">
            <v>1</v>
          </cell>
          <cell r="AI28">
            <v>1</v>
          </cell>
          <cell r="AJ28">
            <v>1</v>
          </cell>
          <cell r="AK28"/>
          <cell r="AL28"/>
          <cell r="AM28"/>
          <cell r="AN28">
            <v>1</v>
          </cell>
          <cell r="AO28"/>
          <cell r="AP28"/>
          <cell r="AQ28">
            <v>1</v>
          </cell>
          <cell r="AR28"/>
          <cell r="AS28"/>
          <cell r="AT28">
            <v>1</v>
          </cell>
          <cell r="AU28">
            <v>1</v>
          </cell>
          <cell r="AV28"/>
          <cell r="AW28"/>
          <cell r="AX28">
            <v>1</v>
          </cell>
          <cell r="AY28">
            <v>1</v>
          </cell>
          <cell r="AZ28">
            <v>1</v>
          </cell>
          <cell r="BA28">
            <v>1</v>
          </cell>
          <cell r="BB28">
            <v>1</v>
          </cell>
          <cell r="BC28">
            <v>1</v>
          </cell>
          <cell r="BD28">
            <v>1</v>
          </cell>
          <cell r="BE28"/>
          <cell r="BF28"/>
          <cell r="BG28"/>
          <cell r="BH28"/>
          <cell r="BI28"/>
          <cell r="BJ28"/>
          <cell r="BK28">
            <v>37</v>
          </cell>
        </row>
        <row r="29">
          <cell r="B29" t="str">
            <v>서울특별시 강남구</v>
          </cell>
          <cell r="C29">
            <v>1</v>
          </cell>
          <cell r="D29">
            <v>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J29">
            <v>1</v>
          </cell>
          <cell r="K29"/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1</v>
          </cell>
          <cell r="S29">
            <v>1</v>
          </cell>
          <cell r="T29"/>
          <cell r="U29">
            <v>1</v>
          </cell>
          <cell r="V29">
            <v>1</v>
          </cell>
          <cell r="W29">
            <v>1</v>
          </cell>
          <cell r="X29">
            <v>1</v>
          </cell>
          <cell r="Y29"/>
          <cell r="Z29">
            <v>1</v>
          </cell>
          <cell r="AA29">
            <v>1</v>
          </cell>
          <cell r="AB29">
            <v>1</v>
          </cell>
          <cell r="AC29"/>
          <cell r="AD29"/>
          <cell r="AE29">
            <v>1</v>
          </cell>
          <cell r="AF29"/>
          <cell r="AG29">
            <v>1</v>
          </cell>
          <cell r="AH29">
            <v>1</v>
          </cell>
          <cell r="AI29">
            <v>1</v>
          </cell>
          <cell r="AJ29">
            <v>1</v>
          </cell>
          <cell r="AK29">
            <v>1</v>
          </cell>
          <cell r="AL29"/>
          <cell r="AM29">
            <v>1</v>
          </cell>
          <cell r="AN29"/>
          <cell r="AO29"/>
          <cell r="AP29"/>
          <cell r="AQ29"/>
          <cell r="AR29">
            <v>1</v>
          </cell>
          <cell r="AS29"/>
          <cell r="AT29">
            <v>1</v>
          </cell>
          <cell r="AU29">
            <v>1</v>
          </cell>
          <cell r="AV29"/>
          <cell r="AW29">
            <v>1</v>
          </cell>
          <cell r="AX29"/>
          <cell r="AY29">
            <v>1</v>
          </cell>
          <cell r="AZ29"/>
          <cell r="BA29">
            <v>1</v>
          </cell>
          <cell r="BB29">
            <v>1</v>
          </cell>
          <cell r="BC29">
            <v>1</v>
          </cell>
          <cell r="BD29">
            <v>1</v>
          </cell>
          <cell r="BE29"/>
          <cell r="BF29"/>
          <cell r="BG29"/>
          <cell r="BH29"/>
          <cell r="BI29"/>
          <cell r="BJ29"/>
          <cell r="BK29">
            <v>39</v>
          </cell>
        </row>
        <row r="30">
          <cell r="B30" t="str">
            <v>서울특별시 송파구</v>
          </cell>
          <cell r="C30">
            <v>1</v>
          </cell>
          <cell r="D30">
            <v>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J30">
            <v>1</v>
          </cell>
          <cell r="K30"/>
          <cell r="L30">
            <v>1</v>
          </cell>
          <cell r="M30">
            <v>1</v>
          </cell>
          <cell r="N30">
            <v>1</v>
          </cell>
          <cell r="O30"/>
          <cell r="P30">
            <v>1</v>
          </cell>
          <cell r="Q30">
            <v>1</v>
          </cell>
          <cell r="R30"/>
          <cell r="S30">
            <v>1</v>
          </cell>
          <cell r="T30"/>
          <cell r="U30">
            <v>1</v>
          </cell>
          <cell r="V30"/>
          <cell r="W30">
            <v>1</v>
          </cell>
          <cell r="X30">
            <v>1</v>
          </cell>
          <cell r="Y30"/>
          <cell r="Z30">
            <v>1</v>
          </cell>
          <cell r="AA30">
            <v>1</v>
          </cell>
          <cell r="AB30">
            <v>1</v>
          </cell>
          <cell r="AC30"/>
          <cell r="AD30">
            <v>1</v>
          </cell>
          <cell r="AE30"/>
          <cell r="AF30">
            <v>1</v>
          </cell>
          <cell r="AG30">
            <v>1</v>
          </cell>
          <cell r="AH30">
            <v>1</v>
          </cell>
          <cell r="AI30">
            <v>1</v>
          </cell>
          <cell r="AJ30">
            <v>1</v>
          </cell>
          <cell r="AK30"/>
          <cell r="AL30"/>
          <cell r="AM30">
            <v>1</v>
          </cell>
          <cell r="AN30"/>
          <cell r="AO30"/>
          <cell r="AP30"/>
          <cell r="AQ30"/>
          <cell r="AR30"/>
          <cell r="AS30"/>
          <cell r="AT30">
            <v>1</v>
          </cell>
          <cell r="AU30">
            <v>1</v>
          </cell>
          <cell r="AV30"/>
          <cell r="AW30"/>
          <cell r="AX30"/>
          <cell r="AY30">
            <v>1</v>
          </cell>
          <cell r="AZ30"/>
          <cell r="BA30">
            <v>1</v>
          </cell>
          <cell r="BB30">
            <v>1</v>
          </cell>
          <cell r="BC30">
            <v>1</v>
          </cell>
          <cell r="BD30">
            <v>1</v>
          </cell>
          <cell r="BE30"/>
          <cell r="BF30"/>
          <cell r="BG30">
            <v>1</v>
          </cell>
          <cell r="BH30"/>
          <cell r="BI30"/>
          <cell r="BJ30"/>
          <cell r="BK30">
            <v>35</v>
          </cell>
        </row>
        <row r="31">
          <cell r="B31" t="str">
            <v>서울특별시 강동구</v>
          </cell>
          <cell r="C31">
            <v>1</v>
          </cell>
          <cell r="D31">
            <v>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J31">
            <v>1</v>
          </cell>
          <cell r="K31"/>
          <cell r="L31"/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/>
          <cell r="R31">
            <v>1</v>
          </cell>
          <cell r="S31"/>
          <cell r="T31"/>
          <cell r="U31">
            <v>1</v>
          </cell>
          <cell r="V31">
            <v>1</v>
          </cell>
          <cell r="W31"/>
          <cell r="X31">
            <v>1</v>
          </cell>
          <cell r="Y31"/>
          <cell r="Z31">
            <v>1</v>
          </cell>
          <cell r="AA31">
            <v>1</v>
          </cell>
          <cell r="AB31">
            <v>1</v>
          </cell>
          <cell r="AC31"/>
          <cell r="AD31">
            <v>1</v>
          </cell>
          <cell r="AE31">
            <v>1</v>
          </cell>
          <cell r="AF31"/>
          <cell r="AG31">
            <v>1</v>
          </cell>
          <cell r="AH31">
            <v>1</v>
          </cell>
          <cell r="AI31">
            <v>1</v>
          </cell>
          <cell r="AJ31">
            <v>1</v>
          </cell>
          <cell r="AK31"/>
          <cell r="AL31"/>
          <cell r="AM31"/>
          <cell r="AN31">
            <v>1</v>
          </cell>
          <cell r="AO31"/>
          <cell r="AP31"/>
          <cell r="AQ31"/>
          <cell r="AR31">
            <v>1</v>
          </cell>
          <cell r="AS31"/>
          <cell r="AT31"/>
          <cell r="AU31">
            <v>1</v>
          </cell>
          <cell r="AV31"/>
          <cell r="AW31"/>
          <cell r="AX31"/>
          <cell r="AY31">
            <v>1</v>
          </cell>
          <cell r="AZ31"/>
          <cell r="BA31">
            <v>1</v>
          </cell>
          <cell r="BB31">
            <v>1</v>
          </cell>
          <cell r="BC31"/>
          <cell r="BD31">
            <v>1</v>
          </cell>
          <cell r="BE31"/>
          <cell r="BF31"/>
          <cell r="BG31">
            <v>1</v>
          </cell>
          <cell r="BH31"/>
          <cell r="BI31"/>
          <cell r="BJ31"/>
          <cell r="BK31">
            <v>33</v>
          </cell>
        </row>
        <row r="32">
          <cell r="B32" t="str">
            <v>부산광역시</v>
          </cell>
          <cell r="C32"/>
          <cell r="D32"/>
          <cell r="E32"/>
          <cell r="F32">
            <v>1</v>
          </cell>
          <cell r="G32">
            <v>1</v>
          </cell>
          <cell r="H32"/>
          <cell r="I32"/>
          <cell r="J32"/>
          <cell r="K32"/>
          <cell r="L32">
            <v>1</v>
          </cell>
          <cell r="M32">
            <v>1</v>
          </cell>
          <cell r="N32"/>
          <cell r="O32">
            <v>1</v>
          </cell>
          <cell r="P32"/>
          <cell r="Q32">
            <v>1</v>
          </cell>
          <cell r="R32"/>
          <cell r="S32">
            <v>1</v>
          </cell>
          <cell r="T32">
            <v>1</v>
          </cell>
          <cell r="U32"/>
          <cell r="V32"/>
          <cell r="W32"/>
          <cell r="X32"/>
          <cell r="Y32"/>
          <cell r="Z32"/>
          <cell r="AA32"/>
          <cell r="AB32">
            <v>1</v>
          </cell>
          <cell r="AC32"/>
          <cell r="AD32"/>
          <cell r="AE32"/>
          <cell r="AF32"/>
          <cell r="AG32"/>
          <cell r="AH32">
            <v>1</v>
          </cell>
          <cell r="AI32"/>
          <cell r="AJ32"/>
          <cell r="AK32">
            <v>1</v>
          </cell>
          <cell r="AL32"/>
          <cell r="AM32">
            <v>1</v>
          </cell>
          <cell r="AN32"/>
          <cell r="AO32">
            <v>1</v>
          </cell>
          <cell r="AP32"/>
          <cell r="AQ32"/>
          <cell r="AR32">
            <v>1</v>
          </cell>
          <cell r="AS32"/>
          <cell r="AT32"/>
          <cell r="AU32"/>
          <cell r="AV32"/>
          <cell r="AW32">
            <v>1</v>
          </cell>
          <cell r="AX32"/>
          <cell r="AY32"/>
          <cell r="AZ32"/>
          <cell r="BA32"/>
          <cell r="BB32"/>
          <cell r="BC32"/>
          <cell r="BD32"/>
          <cell r="BE32">
            <v>1</v>
          </cell>
          <cell r="BF32"/>
          <cell r="BG32"/>
          <cell r="BH32"/>
          <cell r="BI32"/>
          <cell r="BJ32"/>
          <cell r="BK32">
            <v>16</v>
          </cell>
        </row>
        <row r="33">
          <cell r="B33" t="str">
            <v>부산광역시 중구</v>
          </cell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/>
          <cell r="L33">
            <v>1</v>
          </cell>
          <cell r="M33">
            <v>1</v>
          </cell>
          <cell r="N33">
            <v>1</v>
          </cell>
          <cell r="O33"/>
          <cell r="P33">
            <v>1</v>
          </cell>
          <cell r="Q33"/>
          <cell r="R33">
            <v>1</v>
          </cell>
          <cell r="S33"/>
          <cell r="T33"/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/>
          <cell r="Z33"/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/>
          <cell r="AF33"/>
          <cell r="AG33">
            <v>1</v>
          </cell>
          <cell r="AH33"/>
          <cell r="AI33">
            <v>1</v>
          </cell>
          <cell r="AJ33">
            <v>1</v>
          </cell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>
            <v>1</v>
          </cell>
          <cell r="AV33"/>
          <cell r="AW33"/>
          <cell r="AX33"/>
          <cell r="AY33">
            <v>1</v>
          </cell>
          <cell r="AZ33"/>
          <cell r="BA33">
            <v>1</v>
          </cell>
          <cell r="BB33">
            <v>1</v>
          </cell>
          <cell r="BC33"/>
          <cell r="BD33"/>
          <cell r="BE33"/>
          <cell r="BF33"/>
          <cell r="BG33"/>
          <cell r="BH33"/>
          <cell r="BI33"/>
          <cell r="BJ33"/>
          <cell r="BK33">
            <v>28</v>
          </cell>
        </row>
        <row r="34">
          <cell r="B34" t="str">
            <v>부산광역시 서구</v>
          </cell>
          <cell r="C34"/>
          <cell r="D34">
            <v>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  <cell r="J34">
            <v>1</v>
          </cell>
          <cell r="K34"/>
          <cell r="L34">
            <v>1</v>
          </cell>
          <cell r="M34">
            <v>1</v>
          </cell>
          <cell r="N34">
            <v>1</v>
          </cell>
          <cell r="O34"/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/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/>
          <cell r="Z34">
            <v>1</v>
          </cell>
          <cell r="AA34">
            <v>1</v>
          </cell>
          <cell r="AB34">
            <v>1</v>
          </cell>
          <cell r="AC34">
            <v>1</v>
          </cell>
          <cell r="AD34">
            <v>1</v>
          </cell>
          <cell r="AE34"/>
          <cell r="AF34"/>
          <cell r="AG34">
            <v>1</v>
          </cell>
          <cell r="AH34"/>
          <cell r="AI34">
            <v>1</v>
          </cell>
          <cell r="AJ34">
            <v>1</v>
          </cell>
          <cell r="AK34"/>
          <cell r="AL34"/>
          <cell r="AM34"/>
          <cell r="AN34">
            <v>1</v>
          </cell>
          <cell r="AO34"/>
          <cell r="AP34"/>
          <cell r="AQ34"/>
          <cell r="AR34"/>
          <cell r="AS34"/>
          <cell r="AT34"/>
          <cell r="AU34">
            <v>1</v>
          </cell>
          <cell r="AV34"/>
          <cell r="AW34"/>
          <cell r="AX34"/>
          <cell r="AY34">
            <v>1</v>
          </cell>
          <cell r="AZ34"/>
          <cell r="BA34">
            <v>1</v>
          </cell>
          <cell r="BB34">
            <v>1</v>
          </cell>
          <cell r="BC34"/>
          <cell r="BD34"/>
          <cell r="BE34"/>
          <cell r="BF34"/>
          <cell r="BG34"/>
          <cell r="BH34"/>
          <cell r="BI34"/>
          <cell r="BJ34"/>
          <cell r="BK34">
            <v>31</v>
          </cell>
        </row>
        <row r="35">
          <cell r="B35" t="str">
            <v>부산광역시 동구</v>
          </cell>
          <cell r="C35">
            <v>1</v>
          </cell>
          <cell r="D35">
            <v>1</v>
          </cell>
          <cell r="E35">
            <v>1</v>
          </cell>
          <cell r="F35"/>
          <cell r="G35"/>
          <cell r="H35">
            <v>1</v>
          </cell>
          <cell r="I35">
            <v>1</v>
          </cell>
          <cell r="J35">
            <v>1</v>
          </cell>
          <cell r="K35"/>
          <cell r="L35">
            <v>1</v>
          </cell>
          <cell r="M35">
            <v>1</v>
          </cell>
          <cell r="N35">
            <v>1</v>
          </cell>
          <cell r="O35"/>
          <cell r="P35">
            <v>1</v>
          </cell>
          <cell r="Q35">
            <v>1</v>
          </cell>
          <cell r="R35"/>
          <cell r="S35"/>
          <cell r="T35"/>
          <cell r="U35">
            <v>1</v>
          </cell>
          <cell r="V35"/>
          <cell r="W35">
            <v>1</v>
          </cell>
          <cell r="X35">
            <v>1</v>
          </cell>
          <cell r="Y35"/>
          <cell r="Z35">
            <v>1</v>
          </cell>
          <cell r="AA35"/>
          <cell r="AB35">
            <v>1</v>
          </cell>
          <cell r="AC35">
            <v>1</v>
          </cell>
          <cell r="AD35">
            <v>1</v>
          </cell>
          <cell r="AE35"/>
          <cell r="AF35"/>
          <cell r="AG35">
            <v>1</v>
          </cell>
          <cell r="AH35"/>
          <cell r="AI35">
            <v>1</v>
          </cell>
          <cell r="AJ35">
            <v>1</v>
          </cell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>
            <v>1</v>
          </cell>
          <cell r="AV35"/>
          <cell r="AW35"/>
          <cell r="AX35"/>
          <cell r="AY35">
            <v>1</v>
          </cell>
          <cell r="AZ35"/>
          <cell r="BA35"/>
          <cell r="BB35">
            <v>1</v>
          </cell>
          <cell r="BC35"/>
          <cell r="BD35"/>
          <cell r="BE35"/>
          <cell r="BF35"/>
          <cell r="BG35">
            <v>1</v>
          </cell>
          <cell r="BH35"/>
          <cell r="BI35"/>
          <cell r="BJ35"/>
          <cell r="BK35">
            <v>25</v>
          </cell>
        </row>
        <row r="36">
          <cell r="B36" t="str">
            <v>부산광역시 영도구</v>
          </cell>
          <cell r="C36">
            <v>1</v>
          </cell>
          <cell r="D36">
            <v>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1</v>
          </cell>
          <cell r="J36">
            <v>1</v>
          </cell>
          <cell r="K36"/>
          <cell r="L36">
            <v>1</v>
          </cell>
          <cell r="M36">
            <v>1</v>
          </cell>
          <cell r="N36">
            <v>1</v>
          </cell>
          <cell r="O36"/>
          <cell r="P36">
            <v>1</v>
          </cell>
          <cell r="Q36">
            <v>1</v>
          </cell>
          <cell r="R36"/>
          <cell r="S36">
            <v>1</v>
          </cell>
          <cell r="T36"/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/>
          <cell r="Z36">
            <v>1</v>
          </cell>
          <cell r="AA36">
            <v>1</v>
          </cell>
          <cell r="AB36">
            <v>1</v>
          </cell>
          <cell r="AC36">
            <v>1</v>
          </cell>
          <cell r="AD36">
            <v>1</v>
          </cell>
          <cell r="AE36">
            <v>1</v>
          </cell>
          <cell r="AF36"/>
          <cell r="AG36"/>
          <cell r="AH36"/>
          <cell r="AI36">
            <v>1</v>
          </cell>
          <cell r="AJ36">
            <v>1</v>
          </cell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>
            <v>1</v>
          </cell>
          <cell r="AV36"/>
          <cell r="AW36"/>
          <cell r="AX36">
            <v>1</v>
          </cell>
          <cell r="AY36">
            <v>1</v>
          </cell>
          <cell r="AZ36"/>
          <cell r="BA36">
            <v>1</v>
          </cell>
          <cell r="BB36">
            <v>1</v>
          </cell>
          <cell r="BC36"/>
          <cell r="BD36"/>
          <cell r="BE36"/>
          <cell r="BF36"/>
          <cell r="BG36"/>
          <cell r="BH36"/>
          <cell r="BI36"/>
          <cell r="BJ36"/>
          <cell r="BK36">
            <v>31</v>
          </cell>
        </row>
        <row r="37">
          <cell r="B37" t="str">
            <v>부산광역시 부산진구</v>
          </cell>
          <cell r="C37">
            <v>1</v>
          </cell>
          <cell r="D37">
            <v>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  <cell r="J37">
            <v>1</v>
          </cell>
          <cell r="K37"/>
          <cell r="L37">
            <v>1</v>
          </cell>
          <cell r="M37">
            <v>1</v>
          </cell>
          <cell r="N37">
            <v>1</v>
          </cell>
          <cell r="O37"/>
          <cell r="P37">
            <v>1</v>
          </cell>
          <cell r="Q37">
            <v>1</v>
          </cell>
          <cell r="R37">
            <v>1</v>
          </cell>
          <cell r="S37"/>
          <cell r="T37"/>
          <cell r="U37">
            <v>1</v>
          </cell>
          <cell r="V37">
            <v>1</v>
          </cell>
          <cell r="W37">
            <v>1</v>
          </cell>
          <cell r="X37"/>
          <cell r="Y37"/>
          <cell r="Z37">
            <v>1</v>
          </cell>
          <cell r="AA37">
            <v>1</v>
          </cell>
          <cell r="AB37">
            <v>1</v>
          </cell>
          <cell r="AC37"/>
          <cell r="AD37"/>
          <cell r="AE37"/>
          <cell r="AF37"/>
          <cell r="AG37">
            <v>1</v>
          </cell>
          <cell r="AH37"/>
          <cell r="AI37">
            <v>1</v>
          </cell>
          <cell r="AJ37">
            <v>1</v>
          </cell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>
            <v>1</v>
          </cell>
          <cell r="AV37"/>
          <cell r="AW37"/>
          <cell r="AX37"/>
          <cell r="AY37">
            <v>1</v>
          </cell>
          <cell r="AZ37"/>
          <cell r="BA37">
            <v>1</v>
          </cell>
          <cell r="BB37">
            <v>1</v>
          </cell>
          <cell r="BC37">
            <v>1</v>
          </cell>
          <cell r="BD37"/>
          <cell r="BE37"/>
          <cell r="BF37"/>
          <cell r="BG37"/>
          <cell r="BH37"/>
          <cell r="BI37"/>
          <cell r="BJ37"/>
          <cell r="BK37">
            <v>28</v>
          </cell>
        </row>
        <row r="38">
          <cell r="B38" t="str">
            <v>부산광역시 동래구</v>
          </cell>
          <cell r="C38">
            <v>1</v>
          </cell>
          <cell r="D38">
            <v>1</v>
          </cell>
          <cell r="E38">
            <v>1</v>
          </cell>
          <cell r="F38">
            <v>1</v>
          </cell>
          <cell r="G38">
            <v>1</v>
          </cell>
          <cell r="H38"/>
          <cell r="I38">
            <v>1</v>
          </cell>
          <cell r="J38">
            <v>1</v>
          </cell>
          <cell r="K38"/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/>
          <cell r="R38"/>
          <cell r="S38"/>
          <cell r="T38"/>
          <cell r="U38">
            <v>1</v>
          </cell>
          <cell r="V38">
            <v>1</v>
          </cell>
          <cell r="W38">
            <v>1</v>
          </cell>
          <cell r="X38">
            <v>1</v>
          </cell>
          <cell r="Y38"/>
          <cell r="Z38">
            <v>1</v>
          </cell>
          <cell r="AA38">
            <v>1</v>
          </cell>
          <cell r="AB38">
            <v>1</v>
          </cell>
          <cell r="AC38">
            <v>1</v>
          </cell>
          <cell r="AD38">
            <v>1</v>
          </cell>
          <cell r="AE38"/>
          <cell r="AF38"/>
          <cell r="AG38">
            <v>1</v>
          </cell>
          <cell r="AH38"/>
          <cell r="AI38">
            <v>1</v>
          </cell>
          <cell r="AJ38">
            <v>1</v>
          </cell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>
            <v>1</v>
          </cell>
          <cell r="AV38"/>
          <cell r="AW38"/>
          <cell r="AX38"/>
          <cell r="AY38">
            <v>1</v>
          </cell>
          <cell r="AZ38"/>
          <cell r="BA38">
            <v>1</v>
          </cell>
          <cell r="BB38">
            <v>1</v>
          </cell>
          <cell r="BC38"/>
          <cell r="BD38"/>
          <cell r="BE38"/>
          <cell r="BF38"/>
          <cell r="BG38"/>
          <cell r="BH38"/>
          <cell r="BI38"/>
          <cell r="BJ38"/>
          <cell r="BK38">
            <v>28</v>
          </cell>
        </row>
        <row r="39">
          <cell r="B39" t="str">
            <v>부산광역시 남구</v>
          </cell>
          <cell r="C39">
            <v>1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J39">
            <v>1</v>
          </cell>
          <cell r="K39"/>
          <cell r="L39">
            <v>1</v>
          </cell>
          <cell r="M39">
            <v>1</v>
          </cell>
          <cell r="N39">
            <v>1</v>
          </cell>
          <cell r="O39"/>
          <cell r="P39">
            <v>1</v>
          </cell>
          <cell r="Q39">
            <v>1</v>
          </cell>
          <cell r="R39">
            <v>1</v>
          </cell>
          <cell r="S39">
            <v>1</v>
          </cell>
          <cell r="T39"/>
          <cell r="U39"/>
          <cell r="V39">
            <v>1</v>
          </cell>
          <cell r="W39">
            <v>1</v>
          </cell>
          <cell r="X39">
            <v>1</v>
          </cell>
          <cell r="Y39"/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/>
          <cell r="AF39"/>
          <cell r="AG39">
            <v>1</v>
          </cell>
          <cell r="AH39"/>
          <cell r="AI39">
            <v>1</v>
          </cell>
          <cell r="AJ39">
            <v>1</v>
          </cell>
          <cell r="AK39"/>
          <cell r="AL39"/>
          <cell r="AM39"/>
          <cell r="AN39">
            <v>1</v>
          </cell>
          <cell r="AO39"/>
          <cell r="AP39"/>
          <cell r="AQ39"/>
          <cell r="AR39">
            <v>1</v>
          </cell>
          <cell r="AS39"/>
          <cell r="AT39"/>
          <cell r="AU39">
            <v>1</v>
          </cell>
          <cell r="AV39"/>
          <cell r="AW39"/>
          <cell r="AX39"/>
          <cell r="AY39"/>
          <cell r="AZ39"/>
          <cell r="BA39">
            <v>1</v>
          </cell>
          <cell r="BB39"/>
          <cell r="BC39"/>
          <cell r="BD39"/>
          <cell r="BE39"/>
          <cell r="BF39"/>
          <cell r="BG39"/>
          <cell r="BH39"/>
          <cell r="BI39"/>
          <cell r="BJ39"/>
          <cell r="BK39">
            <v>30</v>
          </cell>
        </row>
        <row r="40">
          <cell r="B40" t="str">
            <v>부산광역시 북구</v>
          </cell>
          <cell r="C40">
            <v>1</v>
          </cell>
          <cell r="D40">
            <v>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J40">
            <v>1</v>
          </cell>
          <cell r="K40"/>
          <cell r="L40"/>
          <cell r="M40">
            <v>1</v>
          </cell>
          <cell r="N40">
            <v>1</v>
          </cell>
          <cell r="O40"/>
          <cell r="P40">
            <v>1</v>
          </cell>
          <cell r="Q40">
            <v>1</v>
          </cell>
          <cell r="R40">
            <v>1</v>
          </cell>
          <cell r="S40"/>
          <cell r="T40"/>
          <cell r="U40">
            <v>1</v>
          </cell>
          <cell r="V40">
            <v>1</v>
          </cell>
          <cell r="W40">
            <v>1</v>
          </cell>
          <cell r="X40">
            <v>1</v>
          </cell>
          <cell r="Y40"/>
          <cell r="Z40"/>
          <cell r="AA40"/>
          <cell r="AB40">
            <v>1</v>
          </cell>
          <cell r="AC40"/>
          <cell r="AD40">
            <v>1</v>
          </cell>
          <cell r="AE40"/>
          <cell r="AF40"/>
          <cell r="AG40">
            <v>1</v>
          </cell>
          <cell r="AH40"/>
          <cell r="AI40">
            <v>1</v>
          </cell>
          <cell r="AJ40">
            <v>1</v>
          </cell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>
            <v>1</v>
          </cell>
          <cell r="AV40"/>
          <cell r="AW40"/>
          <cell r="AX40"/>
          <cell r="AY40">
            <v>1</v>
          </cell>
          <cell r="AZ40"/>
          <cell r="BA40"/>
          <cell r="BB40">
            <v>1</v>
          </cell>
          <cell r="BC40"/>
          <cell r="BD40"/>
          <cell r="BE40"/>
          <cell r="BF40"/>
          <cell r="BG40"/>
          <cell r="BH40"/>
          <cell r="BI40"/>
          <cell r="BJ40"/>
          <cell r="BK40">
            <v>25</v>
          </cell>
        </row>
        <row r="41">
          <cell r="B41" t="str">
            <v>부산광역시 해운대구</v>
          </cell>
          <cell r="C41">
            <v>1</v>
          </cell>
          <cell r="D41">
            <v>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/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/>
          <cell r="S41">
            <v>1</v>
          </cell>
          <cell r="T41"/>
          <cell r="U41">
            <v>1</v>
          </cell>
          <cell r="V41">
            <v>1</v>
          </cell>
          <cell r="W41">
            <v>1</v>
          </cell>
          <cell r="X41">
            <v>1</v>
          </cell>
          <cell r="Y41"/>
          <cell r="Z41">
            <v>1</v>
          </cell>
          <cell r="AA41">
            <v>1</v>
          </cell>
          <cell r="AB41">
            <v>1</v>
          </cell>
          <cell r="AC41">
            <v>1</v>
          </cell>
          <cell r="AD41">
            <v>1</v>
          </cell>
          <cell r="AE41">
            <v>1</v>
          </cell>
          <cell r="AF41"/>
          <cell r="AG41">
            <v>1</v>
          </cell>
          <cell r="AH41"/>
          <cell r="AI41">
            <v>1</v>
          </cell>
          <cell r="AJ41">
            <v>1</v>
          </cell>
          <cell r="AK41"/>
          <cell r="AL41"/>
          <cell r="AM41"/>
          <cell r="AN41">
            <v>1</v>
          </cell>
          <cell r="AO41"/>
          <cell r="AP41"/>
          <cell r="AQ41"/>
          <cell r="AR41"/>
          <cell r="AS41"/>
          <cell r="AT41"/>
          <cell r="AU41">
            <v>1</v>
          </cell>
          <cell r="AV41"/>
          <cell r="AW41"/>
          <cell r="AX41">
            <v>1</v>
          </cell>
          <cell r="AY41">
            <v>1</v>
          </cell>
          <cell r="AZ41"/>
          <cell r="BA41"/>
          <cell r="BB41">
            <v>1</v>
          </cell>
          <cell r="BC41"/>
          <cell r="BD41"/>
          <cell r="BE41"/>
          <cell r="BF41"/>
          <cell r="BG41"/>
          <cell r="BH41"/>
          <cell r="BI41"/>
          <cell r="BJ41"/>
          <cell r="BK41">
            <v>33</v>
          </cell>
        </row>
        <row r="42">
          <cell r="B42" t="str">
            <v>부산광역시 사하구</v>
          </cell>
          <cell r="C42">
            <v>1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J42">
            <v>1</v>
          </cell>
          <cell r="K42"/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  <cell r="S42">
            <v>1</v>
          </cell>
          <cell r="T42"/>
          <cell r="U42">
            <v>1</v>
          </cell>
          <cell r="V42">
            <v>1</v>
          </cell>
          <cell r="W42">
            <v>1</v>
          </cell>
          <cell r="X42">
            <v>1</v>
          </cell>
          <cell r="Y42"/>
          <cell r="Z42">
            <v>1</v>
          </cell>
          <cell r="AA42">
            <v>1</v>
          </cell>
          <cell r="AB42">
            <v>1</v>
          </cell>
          <cell r="AC42">
            <v>1</v>
          </cell>
          <cell r="AD42">
            <v>1</v>
          </cell>
          <cell r="AE42">
            <v>1</v>
          </cell>
          <cell r="AF42">
            <v>1</v>
          </cell>
          <cell r="AG42"/>
          <cell r="AH42"/>
          <cell r="AI42">
            <v>1</v>
          </cell>
          <cell r="AJ42">
            <v>1</v>
          </cell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>
            <v>1</v>
          </cell>
          <cell r="AZ42"/>
          <cell r="BA42">
            <v>1</v>
          </cell>
          <cell r="BB42">
            <v>1</v>
          </cell>
          <cell r="BC42"/>
          <cell r="BD42"/>
          <cell r="BE42"/>
          <cell r="BF42"/>
          <cell r="BG42"/>
          <cell r="BH42"/>
          <cell r="BI42"/>
          <cell r="BJ42"/>
          <cell r="BK42">
            <v>32</v>
          </cell>
        </row>
        <row r="43">
          <cell r="B43" t="str">
            <v>부산광역시 금정구</v>
          </cell>
          <cell r="C43">
            <v>1</v>
          </cell>
          <cell r="D43">
            <v>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J43">
            <v>1</v>
          </cell>
          <cell r="K43"/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/>
          <cell r="S43">
            <v>1</v>
          </cell>
          <cell r="T43"/>
          <cell r="U43">
            <v>1</v>
          </cell>
          <cell r="V43">
            <v>1</v>
          </cell>
          <cell r="W43">
            <v>1</v>
          </cell>
          <cell r="X43">
            <v>1</v>
          </cell>
          <cell r="Y43"/>
          <cell r="Z43"/>
          <cell r="AA43">
            <v>1</v>
          </cell>
          <cell r="AB43">
            <v>1</v>
          </cell>
          <cell r="AC43">
            <v>1</v>
          </cell>
          <cell r="AD43">
            <v>1</v>
          </cell>
          <cell r="AE43"/>
          <cell r="AF43"/>
          <cell r="AG43">
            <v>1</v>
          </cell>
          <cell r="AH43"/>
          <cell r="AI43">
            <v>1</v>
          </cell>
          <cell r="AJ43">
            <v>1</v>
          </cell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>
            <v>1</v>
          </cell>
          <cell r="AY43">
            <v>1</v>
          </cell>
          <cell r="AZ43"/>
          <cell r="BA43"/>
          <cell r="BB43">
            <v>1</v>
          </cell>
          <cell r="BC43">
            <v>1</v>
          </cell>
          <cell r="BD43"/>
          <cell r="BE43"/>
          <cell r="BF43"/>
          <cell r="BG43"/>
          <cell r="BH43"/>
          <cell r="BI43"/>
          <cell r="BJ43"/>
          <cell r="BK43">
            <v>30</v>
          </cell>
        </row>
        <row r="44">
          <cell r="B44" t="str">
            <v>부산광역시 강서구</v>
          </cell>
          <cell r="C44">
            <v>1</v>
          </cell>
          <cell r="D44">
            <v>1</v>
          </cell>
          <cell r="E44">
            <v>1</v>
          </cell>
          <cell r="F44"/>
          <cell r="G44">
            <v>1</v>
          </cell>
          <cell r="H44">
            <v>1</v>
          </cell>
          <cell r="I44">
            <v>1</v>
          </cell>
          <cell r="J44">
            <v>1</v>
          </cell>
          <cell r="K44"/>
          <cell r="L44">
            <v>1</v>
          </cell>
          <cell r="M44">
            <v>1</v>
          </cell>
          <cell r="N44">
            <v>1</v>
          </cell>
          <cell r="O44"/>
          <cell r="P44">
            <v>1</v>
          </cell>
          <cell r="Q44">
            <v>1</v>
          </cell>
          <cell r="R44"/>
          <cell r="S44">
            <v>1</v>
          </cell>
          <cell r="T44"/>
          <cell r="U44">
            <v>1</v>
          </cell>
          <cell r="V44">
            <v>1</v>
          </cell>
          <cell r="W44"/>
          <cell r="X44"/>
          <cell r="Y44"/>
          <cell r="Z44"/>
          <cell r="AA44">
            <v>1</v>
          </cell>
          <cell r="AB44">
            <v>1</v>
          </cell>
          <cell r="AC44"/>
          <cell r="AD44">
            <v>1</v>
          </cell>
          <cell r="AE44">
            <v>1</v>
          </cell>
          <cell r="AF44"/>
          <cell r="AG44"/>
          <cell r="AH44"/>
          <cell r="AI44">
            <v>1</v>
          </cell>
          <cell r="AJ44">
            <v>1</v>
          </cell>
          <cell r="AK44"/>
          <cell r="AL44"/>
          <cell r="AM44"/>
          <cell r="AN44"/>
          <cell r="AO44"/>
          <cell r="AP44"/>
          <cell r="AQ44"/>
          <cell r="AR44">
            <v>1</v>
          </cell>
          <cell r="AS44"/>
          <cell r="AT44"/>
          <cell r="AU44">
            <v>1</v>
          </cell>
          <cell r="AV44"/>
          <cell r="AW44"/>
          <cell r="AX44"/>
          <cell r="AY44">
            <v>1</v>
          </cell>
          <cell r="AZ44"/>
          <cell r="BA44">
            <v>1</v>
          </cell>
          <cell r="BB44"/>
          <cell r="BC44"/>
          <cell r="BD44"/>
          <cell r="BE44"/>
          <cell r="BF44"/>
          <cell r="BG44"/>
          <cell r="BH44"/>
          <cell r="BI44"/>
          <cell r="BJ44"/>
          <cell r="BK44">
            <v>25</v>
          </cell>
        </row>
        <row r="45">
          <cell r="B45" t="str">
            <v>부산광역시 연제구</v>
          </cell>
          <cell r="C45">
            <v>1</v>
          </cell>
          <cell r="D45">
            <v>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1</v>
          </cell>
          <cell r="J45">
            <v>1</v>
          </cell>
          <cell r="K45"/>
          <cell r="L45"/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/>
          <cell r="R45">
            <v>1</v>
          </cell>
          <cell r="S45"/>
          <cell r="T45"/>
          <cell r="U45">
            <v>1</v>
          </cell>
          <cell r="V45">
            <v>1</v>
          </cell>
          <cell r="W45">
            <v>1</v>
          </cell>
          <cell r="X45">
            <v>1</v>
          </cell>
          <cell r="Y45"/>
          <cell r="Z45">
            <v>1</v>
          </cell>
          <cell r="AA45">
            <v>1</v>
          </cell>
          <cell r="AB45">
            <v>1</v>
          </cell>
          <cell r="AC45"/>
          <cell r="AD45">
            <v>1</v>
          </cell>
          <cell r="AE45">
            <v>1</v>
          </cell>
          <cell r="AF45"/>
          <cell r="AG45"/>
          <cell r="AH45"/>
          <cell r="AI45">
            <v>1</v>
          </cell>
          <cell r="AJ45">
            <v>1</v>
          </cell>
          <cell r="AK45"/>
          <cell r="AL45"/>
          <cell r="AM45"/>
          <cell r="AN45"/>
          <cell r="AO45"/>
          <cell r="AP45"/>
          <cell r="AQ45"/>
          <cell r="AR45">
            <v>1</v>
          </cell>
          <cell r="AS45"/>
          <cell r="AT45"/>
          <cell r="AU45">
            <v>1</v>
          </cell>
          <cell r="AV45"/>
          <cell r="AW45"/>
          <cell r="AX45">
            <v>1</v>
          </cell>
          <cell r="AY45">
            <v>1</v>
          </cell>
          <cell r="AZ45">
            <v>1</v>
          </cell>
          <cell r="BA45">
            <v>1</v>
          </cell>
          <cell r="BB45">
            <v>1</v>
          </cell>
          <cell r="BC45">
            <v>1</v>
          </cell>
          <cell r="BD45"/>
          <cell r="BE45"/>
          <cell r="BF45"/>
          <cell r="BG45"/>
          <cell r="BH45"/>
          <cell r="BI45"/>
          <cell r="BJ45"/>
          <cell r="BK45">
            <v>32</v>
          </cell>
        </row>
        <row r="46">
          <cell r="B46" t="str">
            <v>부산광역시 수영구</v>
          </cell>
          <cell r="C46">
            <v>1</v>
          </cell>
          <cell r="D46">
            <v>1</v>
          </cell>
          <cell r="E46">
            <v>1</v>
          </cell>
          <cell r="F46">
            <v>1</v>
          </cell>
          <cell r="G46">
            <v>1</v>
          </cell>
          <cell r="H46"/>
          <cell r="I46">
            <v>1</v>
          </cell>
          <cell r="J46">
            <v>1</v>
          </cell>
          <cell r="K46"/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1</v>
          </cell>
          <cell r="S46"/>
          <cell r="T46"/>
          <cell r="U46">
            <v>1</v>
          </cell>
          <cell r="V46"/>
          <cell r="W46">
            <v>1</v>
          </cell>
          <cell r="X46">
            <v>1</v>
          </cell>
          <cell r="Y46"/>
          <cell r="Z46">
            <v>1</v>
          </cell>
          <cell r="AA46">
            <v>1</v>
          </cell>
          <cell r="AB46">
            <v>1</v>
          </cell>
          <cell r="AC46">
            <v>1</v>
          </cell>
          <cell r="AD46">
            <v>1</v>
          </cell>
          <cell r="AE46"/>
          <cell r="AF46"/>
          <cell r="AG46">
            <v>1</v>
          </cell>
          <cell r="AH46"/>
          <cell r="AI46">
            <v>1</v>
          </cell>
          <cell r="AJ46">
            <v>1</v>
          </cell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>
            <v>1</v>
          </cell>
          <cell r="AV46"/>
          <cell r="AW46"/>
          <cell r="AX46"/>
          <cell r="AY46">
            <v>1</v>
          </cell>
          <cell r="AZ46"/>
          <cell r="BA46"/>
          <cell r="BB46">
            <v>1</v>
          </cell>
          <cell r="BC46"/>
          <cell r="BD46"/>
          <cell r="BE46"/>
          <cell r="BF46"/>
          <cell r="BG46"/>
          <cell r="BH46"/>
          <cell r="BI46"/>
          <cell r="BJ46"/>
          <cell r="BK46">
            <v>28</v>
          </cell>
        </row>
        <row r="47">
          <cell r="B47" t="str">
            <v>부산광역시 사상구</v>
          </cell>
          <cell r="C47">
            <v>1</v>
          </cell>
          <cell r="D47">
            <v>1</v>
          </cell>
          <cell r="E47">
            <v>1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J47">
            <v>1</v>
          </cell>
          <cell r="K47"/>
          <cell r="L47"/>
          <cell r="M47">
            <v>1</v>
          </cell>
          <cell r="N47">
            <v>1</v>
          </cell>
          <cell r="O47"/>
          <cell r="P47">
            <v>1</v>
          </cell>
          <cell r="Q47">
            <v>1</v>
          </cell>
          <cell r="R47">
            <v>1</v>
          </cell>
          <cell r="S47">
            <v>1</v>
          </cell>
          <cell r="T47"/>
          <cell r="U47">
            <v>1</v>
          </cell>
          <cell r="V47">
            <v>1</v>
          </cell>
          <cell r="W47">
            <v>1</v>
          </cell>
          <cell r="X47">
            <v>1</v>
          </cell>
          <cell r="Y47"/>
          <cell r="Z47">
            <v>1</v>
          </cell>
          <cell r="AA47">
            <v>1</v>
          </cell>
          <cell r="AB47">
            <v>1</v>
          </cell>
          <cell r="AC47"/>
          <cell r="AD47">
            <v>1</v>
          </cell>
          <cell r="AE47"/>
          <cell r="AF47"/>
          <cell r="AG47"/>
          <cell r="AH47"/>
          <cell r="AI47">
            <v>1</v>
          </cell>
          <cell r="AJ47">
            <v>1</v>
          </cell>
          <cell r="AK47"/>
          <cell r="AL47"/>
          <cell r="AM47"/>
          <cell r="AN47"/>
          <cell r="AO47"/>
          <cell r="AP47"/>
          <cell r="AQ47"/>
          <cell r="AR47">
            <v>1</v>
          </cell>
          <cell r="AS47"/>
          <cell r="AT47"/>
          <cell r="AU47">
            <v>1</v>
          </cell>
          <cell r="AV47"/>
          <cell r="AW47"/>
          <cell r="AX47"/>
          <cell r="AY47">
            <v>1</v>
          </cell>
          <cell r="AZ47"/>
          <cell r="BA47"/>
          <cell r="BB47">
            <v>1</v>
          </cell>
          <cell r="BC47">
            <v>1</v>
          </cell>
          <cell r="BD47"/>
          <cell r="BE47"/>
          <cell r="BF47"/>
          <cell r="BG47"/>
          <cell r="BH47"/>
          <cell r="BI47"/>
          <cell r="BJ47"/>
          <cell r="BK47">
            <v>29</v>
          </cell>
        </row>
        <row r="48">
          <cell r="B48" t="str">
            <v>부산광역시 기장군</v>
          </cell>
          <cell r="C48">
            <v>1</v>
          </cell>
          <cell r="D48">
            <v>1</v>
          </cell>
          <cell r="E48">
            <v>1</v>
          </cell>
          <cell r="F48"/>
          <cell r="G48"/>
          <cell r="H48">
            <v>1</v>
          </cell>
          <cell r="I48">
            <v>1</v>
          </cell>
          <cell r="J48"/>
          <cell r="K48"/>
          <cell r="L48"/>
          <cell r="M48">
            <v>1</v>
          </cell>
          <cell r="N48">
            <v>1</v>
          </cell>
          <cell r="O48"/>
          <cell r="P48">
            <v>1</v>
          </cell>
          <cell r="Q48">
            <v>1</v>
          </cell>
          <cell r="R48"/>
          <cell r="S48"/>
          <cell r="T48">
            <v>1</v>
          </cell>
          <cell r="U48">
            <v>1</v>
          </cell>
          <cell r="V48">
            <v>1</v>
          </cell>
          <cell r="W48"/>
          <cell r="X48">
            <v>1</v>
          </cell>
          <cell r="Y48"/>
          <cell r="Z48">
            <v>1</v>
          </cell>
          <cell r="AA48">
            <v>1</v>
          </cell>
          <cell r="AB48">
            <v>1</v>
          </cell>
          <cell r="AC48"/>
          <cell r="AD48">
            <v>1</v>
          </cell>
          <cell r="AE48"/>
          <cell r="AF48"/>
          <cell r="AG48">
            <v>1</v>
          </cell>
          <cell r="AH48"/>
          <cell r="AI48">
            <v>1</v>
          </cell>
          <cell r="AJ48">
            <v>1</v>
          </cell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>
            <v>1</v>
          </cell>
          <cell r="AV48"/>
          <cell r="AW48"/>
          <cell r="AX48">
            <v>1</v>
          </cell>
          <cell r="AY48">
            <v>1</v>
          </cell>
          <cell r="AZ48"/>
          <cell r="BA48"/>
          <cell r="BB48">
            <v>1</v>
          </cell>
          <cell r="BC48"/>
          <cell r="BD48"/>
          <cell r="BE48"/>
          <cell r="BF48"/>
          <cell r="BG48">
            <v>1</v>
          </cell>
          <cell r="BH48"/>
          <cell r="BI48"/>
          <cell r="BJ48"/>
          <cell r="BK48">
            <v>25</v>
          </cell>
        </row>
        <row r="49">
          <cell r="B49" t="str">
            <v>인천광역시</v>
          </cell>
          <cell r="C49"/>
          <cell r="D49">
            <v>1</v>
          </cell>
          <cell r="E49"/>
          <cell r="F49"/>
          <cell r="G49"/>
          <cell r="H49"/>
          <cell r="I49">
            <v>1</v>
          </cell>
          <cell r="J49">
            <v>1</v>
          </cell>
          <cell r="K49"/>
          <cell r="L49">
            <v>1</v>
          </cell>
          <cell r="M49">
            <v>1</v>
          </cell>
          <cell r="N49"/>
          <cell r="O49"/>
          <cell r="P49"/>
          <cell r="Q49"/>
          <cell r="R49"/>
          <cell r="S49">
            <v>1</v>
          </cell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>
            <v>1</v>
          </cell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>
            <v>7</v>
          </cell>
        </row>
        <row r="50">
          <cell r="B50" t="str">
            <v>인천광역시 중구</v>
          </cell>
          <cell r="C50">
            <v>1</v>
          </cell>
          <cell r="D50">
            <v>1</v>
          </cell>
          <cell r="E50">
            <v>1</v>
          </cell>
          <cell r="F50">
            <v>1</v>
          </cell>
          <cell r="G50">
            <v>1</v>
          </cell>
          <cell r="H50">
            <v>1</v>
          </cell>
          <cell r="I50">
            <v>1</v>
          </cell>
          <cell r="J50">
            <v>1</v>
          </cell>
          <cell r="K50"/>
          <cell r="L50">
            <v>1</v>
          </cell>
          <cell r="M50">
            <v>1</v>
          </cell>
          <cell r="N50">
            <v>1</v>
          </cell>
          <cell r="O50"/>
          <cell r="P50">
            <v>1</v>
          </cell>
          <cell r="Q50"/>
          <cell r="R50">
            <v>1</v>
          </cell>
          <cell r="S50">
            <v>1</v>
          </cell>
          <cell r="T50"/>
          <cell r="U50">
            <v>1</v>
          </cell>
          <cell r="V50">
            <v>1</v>
          </cell>
          <cell r="W50"/>
          <cell r="X50"/>
          <cell r="Y50"/>
          <cell r="Z50">
            <v>1</v>
          </cell>
          <cell r="AA50">
            <v>1</v>
          </cell>
          <cell r="AB50">
            <v>1</v>
          </cell>
          <cell r="AC50"/>
          <cell r="AD50">
            <v>1</v>
          </cell>
          <cell r="AE50"/>
          <cell r="AF50">
            <v>1</v>
          </cell>
          <cell r="AG50">
            <v>1</v>
          </cell>
          <cell r="AH50">
            <v>1</v>
          </cell>
          <cell r="AI50">
            <v>1</v>
          </cell>
          <cell r="AJ50">
            <v>1</v>
          </cell>
          <cell r="AK50"/>
          <cell r="AL50"/>
          <cell r="AM50"/>
          <cell r="AN50"/>
          <cell r="AO50"/>
          <cell r="AP50"/>
          <cell r="AQ50">
            <v>1</v>
          </cell>
          <cell r="AR50">
            <v>1</v>
          </cell>
          <cell r="AS50"/>
          <cell r="AT50"/>
          <cell r="AU50">
            <v>1</v>
          </cell>
          <cell r="AV50"/>
          <cell r="AW50"/>
          <cell r="AX50">
            <v>1</v>
          </cell>
          <cell r="AY50">
            <v>1</v>
          </cell>
          <cell r="AZ50"/>
          <cell r="BA50">
            <v>1</v>
          </cell>
          <cell r="BB50">
            <v>1</v>
          </cell>
          <cell r="BC50">
            <v>1</v>
          </cell>
          <cell r="BD50">
            <v>1</v>
          </cell>
          <cell r="BE50"/>
          <cell r="BF50"/>
          <cell r="BG50">
            <v>1</v>
          </cell>
          <cell r="BH50"/>
          <cell r="BI50"/>
          <cell r="BJ50"/>
          <cell r="BK50">
            <v>35</v>
          </cell>
        </row>
        <row r="51">
          <cell r="B51" t="str">
            <v>인천광역시 동구</v>
          </cell>
          <cell r="C51">
            <v>1</v>
          </cell>
          <cell r="D51">
            <v>1</v>
          </cell>
          <cell r="E51">
            <v>1</v>
          </cell>
          <cell r="F51">
            <v>1</v>
          </cell>
          <cell r="G51">
            <v>1</v>
          </cell>
          <cell r="H51">
            <v>1</v>
          </cell>
          <cell r="I51">
            <v>1</v>
          </cell>
          <cell r="J51">
            <v>1</v>
          </cell>
          <cell r="K51"/>
          <cell r="L51"/>
          <cell r="M51">
            <v>1</v>
          </cell>
          <cell r="N51">
            <v>1</v>
          </cell>
          <cell r="O51"/>
          <cell r="P51">
            <v>1</v>
          </cell>
          <cell r="Q51"/>
          <cell r="R51">
            <v>1</v>
          </cell>
          <cell r="S51">
            <v>1</v>
          </cell>
          <cell r="T51"/>
          <cell r="U51">
            <v>1</v>
          </cell>
          <cell r="V51"/>
          <cell r="W51">
            <v>1</v>
          </cell>
          <cell r="X51"/>
          <cell r="Y51"/>
          <cell r="Z51"/>
          <cell r="AA51">
            <v>1</v>
          </cell>
          <cell r="AB51">
            <v>1</v>
          </cell>
          <cell r="AC51"/>
          <cell r="AD51"/>
          <cell r="AE51"/>
          <cell r="AF51"/>
          <cell r="AG51">
            <v>1</v>
          </cell>
          <cell r="AH51"/>
          <cell r="AI51">
            <v>1</v>
          </cell>
          <cell r="AJ51">
            <v>1</v>
          </cell>
          <cell r="AK51"/>
          <cell r="AL51"/>
          <cell r="AM51"/>
          <cell r="AN51"/>
          <cell r="AO51"/>
          <cell r="AP51"/>
          <cell r="AQ51"/>
          <cell r="AR51">
            <v>1</v>
          </cell>
          <cell r="AS51"/>
          <cell r="AT51"/>
          <cell r="AU51">
            <v>1</v>
          </cell>
          <cell r="AV51"/>
          <cell r="AW51"/>
          <cell r="AX51"/>
          <cell r="AY51">
            <v>1</v>
          </cell>
          <cell r="AZ51">
            <v>1</v>
          </cell>
          <cell r="BA51"/>
          <cell r="BB51"/>
          <cell r="BC51">
            <v>1</v>
          </cell>
          <cell r="BD51">
            <v>1</v>
          </cell>
          <cell r="BE51"/>
          <cell r="BF51"/>
          <cell r="BG51">
            <v>1</v>
          </cell>
          <cell r="BH51"/>
          <cell r="BI51"/>
          <cell r="BJ51"/>
          <cell r="BK51">
            <v>27</v>
          </cell>
        </row>
        <row r="52">
          <cell r="B52" t="str">
            <v>인천광역시 미추홀구</v>
          </cell>
          <cell r="C52"/>
          <cell r="D52">
            <v>1</v>
          </cell>
          <cell r="E52">
            <v>1</v>
          </cell>
          <cell r="F52">
            <v>1</v>
          </cell>
          <cell r="G52">
            <v>1</v>
          </cell>
          <cell r="H52"/>
          <cell r="I52">
            <v>1</v>
          </cell>
          <cell r="J52">
            <v>1</v>
          </cell>
          <cell r="K52"/>
          <cell r="L52"/>
          <cell r="M52">
            <v>1</v>
          </cell>
          <cell r="N52">
            <v>1</v>
          </cell>
          <cell r="O52"/>
          <cell r="P52">
            <v>1</v>
          </cell>
          <cell r="Q52">
            <v>1</v>
          </cell>
          <cell r="R52">
            <v>1</v>
          </cell>
          <cell r="S52">
            <v>1</v>
          </cell>
          <cell r="T52"/>
          <cell r="U52">
            <v>1</v>
          </cell>
          <cell r="V52">
            <v>1</v>
          </cell>
          <cell r="W52"/>
          <cell r="X52"/>
          <cell r="Y52">
            <v>1</v>
          </cell>
          <cell r="Z52">
            <v>1</v>
          </cell>
          <cell r="AA52">
            <v>1</v>
          </cell>
          <cell r="AB52">
            <v>1</v>
          </cell>
          <cell r="AC52">
            <v>1</v>
          </cell>
          <cell r="AD52"/>
          <cell r="AE52">
            <v>1</v>
          </cell>
          <cell r="AF52"/>
          <cell r="AG52">
            <v>1</v>
          </cell>
          <cell r="AH52">
            <v>1</v>
          </cell>
          <cell r="AI52"/>
          <cell r="AJ52">
            <v>1</v>
          </cell>
          <cell r="AK52"/>
          <cell r="AL52"/>
          <cell r="AM52"/>
          <cell r="AN52"/>
          <cell r="AO52"/>
          <cell r="AP52"/>
          <cell r="AQ52"/>
          <cell r="AR52">
            <v>1</v>
          </cell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>
            <v>1</v>
          </cell>
          <cell r="BD52">
            <v>1</v>
          </cell>
          <cell r="BE52"/>
          <cell r="BF52"/>
          <cell r="BG52"/>
          <cell r="BH52"/>
          <cell r="BI52"/>
          <cell r="BJ52"/>
          <cell r="BK52">
            <v>26</v>
          </cell>
        </row>
        <row r="53">
          <cell r="B53" t="str">
            <v>인천광역시 연수구</v>
          </cell>
          <cell r="C53">
            <v>1</v>
          </cell>
          <cell r="D53">
            <v>1</v>
          </cell>
          <cell r="E53">
            <v>1</v>
          </cell>
          <cell r="F53">
            <v>1</v>
          </cell>
          <cell r="G53">
            <v>1</v>
          </cell>
          <cell r="H53">
            <v>1</v>
          </cell>
          <cell r="I53">
            <v>1</v>
          </cell>
          <cell r="J53">
            <v>1</v>
          </cell>
          <cell r="K53"/>
          <cell r="L53">
            <v>1</v>
          </cell>
          <cell r="M53">
            <v>1</v>
          </cell>
          <cell r="N53">
            <v>1</v>
          </cell>
          <cell r="O53"/>
          <cell r="P53">
            <v>1</v>
          </cell>
          <cell r="Q53">
            <v>1</v>
          </cell>
          <cell r="R53">
            <v>1</v>
          </cell>
          <cell r="S53">
            <v>1</v>
          </cell>
          <cell r="T53"/>
          <cell r="U53">
            <v>1</v>
          </cell>
          <cell r="V53">
            <v>1</v>
          </cell>
          <cell r="W53"/>
          <cell r="X53"/>
          <cell r="Y53"/>
          <cell r="Z53"/>
          <cell r="AA53">
            <v>1</v>
          </cell>
          <cell r="AB53">
            <v>1</v>
          </cell>
          <cell r="AC53">
            <v>1</v>
          </cell>
          <cell r="AD53">
            <v>1</v>
          </cell>
          <cell r="AE53"/>
          <cell r="AF53">
            <v>1</v>
          </cell>
          <cell r="AG53">
            <v>1</v>
          </cell>
          <cell r="AH53">
            <v>1</v>
          </cell>
          <cell r="AI53">
            <v>1</v>
          </cell>
          <cell r="AJ53">
            <v>1</v>
          </cell>
          <cell r="AK53"/>
          <cell r="AL53"/>
          <cell r="AM53"/>
          <cell r="AN53">
            <v>1</v>
          </cell>
          <cell r="AO53"/>
          <cell r="AP53"/>
          <cell r="AQ53"/>
          <cell r="AR53">
            <v>1</v>
          </cell>
          <cell r="AS53"/>
          <cell r="AT53"/>
          <cell r="AU53">
            <v>1</v>
          </cell>
          <cell r="AV53"/>
          <cell r="AW53"/>
          <cell r="AX53">
            <v>1</v>
          </cell>
          <cell r="AY53">
            <v>1</v>
          </cell>
          <cell r="AZ53"/>
          <cell r="BA53">
            <v>1</v>
          </cell>
          <cell r="BB53">
            <v>1</v>
          </cell>
          <cell r="BC53">
            <v>1</v>
          </cell>
          <cell r="BD53">
            <v>1</v>
          </cell>
          <cell r="BE53">
            <v>1</v>
          </cell>
          <cell r="BF53"/>
          <cell r="BG53">
            <v>1</v>
          </cell>
          <cell r="BH53"/>
          <cell r="BI53"/>
          <cell r="BJ53"/>
          <cell r="BK53">
            <v>37</v>
          </cell>
        </row>
        <row r="54">
          <cell r="B54" t="str">
            <v>인천광역시 남동구</v>
          </cell>
          <cell r="C54">
            <v>1</v>
          </cell>
          <cell r="D54">
            <v>1</v>
          </cell>
          <cell r="E54">
            <v>1</v>
          </cell>
          <cell r="F54">
            <v>1</v>
          </cell>
          <cell r="G54">
            <v>1</v>
          </cell>
          <cell r="H54">
            <v>1</v>
          </cell>
          <cell r="I54">
            <v>1</v>
          </cell>
          <cell r="J54">
            <v>1</v>
          </cell>
          <cell r="K54"/>
          <cell r="L54"/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/>
          <cell r="R54"/>
          <cell r="S54">
            <v>1</v>
          </cell>
          <cell r="T54"/>
          <cell r="U54">
            <v>1</v>
          </cell>
          <cell r="V54">
            <v>1</v>
          </cell>
          <cell r="W54"/>
          <cell r="X54">
            <v>1</v>
          </cell>
          <cell r="Y54"/>
          <cell r="Z54"/>
          <cell r="AA54">
            <v>1</v>
          </cell>
          <cell r="AB54">
            <v>1</v>
          </cell>
          <cell r="AC54">
            <v>1</v>
          </cell>
          <cell r="AD54">
            <v>1</v>
          </cell>
          <cell r="AE54">
            <v>1</v>
          </cell>
          <cell r="AF54">
            <v>1</v>
          </cell>
          <cell r="AG54">
            <v>1</v>
          </cell>
          <cell r="AH54">
            <v>1</v>
          </cell>
          <cell r="AI54"/>
          <cell r="AJ54">
            <v>1</v>
          </cell>
          <cell r="AK54"/>
          <cell r="AL54"/>
          <cell r="AM54"/>
          <cell r="AN54">
            <v>1</v>
          </cell>
          <cell r="AO54"/>
          <cell r="AP54"/>
          <cell r="AQ54">
            <v>1</v>
          </cell>
          <cell r="AR54">
            <v>1</v>
          </cell>
          <cell r="AS54">
            <v>1</v>
          </cell>
          <cell r="AT54"/>
          <cell r="AU54">
            <v>1</v>
          </cell>
          <cell r="AV54"/>
          <cell r="AW54"/>
          <cell r="AX54"/>
          <cell r="AY54">
            <v>1</v>
          </cell>
          <cell r="AZ54">
            <v>1</v>
          </cell>
          <cell r="BA54">
            <v>1</v>
          </cell>
          <cell r="BB54">
            <v>1</v>
          </cell>
          <cell r="BC54">
            <v>1</v>
          </cell>
          <cell r="BD54">
            <v>1</v>
          </cell>
          <cell r="BE54"/>
          <cell r="BF54"/>
          <cell r="BG54"/>
          <cell r="BH54"/>
          <cell r="BI54"/>
          <cell r="BJ54"/>
          <cell r="BK54">
            <v>36</v>
          </cell>
        </row>
        <row r="55">
          <cell r="B55" t="str">
            <v>인천광역시 부평구</v>
          </cell>
          <cell r="C55">
            <v>1</v>
          </cell>
          <cell r="D55">
            <v>1</v>
          </cell>
          <cell r="E55">
            <v>1</v>
          </cell>
          <cell r="F55">
            <v>1</v>
          </cell>
          <cell r="G55"/>
          <cell r="H55">
            <v>1</v>
          </cell>
          <cell r="I55">
            <v>1</v>
          </cell>
          <cell r="J55">
            <v>1</v>
          </cell>
          <cell r="K55"/>
          <cell r="L55"/>
          <cell r="M55">
            <v>1</v>
          </cell>
          <cell r="N55">
            <v>1</v>
          </cell>
          <cell r="O55"/>
          <cell r="P55">
            <v>1</v>
          </cell>
          <cell r="Q55">
            <v>1</v>
          </cell>
          <cell r="R55">
            <v>1</v>
          </cell>
          <cell r="S55">
            <v>1</v>
          </cell>
          <cell r="T55"/>
          <cell r="U55">
            <v>1</v>
          </cell>
          <cell r="V55">
            <v>1</v>
          </cell>
          <cell r="W55">
            <v>1</v>
          </cell>
          <cell r="X55">
            <v>1</v>
          </cell>
          <cell r="Y55"/>
          <cell r="Z55"/>
          <cell r="AA55">
            <v>1</v>
          </cell>
          <cell r="AB55">
            <v>1</v>
          </cell>
          <cell r="AC55">
            <v>1</v>
          </cell>
          <cell r="AD55">
            <v>1</v>
          </cell>
          <cell r="AE55"/>
          <cell r="AF55"/>
          <cell r="AG55">
            <v>1</v>
          </cell>
          <cell r="AH55">
            <v>1</v>
          </cell>
          <cell r="AI55">
            <v>1</v>
          </cell>
          <cell r="AJ55">
            <v>1</v>
          </cell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>
            <v>1</v>
          </cell>
          <cell r="AV55"/>
          <cell r="AW55"/>
          <cell r="AX55"/>
          <cell r="AY55">
            <v>1</v>
          </cell>
          <cell r="AZ55"/>
          <cell r="BA55"/>
          <cell r="BB55">
            <v>1</v>
          </cell>
          <cell r="BC55">
            <v>1</v>
          </cell>
          <cell r="BD55">
            <v>1</v>
          </cell>
          <cell r="BE55"/>
          <cell r="BF55"/>
          <cell r="BG55">
            <v>1</v>
          </cell>
          <cell r="BH55"/>
          <cell r="BI55"/>
          <cell r="BJ55"/>
          <cell r="BK55">
            <v>31</v>
          </cell>
        </row>
        <row r="56">
          <cell r="B56" t="str">
            <v>인천광역시 계양구</v>
          </cell>
          <cell r="C56">
            <v>1</v>
          </cell>
          <cell r="D56">
            <v>1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/>
          <cell r="L56">
            <v>1</v>
          </cell>
          <cell r="M56">
            <v>1</v>
          </cell>
          <cell r="N56">
            <v>1</v>
          </cell>
          <cell r="O56"/>
          <cell r="P56">
            <v>1</v>
          </cell>
          <cell r="Q56">
            <v>1</v>
          </cell>
          <cell r="R56">
            <v>1</v>
          </cell>
          <cell r="S56">
            <v>1</v>
          </cell>
          <cell r="T56"/>
          <cell r="U56">
            <v>1</v>
          </cell>
          <cell r="V56">
            <v>1</v>
          </cell>
          <cell r="W56">
            <v>1</v>
          </cell>
          <cell r="X56">
            <v>1</v>
          </cell>
          <cell r="Y56"/>
          <cell r="Z56">
            <v>1</v>
          </cell>
          <cell r="AA56">
            <v>1</v>
          </cell>
          <cell r="AB56">
            <v>1</v>
          </cell>
          <cell r="AC56"/>
          <cell r="AD56">
            <v>1</v>
          </cell>
          <cell r="AE56">
            <v>1</v>
          </cell>
          <cell r="AF56">
            <v>1</v>
          </cell>
          <cell r="AG56">
            <v>1</v>
          </cell>
          <cell r="AH56">
            <v>1</v>
          </cell>
          <cell r="AI56">
            <v>1</v>
          </cell>
          <cell r="AJ56">
            <v>1</v>
          </cell>
          <cell r="AK56">
            <v>1</v>
          </cell>
          <cell r="AL56"/>
          <cell r="AM56"/>
          <cell r="AN56">
            <v>1</v>
          </cell>
          <cell r="AO56"/>
          <cell r="AP56"/>
          <cell r="AQ56">
            <v>1</v>
          </cell>
          <cell r="AR56"/>
          <cell r="AS56"/>
          <cell r="AT56">
            <v>1</v>
          </cell>
          <cell r="AU56">
            <v>1</v>
          </cell>
          <cell r="AV56"/>
          <cell r="AW56"/>
          <cell r="AX56">
            <v>1</v>
          </cell>
          <cell r="AY56">
            <v>1</v>
          </cell>
          <cell r="AZ56"/>
          <cell r="BA56"/>
          <cell r="BB56">
            <v>1</v>
          </cell>
          <cell r="BC56">
            <v>1</v>
          </cell>
          <cell r="BD56">
            <v>1</v>
          </cell>
          <cell r="BE56"/>
          <cell r="BF56"/>
          <cell r="BG56"/>
          <cell r="BH56"/>
          <cell r="BI56"/>
          <cell r="BJ56"/>
          <cell r="BK56">
            <v>39</v>
          </cell>
        </row>
        <row r="57">
          <cell r="B57" t="str">
            <v>인천광역시 서구</v>
          </cell>
          <cell r="C57">
            <v>1</v>
          </cell>
          <cell r="D57">
            <v>1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/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1</v>
          </cell>
          <cell r="S57">
            <v>1</v>
          </cell>
          <cell r="T57"/>
          <cell r="U57">
            <v>1</v>
          </cell>
          <cell r="V57">
            <v>1</v>
          </cell>
          <cell r="W57"/>
          <cell r="X57">
            <v>1</v>
          </cell>
          <cell r="Y57"/>
          <cell r="Z57">
            <v>1</v>
          </cell>
          <cell r="AA57">
            <v>1</v>
          </cell>
          <cell r="AB57">
            <v>1</v>
          </cell>
          <cell r="AC57"/>
          <cell r="AD57">
            <v>1</v>
          </cell>
          <cell r="AE57">
            <v>1</v>
          </cell>
          <cell r="AF57"/>
          <cell r="AG57">
            <v>1</v>
          </cell>
          <cell r="AH57">
            <v>1</v>
          </cell>
          <cell r="AI57">
            <v>1</v>
          </cell>
          <cell r="AJ57">
            <v>1</v>
          </cell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>
            <v>1</v>
          </cell>
          <cell r="AV57"/>
          <cell r="AW57"/>
          <cell r="AX57">
            <v>1</v>
          </cell>
          <cell r="AY57">
            <v>1</v>
          </cell>
          <cell r="AZ57"/>
          <cell r="BA57">
            <v>1</v>
          </cell>
          <cell r="BB57">
            <v>1</v>
          </cell>
          <cell r="BC57">
            <v>1</v>
          </cell>
          <cell r="BD57">
            <v>1</v>
          </cell>
          <cell r="BE57"/>
          <cell r="BF57"/>
          <cell r="BG57"/>
          <cell r="BH57"/>
          <cell r="BI57"/>
          <cell r="BJ57"/>
          <cell r="BK57">
            <v>35</v>
          </cell>
        </row>
        <row r="58">
          <cell r="B58" t="str">
            <v>인천광역시 강화군</v>
          </cell>
          <cell r="C58">
            <v>1</v>
          </cell>
          <cell r="D58">
            <v>1</v>
          </cell>
          <cell r="E58">
            <v>1</v>
          </cell>
          <cell r="F58"/>
          <cell r="G58">
            <v>1</v>
          </cell>
          <cell r="H58">
            <v>1</v>
          </cell>
          <cell r="I58">
            <v>1</v>
          </cell>
          <cell r="J58">
            <v>1</v>
          </cell>
          <cell r="K58">
            <v>1</v>
          </cell>
          <cell r="L58">
            <v>1</v>
          </cell>
          <cell r="M58"/>
          <cell r="N58">
            <v>1</v>
          </cell>
          <cell r="O58"/>
          <cell r="P58">
            <v>1</v>
          </cell>
          <cell r="Q58">
            <v>1</v>
          </cell>
          <cell r="R58"/>
          <cell r="S58">
            <v>1</v>
          </cell>
          <cell r="T58">
            <v>1</v>
          </cell>
          <cell r="U58">
            <v>1</v>
          </cell>
          <cell r="V58"/>
          <cell r="W58"/>
          <cell r="X58">
            <v>1</v>
          </cell>
          <cell r="Y58"/>
          <cell r="Z58"/>
          <cell r="AA58"/>
          <cell r="AB58"/>
          <cell r="AC58">
            <v>1</v>
          </cell>
          <cell r="AD58">
            <v>1</v>
          </cell>
          <cell r="AE58">
            <v>1</v>
          </cell>
          <cell r="AF58"/>
          <cell r="AG58"/>
          <cell r="AH58">
            <v>1</v>
          </cell>
          <cell r="AI58">
            <v>1</v>
          </cell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>
            <v>1</v>
          </cell>
          <cell r="AU58">
            <v>1</v>
          </cell>
          <cell r="AV58"/>
          <cell r="AW58"/>
          <cell r="AX58">
            <v>1</v>
          </cell>
          <cell r="AY58">
            <v>1</v>
          </cell>
          <cell r="AZ58"/>
          <cell r="BA58">
            <v>1</v>
          </cell>
          <cell r="BB58">
            <v>1</v>
          </cell>
          <cell r="BC58">
            <v>1</v>
          </cell>
          <cell r="BD58">
            <v>1</v>
          </cell>
          <cell r="BE58"/>
          <cell r="BF58"/>
          <cell r="BG58"/>
          <cell r="BH58"/>
          <cell r="BI58"/>
          <cell r="BJ58"/>
          <cell r="BK58">
            <v>29</v>
          </cell>
        </row>
        <row r="59">
          <cell r="B59" t="str">
            <v>인천광역시 옹진군</v>
          </cell>
          <cell r="C59">
            <v>1</v>
          </cell>
          <cell r="D59"/>
          <cell r="E59">
            <v>1</v>
          </cell>
          <cell r="F59">
            <v>1</v>
          </cell>
          <cell r="G59">
            <v>1</v>
          </cell>
          <cell r="H59">
            <v>1</v>
          </cell>
          <cell r="I59">
            <v>1</v>
          </cell>
          <cell r="J59">
            <v>1</v>
          </cell>
          <cell r="K59"/>
          <cell r="L59">
            <v>1</v>
          </cell>
          <cell r="M59">
            <v>1</v>
          </cell>
          <cell r="N59">
            <v>1</v>
          </cell>
          <cell r="O59"/>
          <cell r="P59"/>
          <cell r="Q59"/>
          <cell r="R59"/>
          <cell r="S59"/>
          <cell r="T59">
            <v>1</v>
          </cell>
          <cell r="U59">
            <v>1</v>
          </cell>
          <cell r="V59">
            <v>1</v>
          </cell>
          <cell r="W59"/>
          <cell r="X59"/>
          <cell r="Y59">
            <v>1</v>
          </cell>
          <cell r="Z59">
            <v>1</v>
          </cell>
          <cell r="AA59"/>
          <cell r="AB59">
            <v>1</v>
          </cell>
          <cell r="AC59">
            <v>1</v>
          </cell>
          <cell r="AD59">
            <v>1</v>
          </cell>
          <cell r="AE59">
            <v>1</v>
          </cell>
          <cell r="AF59">
            <v>1</v>
          </cell>
          <cell r="AG59"/>
          <cell r="AH59"/>
          <cell r="AI59"/>
          <cell r="AJ59">
            <v>1</v>
          </cell>
          <cell r="AK59"/>
          <cell r="AL59"/>
          <cell r="AM59"/>
          <cell r="AN59">
            <v>1</v>
          </cell>
          <cell r="AO59"/>
          <cell r="AP59"/>
          <cell r="AQ59"/>
          <cell r="AR59"/>
          <cell r="AS59"/>
          <cell r="AT59"/>
          <cell r="AU59">
            <v>1</v>
          </cell>
          <cell r="AV59"/>
          <cell r="AW59"/>
          <cell r="AX59"/>
          <cell r="AY59">
            <v>1</v>
          </cell>
          <cell r="AZ59"/>
          <cell r="BA59"/>
          <cell r="BB59">
            <v>1</v>
          </cell>
          <cell r="BC59"/>
          <cell r="BD59">
            <v>1</v>
          </cell>
          <cell r="BE59"/>
          <cell r="BF59"/>
          <cell r="BG59">
            <v>1</v>
          </cell>
          <cell r="BH59"/>
          <cell r="BI59"/>
          <cell r="BJ59"/>
          <cell r="BK59">
            <v>27</v>
          </cell>
        </row>
        <row r="60">
          <cell r="B60" t="str">
            <v>대구광역시</v>
          </cell>
          <cell r="C60">
            <v>1</v>
          </cell>
          <cell r="D60">
            <v>1</v>
          </cell>
          <cell r="E60"/>
          <cell r="F60">
            <v>1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/>
          <cell r="L60"/>
          <cell r="M60"/>
          <cell r="N60">
            <v>1</v>
          </cell>
          <cell r="O60"/>
          <cell r="P60"/>
          <cell r="Q60"/>
          <cell r="R60"/>
          <cell r="S60">
            <v>1</v>
          </cell>
          <cell r="T60"/>
          <cell r="U60">
            <v>1</v>
          </cell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>
            <v>1</v>
          </cell>
          <cell r="AI60"/>
          <cell r="AJ60"/>
          <cell r="AK60"/>
          <cell r="AL60"/>
          <cell r="AM60"/>
          <cell r="AN60"/>
          <cell r="AO60">
            <v>1</v>
          </cell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>
            <v>1</v>
          </cell>
          <cell r="BD60"/>
          <cell r="BE60">
            <v>1</v>
          </cell>
          <cell r="BF60"/>
          <cell r="BG60"/>
          <cell r="BH60"/>
          <cell r="BI60"/>
          <cell r="BJ60"/>
          <cell r="BK60">
            <v>14</v>
          </cell>
        </row>
        <row r="61">
          <cell r="B61" t="str">
            <v>대구광역시 중구</v>
          </cell>
          <cell r="C61">
            <v>1</v>
          </cell>
          <cell r="D61">
            <v>1</v>
          </cell>
          <cell r="E61">
            <v>1</v>
          </cell>
          <cell r="F61">
            <v>1</v>
          </cell>
          <cell r="G61">
            <v>1</v>
          </cell>
          <cell r="H61">
            <v>1</v>
          </cell>
          <cell r="I61">
            <v>1</v>
          </cell>
          <cell r="J61">
            <v>1</v>
          </cell>
          <cell r="K61"/>
          <cell r="L61">
            <v>1</v>
          </cell>
          <cell r="M61">
            <v>1</v>
          </cell>
          <cell r="N61">
            <v>1</v>
          </cell>
          <cell r="O61"/>
          <cell r="P61">
            <v>1</v>
          </cell>
          <cell r="Q61">
            <v>1</v>
          </cell>
          <cell r="R61">
            <v>1</v>
          </cell>
          <cell r="S61"/>
          <cell r="T61"/>
          <cell r="U61">
            <v>1</v>
          </cell>
          <cell r="V61"/>
          <cell r="W61">
            <v>1</v>
          </cell>
          <cell r="X61">
            <v>1</v>
          </cell>
          <cell r="Y61"/>
          <cell r="Z61"/>
          <cell r="AA61">
            <v>1</v>
          </cell>
          <cell r="AB61">
            <v>1</v>
          </cell>
          <cell r="AC61"/>
          <cell r="AD61">
            <v>1</v>
          </cell>
          <cell r="AE61"/>
          <cell r="AF61"/>
          <cell r="AG61">
            <v>1</v>
          </cell>
          <cell r="AH61"/>
          <cell r="AI61">
            <v>1</v>
          </cell>
          <cell r="AJ61">
            <v>1</v>
          </cell>
          <cell r="AK61">
            <v>1</v>
          </cell>
          <cell r="AL61"/>
          <cell r="AM61">
            <v>1</v>
          </cell>
          <cell r="AN61"/>
          <cell r="AO61"/>
          <cell r="AP61"/>
          <cell r="AQ61"/>
          <cell r="AR61"/>
          <cell r="AS61"/>
          <cell r="AT61"/>
          <cell r="AU61">
            <v>1</v>
          </cell>
          <cell r="AV61"/>
          <cell r="AW61"/>
          <cell r="AX61"/>
          <cell r="AY61">
            <v>1</v>
          </cell>
          <cell r="AZ61">
            <v>1</v>
          </cell>
          <cell r="BA61">
            <v>1</v>
          </cell>
          <cell r="BB61">
            <v>1</v>
          </cell>
          <cell r="BC61">
            <v>1</v>
          </cell>
          <cell r="BD61"/>
          <cell r="BE61"/>
          <cell r="BF61"/>
          <cell r="BG61"/>
          <cell r="BH61"/>
          <cell r="BI61"/>
          <cell r="BJ61"/>
          <cell r="BK61">
            <v>31</v>
          </cell>
        </row>
        <row r="62">
          <cell r="B62" t="str">
            <v>대구광역시 동구</v>
          </cell>
          <cell r="C62">
            <v>1</v>
          </cell>
          <cell r="D62">
            <v>1</v>
          </cell>
          <cell r="E62">
            <v>1</v>
          </cell>
          <cell r="F62"/>
          <cell r="G62"/>
          <cell r="H62">
            <v>1</v>
          </cell>
          <cell r="I62">
            <v>1</v>
          </cell>
          <cell r="J62">
            <v>1</v>
          </cell>
          <cell r="K62"/>
          <cell r="L62">
            <v>1</v>
          </cell>
          <cell r="M62"/>
          <cell r="N62">
            <v>1</v>
          </cell>
          <cell r="O62"/>
          <cell r="P62">
            <v>1</v>
          </cell>
          <cell r="Q62">
            <v>1</v>
          </cell>
          <cell r="R62"/>
          <cell r="S62"/>
          <cell r="T62"/>
          <cell r="U62">
            <v>1</v>
          </cell>
          <cell r="V62">
            <v>1</v>
          </cell>
          <cell r="W62"/>
          <cell r="X62"/>
          <cell r="Y62"/>
          <cell r="Z62">
            <v>1</v>
          </cell>
          <cell r="AA62">
            <v>1</v>
          </cell>
          <cell r="AB62">
            <v>1</v>
          </cell>
          <cell r="AC62"/>
          <cell r="AD62">
            <v>1</v>
          </cell>
          <cell r="AE62"/>
          <cell r="AF62"/>
          <cell r="AG62"/>
          <cell r="AH62"/>
          <cell r="AI62">
            <v>1</v>
          </cell>
          <cell r="AJ62">
            <v>1</v>
          </cell>
          <cell r="AK62">
            <v>1</v>
          </cell>
          <cell r="AL62"/>
          <cell r="AM62"/>
          <cell r="AN62"/>
          <cell r="AO62"/>
          <cell r="AP62"/>
          <cell r="AQ62"/>
          <cell r="AR62"/>
          <cell r="AS62"/>
          <cell r="AT62"/>
          <cell r="AU62">
            <v>1</v>
          </cell>
          <cell r="AV62"/>
          <cell r="AW62"/>
          <cell r="AX62"/>
          <cell r="AY62">
            <v>1</v>
          </cell>
          <cell r="AZ62"/>
          <cell r="BA62">
            <v>1</v>
          </cell>
          <cell r="BB62">
            <v>1</v>
          </cell>
          <cell r="BC62"/>
          <cell r="BD62"/>
          <cell r="BE62"/>
          <cell r="BF62"/>
          <cell r="BG62"/>
          <cell r="BH62"/>
          <cell r="BI62"/>
          <cell r="BJ62"/>
          <cell r="BK62">
            <v>23</v>
          </cell>
        </row>
        <row r="63">
          <cell r="B63" t="str">
            <v>대구광역시 서구</v>
          </cell>
          <cell r="C63">
            <v>1</v>
          </cell>
          <cell r="D63">
            <v>1</v>
          </cell>
          <cell r="E63">
            <v>1</v>
          </cell>
          <cell r="F63">
            <v>1</v>
          </cell>
          <cell r="G63">
            <v>1</v>
          </cell>
          <cell r="H63">
            <v>1</v>
          </cell>
          <cell r="I63">
            <v>1</v>
          </cell>
          <cell r="J63">
            <v>1</v>
          </cell>
          <cell r="K63"/>
          <cell r="L63"/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1</v>
          </cell>
          <cell r="S63"/>
          <cell r="T63"/>
          <cell r="U63">
            <v>1</v>
          </cell>
          <cell r="V63">
            <v>1</v>
          </cell>
          <cell r="W63"/>
          <cell r="X63"/>
          <cell r="Y63"/>
          <cell r="Z63">
            <v>1</v>
          </cell>
          <cell r="AA63">
            <v>1</v>
          </cell>
          <cell r="AB63">
            <v>1</v>
          </cell>
          <cell r="AC63">
            <v>1</v>
          </cell>
          <cell r="AD63"/>
          <cell r="AE63">
            <v>1</v>
          </cell>
          <cell r="AF63"/>
          <cell r="AG63">
            <v>1</v>
          </cell>
          <cell r="AH63"/>
          <cell r="AI63">
            <v>1</v>
          </cell>
          <cell r="AJ63">
            <v>1</v>
          </cell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>
            <v>1</v>
          </cell>
          <cell r="AV63"/>
          <cell r="AW63"/>
          <cell r="AX63">
            <v>1</v>
          </cell>
          <cell r="AY63">
            <v>1</v>
          </cell>
          <cell r="AZ63">
            <v>1</v>
          </cell>
          <cell r="BA63"/>
          <cell r="BB63">
            <v>1</v>
          </cell>
          <cell r="BC63">
            <v>1</v>
          </cell>
          <cell r="BD63"/>
          <cell r="BE63"/>
          <cell r="BF63"/>
          <cell r="BG63"/>
          <cell r="BH63"/>
          <cell r="BI63"/>
          <cell r="BJ63"/>
          <cell r="BK63">
            <v>30</v>
          </cell>
        </row>
        <row r="64">
          <cell r="B64" t="str">
            <v>대구광역시 남구</v>
          </cell>
          <cell r="C64">
            <v>1</v>
          </cell>
          <cell r="D64">
            <v>1</v>
          </cell>
          <cell r="E64">
            <v>1</v>
          </cell>
          <cell r="F64">
            <v>1</v>
          </cell>
          <cell r="G64">
            <v>1</v>
          </cell>
          <cell r="H64">
            <v>1</v>
          </cell>
          <cell r="I64">
            <v>1</v>
          </cell>
          <cell r="J64">
            <v>1</v>
          </cell>
          <cell r="K64"/>
          <cell r="L64"/>
          <cell r="M64">
            <v>1</v>
          </cell>
          <cell r="N64">
            <v>1</v>
          </cell>
          <cell r="O64"/>
          <cell r="P64">
            <v>1</v>
          </cell>
          <cell r="Q64">
            <v>1</v>
          </cell>
          <cell r="R64">
            <v>1</v>
          </cell>
          <cell r="S64">
            <v>1</v>
          </cell>
          <cell r="T64"/>
          <cell r="U64">
            <v>1</v>
          </cell>
          <cell r="V64">
            <v>1</v>
          </cell>
          <cell r="W64">
            <v>1</v>
          </cell>
          <cell r="X64"/>
          <cell r="Y64"/>
          <cell r="Z64"/>
          <cell r="AA64">
            <v>1</v>
          </cell>
          <cell r="AB64">
            <v>1</v>
          </cell>
          <cell r="AC64"/>
          <cell r="AD64"/>
          <cell r="AE64">
            <v>1</v>
          </cell>
          <cell r="AF64"/>
          <cell r="AG64">
            <v>1</v>
          </cell>
          <cell r="AH64"/>
          <cell r="AI64">
            <v>1</v>
          </cell>
          <cell r="AJ64">
            <v>1</v>
          </cell>
          <cell r="AK64"/>
          <cell r="AL64"/>
          <cell r="AM64"/>
          <cell r="AN64"/>
          <cell r="AO64"/>
          <cell r="AP64"/>
          <cell r="AQ64"/>
          <cell r="AR64">
            <v>1</v>
          </cell>
          <cell r="AS64"/>
          <cell r="AT64"/>
          <cell r="AU64">
            <v>1</v>
          </cell>
          <cell r="AV64"/>
          <cell r="AW64"/>
          <cell r="AX64">
            <v>1</v>
          </cell>
          <cell r="AY64">
            <v>1</v>
          </cell>
          <cell r="AZ64">
            <v>1</v>
          </cell>
          <cell r="BA64"/>
          <cell r="BB64">
            <v>1</v>
          </cell>
          <cell r="BC64">
            <v>1</v>
          </cell>
          <cell r="BD64"/>
          <cell r="BE64"/>
          <cell r="BF64"/>
          <cell r="BG64"/>
          <cell r="BH64"/>
          <cell r="BI64"/>
          <cell r="BJ64"/>
          <cell r="BK64">
            <v>30</v>
          </cell>
        </row>
        <row r="65">
          <cell r="B65" t="str">
            <v>대구광역시 북구</v>
          </cell>
          <cell r="C65">
            <v>1</v>
          </cell>
          <cell r="D65">
            <v>1</v>
          </cell>
          <cell r="E65">
            <v>1</v>
          </cell>
          <cell r="F65">
            <v>1</v>
          </cell>
          <cell r="G65">
            <v>1</v>
          </cell>
          <cell r="H65">
            <v>1</v>
          </cell>
          <cell r="I65">
            <v>1</v>
          </cell>
          <cell r="J65">
            <v>1</v>
          </cell>
          <cell r="K65"/>
          <cell r="L65">
            <v>1</v>
          </cell>
          <cell r="M65">
            <v>1</v>
          </cell>
          <cell r="N65">
            <v>1</v>
          </cell>
          <cell r="O65"/>
          <cell r="P65">
            <v>1</v>
          </cell>
          <cell r="Q65"/>
          <cell r="R65">
            <v>1</v>
          </cell>
          <cell r="S65">
            <v>1</v>
          </cell>
          <cell r="T65"/>
          <cell r="U65">
            <v>1</v>
          </cell>
          <cell r="V65">
            <v>1</v>
          </cell>
          <cell r="W65">
            <v>1</v>
          </cell>
          <cell r="X65"/>
          <cell r="Y65"/>
          <cell r="Z65"/>
          <cell r="AA65">
            <v>1</v>
          </cell>
          <cell r="AB65">
            <v>1</v>
          </cell>
          <cell r="AC65">
            <v>1</v>
          </cell>
          <cell r="AD65"/>
          <cell r="AE65">
            <v>1</v>
          </cell>
          <cell r="AF65"/>
          <cell r="AG65">
            <v>1</v>
          </cell>
          <cell r="AH65"/>
          <cell r="AI65">
            <v>1</v>
          </cell>
          <cell r="AJ65">
            <v>1</v>
          </cell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>
            <v>1</v>
          </cell>
          <cell r="AV65"/>
          <cell r="AW65"/>
          <cell r="AX65">
            <v>1</v>
          </cell>
          <cell r="AY65">
            <v>1</v>
          </cell>
          <cell r="AZ65">
            <v>1</v>
          </cell>
          <cell r="BA65"/>
          <cell r="BB65">
            <v>1</v>
          </cell>
          <cell r="BC65">
            <v>1</v>
          </cell>
          <cell r="BD65"/>
          <cell r="BE65"/>
          <cell r="BF65"/>
          <cell r="BG65"/>
          <cell r="BH65"/>
          <cell r="BI65"/>
          <cell r="BJ65"/>
          <cell r="BK65">
            <v>30</v>
          </cell>
        </row>
        <row r="66">
          <cell r="B66" t="str">
            <v>대구광역시 수성구</v>
          </cell>
          <cell r="C66">
            <v>1</v>
          </cell>
          <cell r="D66">
            <v>1</v>
          </cell>
          <cell r="E66">
            <v>1</v>
          </cell>
          <cell r="F66">
            <v>1</v>
          </cell>
          <cell r="G66">
            <v>1</v>
          </cell>
          <cell r="H66">
            <v>1</v>
          </cell>
          <cell r="I66">
            <v>1</v>
          </cell>
          <cell r="J66">
            <v>1</v>
          </cell>
          <cell r="K66"/>
          <cell r="L66">
            <v>1</v>
          </cell>
          <cell r="M66">
            <v>1</v>
          </cell>
          <cell r="N66">
            <v>1</v>
          </cell>
          <cell r="O66"/>
          <cell r="P66">
            <v>1</v>
          </cell>
          <cell r="Q66">
            <v>1</v>
          </cell>
          <cell r="R66"/>
          <cell r="S66">
            <v>1</v>
          </cell>
          <cell r="T66"/>
          <cell r="U66">
            <v>1</v>
          </cell>
          <cell r="V66">
            <v>1</v>
          </cell>
          <cell r="W66"/>
          <cell r="X66"/>
          <cell r="Y66"/>
          <cell r="Z66"/>
          <cell r="AA66"/>
          <cell r="AB66">
            <v>1</v>
          </cell>
          <cell r="AC66"/>
          <cell r="AD66"/>
          <cell r="AE66">
            <v>1</v>
          </cell>
          <cell r="AF66"/>
          <cell r="AG66"/>
          <cell r="AH66"/>
          <cell r="AI66">
            <v>1</v>
          </cell>
          <cell r="AJ66">
            <v>1</v>
          </cell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>
            <v>1</v>
          </cell>
          <cell r="AV66"/>
          <cell r="AW66"/>
          <cell r="AX66">
            <v>1</v>
          </cell>
          <cell r="AY66">
            <v>1</v>
          </cell>
          <cell r="AZ66"/>
          <cell r="BA66"/>
          <cell r="BB66">
            <v>1</v>
          </cell>
          <cell r="BC66">
            <v>1</v>
          </cell>
          <cell r="BD66"/>
          <cell r="BE66"/>
          <cell r="BF66"/>
          <cell r="BG66"/>
          <cell r="BH66"/>
          <cell r="BI66"/>
          <cell r="BJ66"/>
          <cell r="BK66">
            <v>25</v>
          </cell>
        </row>
        <row r="67">
          <cell r="B67" t="str">
            <v>대구광역시 달서구</v>
          </cell>
          <cell r="C67">
            <v>1</v>
          </cell>
          <cell r="D67">
            <v>1</v>
          </cell>
          <cell r="E67">
            <v>1</v>
          </cell>
          <cell r="F67">
            <v>1</v>
          </cell>
          <cell r="G67">
            <v>1</v>
          </cell>
          <cell r="H67">
            <v>1</v>
          </cell>
          <cell r="I67">
            <v>1</v>
          </cell>
          <cell r="J67">
            <v>1</v>
          </cell>
          <cell r="K67"/>
          <cell r="L67">
            <v>1</v>
          </cell>
          <cell r="M67">
            <v>1</v>
          </cell>
          <cell r="N67">
            <v>1</v>
          </cell>
          <cell r="O67"/>
          <cell r="P67">
            <v>1</v>
          </cell>
          <cell r="Q67">
            <v>1</v>
          </cell>
          <cell r="R67">
            <v>1</v>
          </cell>
          <cell r="S67">
            <v>1</v>
          </cell>
          <cell r="T67"/>
          <cell r="U67">
            <v>1</v>
          </cell>
          <cell r="V67">
            <v>1</v>
          </cell>
          <cell r="W67"/>
          <cell r="X67"/>
          <cell r="Y67"/>
          <cell r="Z67"/>
          <cell r="AA67"/>
          <cell r="AB67">
            <v>1</v>
          </cell>
          <cell r="AC67"/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/>
          <cell r="AI67">
            <v>1</v>
          </cell>
          <cell r="AJ67">
            <v>1</v>
          </cell>
          <cell r="AK67"/>
          <cell r="AL67"/>
          <cell r="AM67"/>
          <cell r="AN67"/>
          <cell r="AO67"/>
          <cell r="AP67"/>
          <cell r="AQ67"/>
          <cell r="AR67">
            <v>1</v>
          </cell>
          <cell r="AS67"/>
          <cell r="AT67"/>
          <cell r="AU67">
            <v>1</v>
          </cell>
          <cell r="AV67"/>
          <cell r="AW67">
            <v>1</v>
          </cell>
          <cell r="AX67">
            <v>1</v>
          </cell>
          <cell r="AY67">
            <v>1</v>
          </cell>
          <cell r="AZ67">
            <v>1</v>
          </cell>
          <cell r="BA67">
            <v>1</v>
          </cell>
          <cell r="BB67">
            <v>1</v>
          </cell>
          <cell r="BC67">
            <v>1</v>
          </cell>
          <cell r="BD67"/>
          <cell r="BE67"/>
          <cell r="BF67"/>
          <cell r="BG67"/>
          <cell r="BH67"/>
          <cell r="BI67"/>
          <cell r="BJ67"/>
          <cell r="BK67">
            <v>33</v>
          </cell>
        </row>
        <row r="68">
          <cell r="B68" t="str">
            <v>대구광역시 달성군</v>
          </cell>
          <cell r="C68">
            <v>1</v>
          </cell>
          <cell r="D68">
            <v>1</v>
          </cell>
          <cell r="E68">
            <v>1</v>
          </cell>
          <cell r="F68">
            <v>1</v>
          </cell>
          <cell r="G68">
            <v>1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/>
          <cell r="M68">
            <v>1</v>
          </cell>
          <cell r="N68">
            <v>1</v>
          </cell>
          <cell r="O68"/>
          <cell r="P68">
            <v>1</v>
          </cell>
          <cell r="Q68">
            <v>1</v>
          </cell>
          <cell r="R68"/>
          <cell r="S68"/>
          <cell r="T68">
            <v>1</v>
          </cell>
          <cell r="U68">
            <v>1</v>
          </cell>
          <cell r="V68">
            <v>1</v>
          </cell>
          <cell r="W68"/>
          <cell r="X68"/>
          <cell r="Y68"/>
          <cell r="Z68"/>
          <cell r="AA68">
            <v>1</v>
          </cell>
          <cell r="AB68">
            <v>1</v>
          </cell>
          <cell r="AC68"/>
          <cell r="AD68">
            <v>1</v>
          </cell>
          <cell r="AE68"/>
          <cell r="AF68"/>
          <cell r="AG68">
            <v>1</v>
          </cell>
          <cell r="AH68"/>
          <cell r="AI68">
            <v>1</v>
          </cell>
          <cell r="AJ68">
            <v>1</v>
          </cell>
          <cell r="AK68"/>
          <cell r="AL68"/>
          <cell r="AM68"/>
          <cell r="AN68"/>
          <cell r="AO68"/>
          <cell r="AP68"/>
          <cell r="AQ68"/>
          <cell r="AR68">
            <v>1</v>
          </cell>
          <cell r="AS68"/>
          <cell r="AT68"/>
          <cell r="AU68"/>
          <cell r="AV68"/>
          <cell r="AW68"/>
          <cell r="AX68"/>
          <cell r="AY68"/>
          <cell r="AZ68">
            <v>1</v>
          </cell>
          <cell r="BA68">
            <v>1</v>
          </cell>
          <cell r="BB68">
            <v>1</v>
          </cell>
          <cell r="BC68">
            <v>1</v>
          </cell>
          <cell r="BD68"/>
          <cell r="BE68"/>
          <cell r="BF68"/>
          <cell r="BG68">
            <v>1</v>
          </cell>
          <cell r="BH68"/>
          <cell r="BI68"/>
          <cell r="BJ68"/>
          <cell r="BK68">
            <v>28</v>
          </cell>
        </row>
        <row r="69">
          <cell r="B69" t="str">
            <v>광주광역시</v>
          </cell>
          <cell r="C69"/>
          <cell r="D69">
            <v>1</v>
          </cell>
          <cell r="E69"/>
          <cell r="F69">
            <v>1</v>
          </cell>
          <cell r="G69"/>
          <cell r="H69">
            <v>1</v>
          </cell>
          <cell r="I69">
            <v>1</v>
          </cell>
          <cell r="J69">
            <v>1</v>
          </cell>
          <cell r="K69"/>
          <cell r="L69"/>
          <cell r="M69">
            <v>1</v>
          </cell>
          <cell r="N69"/>
          <cell r="O69"/>
          <cell r="P69"/>
          <cell r="Q69">
            <v>1</v>
          </cell>
          <cell r="R69"/>
          <cell r="S69">
            <v>1</v>
          </cell>
          <cell r="T69">
            <v>1</v>
          </cell>
          <cell r="U69">
            <v>1</v>
          </cell>
          <cell r="V69"/>
          <cell r="W69"/>
          <cell r="X69"/>
          <cell r="Y69"/>
          <cell r="Z69"/>
          <cell r="AA69">
            <v>1</v>
          </cell>
          <cell r="AB69">
            <v>1</v>
          </cell>
          <cell r="AC69"/>
          <cell r="AD69"/>
          <cell r="AE69"/>
          <cell r="AF69"/>
          <cell r="AG69"/>
          <cell r="AH69"/>
          <cell r="AI69">
            <v>1</v>
          </cell>
          <cell r="AJ69">
            <v>1</v>
          </cell>
          <cell r="AK69">
            <v>1</v>
          </cell>
          <cell r="AL69"/>
          <cell r="AM69"/>
          <cell r="AN69"/>
          <cell r="AO69">
            <v>1</v>
          </cell>
          <cell r="AP69"/>
          <cell r="AQ69"/>
          <cell r="AR69"/>
          <cell r="AS69"/>
          <cell r="AT69"/>
          <cell r="AU69"/>
          <cell r="AV69"/>
          <cell r="AW69"/>
          <cell r="AX69">
            <v>1</v>
          </cell>
          <cell r="AY69"/>
          <cell r="AZ69"/>
          <cell r="BA69"/>
          <cell r="BB69"/>
          <cell r="BC69">
            <v>1</v>
          </cell>
          <cell r="BD69"/>
          <cell r="BE69"/>
          <cell r="BF69"/>
          <cell r="BG69"/>
          <cell r="BH69"/>
          <cell r="BI69"/>
          <cell r="BJ69"/>
          <cell r="BK69">
            <v>18</v>
          </cell>
        </row>
        <row r="70">
          <cell r="B70" t="str">
            <v>광주광역시 동구</v>
          </cell>
          <cell r="C70">
            <v>1</v>
          </cell>
          <cell r="D70">
            <v>1</v>
          </cell>
          <cell r="E70">
            <v>1</v>
          </cell>
          <cell r="F70">
            <v>1</v>
          </cell>
          <cell r="G70">
            <v>1</v>
          </cell>
          <cell r="H70"/>
          <cell r="I70">
            <v>1</v>
          </cell>
          <cell r="J70">
            <v>1</v>
          </cell>
          <cell r="K70"/>
          <cell r="L70"/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>
            <v>1</v>
          </cell>
          <cell r="T70"/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/>
          <cell r="Z70">
            <v>1</v>
          </cell>
          <cell r="AA70">
            <v>1</v>
          </cell>
          <cell r="AB70">
            <v>1</v>
          </cell>
          <cell r="AC70"/>
          <cell r="AD70">
            <v>1</v>
          </cell>
          <cell r="AE70"/>
          <cell r="AF70"/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>
            <v>1</v>
          </cell>
          <cell r="AV70"/>
          <cell r="AW70"/>
          <cell r="AX70">
            <v>1</v>
          </cell>
          <cell r="AY70">
            <v>1</v>
          </cell>
          <cell r="AZ70"/>
          <cell r="BA70"/>
          <cell r="BB70">
            <v>1</v>
          </cell>
          <cell r="BC70">
            <v>1</v>
          </cell>
          <cell r="BD70"/>
          <cell r="BE70"/>
          <cell r="BF70"/>
          <cell r="BG70"/>
          <cell r="BH70"/>
          <cell r="BI70"/>
          <cell r="BJ70"/>
          <cell r="BK70">
            <v>31</v>
          </cell>
        </row>
        <row r="71">
          <cell r="B71" t="str">
            <v>광주광역시 서구</v>
          </cell>
          <cell r="C71">
            <v>1</v>
          </cell>
          <cell r="D71">
            <v>1</v>
          </cell>
          <cell r="E71">
            <v>1</v>
          </cell>
          <cell r="F71">
            <v>1</v>
          </cell>
          <cell r="G71">
            <v>1</v>
          </cell>
          <cell r="H71">
            <v>1</v>
          </cell>
          <cell r="I71">
            <v>1</v>
          </cell>
          <cell r="J71">
            <v>1</v>
          </cell>
          <cell r="K71"/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/>
          <cell r="R71"/>
          <cell r="S71">
            <v>1</v>
          </cell>
          <cell r="T71"/>
          <cell r="U71">
            <v>1</v>
          </cell>
          <cell r="V71">
            <v>1</v>
          </cell>
          <cell r="W71"/>
          <cell r="X71"/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/>
          <cell r="AD71"/>
          <cell r="AE71">
            <v>1</v>
          </cell>
          <cell r="AF71"/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/>
          <cell r="AL71"/>
          <cell r="AM71"/>
          <cell r="AN71"/>
          <cell r="AO71"/>
          <cell r="AP71"/>
          <cell r="AQ71">
            <v>1</v>
          </cell>
          <cell r="AR71"/>
          <cell r="AS71"/>
          <cell r="AT71"/>
          <cell r="AU71">
            <v>1</v>
          </cell>
          <cell r="AV71"/>
          <cell r="AW71"/>
          <cell r="AX71">
            <v>1</v>
          </cell>
          <cell r="AY71"/>
          <cell r="AZ71"/>
          <cell r="BA71"/>
          <cell r="BB71"/>
          <cell r="BC71">
            <v>1</v>
          </cell>
          <cell r="BD71"/>
          <cell r="BE71"/>
          <cell r="BF71"/>
          <cell r="BG71"/>
          <cell r="BH71"/>
          <cell r="BI71"/>
          <cell r="BJ71"/>
          <cell r="BK71">
            <v>29</v>
          </cell>
        </row>
        <row r="72">
          <cell r="B72" t="str">
            <v>광주광역시 남구</v>
          </cell>
          <cell r="C72">
            <v>1</v>
          </cell>
          <cell r="D72">
            <v>1</v>
          </cell>
          <cell r="E72">
            <v>1</v>
          </cell>
          <cell r="F72"/>
          <cell r="G72"/>
          <cell r="H72">
            <v>1</v>
          </cell>
          <cell r="I72">
            <v>1</v>
          </cell>
          <cell r="J72">
            <v>1</v>
          </cell>
          <cell r="K72"/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/>
          <cell r="S72">
            <v>1</v>
          </cell>
          <cell r="T72"/>
          <cell r="U72">
            <v>1</v>
          </cell>
          <cell r="V72">
            <v>1</v>
          </cell>
          <cell r="W72"/>
          <cell r="X72">
            <v>1</v>
          </cell>
          <cell r="Y72"/>
          <cell r="Z72">
            <v>1</v>
          </cell>
          <cell r="AA72">
            <v>1</v>
          </cell>
          <cell r="AB72">
            <v>1</v>
          </cell>
          <cell r="AC72"/>
          <cell r="AD72">
            <v>1</v>
          </cell>
          <cell r="AE72"/>
          <cell r="AF72"/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>
            <v>1</v>
          </cell>
          <cell r="AV72">
            <v>1</v>
          </cell>
          <cell r="AW72"/>
          <cell r="AX72"/>
          <cell r="AY72">
            <v>1</v>
          </cell>
          <cell r="AZ72"/>
          <cell r="BA72"/>
          <cell r="BB72">
            <v>1</v>
          </cell>
          <cell r="BC72">
            <v>1</v>
          </cell>
          <cell r="BD72"/>
          <cell r="BE72"/>
          <cell r="BF72"/>
          <cell r="BG72"/>
          <cell r="BH72"/>
          <cell r="BI72"/>
          <cell r="BJ72"/>
          <cell r="BK72">
            <v>29</v>
          </cell>
        </row>
        <row r="73">
          <cell r="B73" t="str">
            <v>광주광역시 북구</v>
          </cell>
          <cell r="C73">
            <v>1</v>
          </cell>
          <cell r="D73">
            <v>1</v>
          </cell>
          <cell r="E73">
            <v>1</v>
          </cell>
          <cell r="F73">
            <v>1</v>
          </cell>
          <cell r="G73">
            <v>1</v>
          </cell>
          <cell r="H73">
            <v>1</v>
          </cell>
          <cell r="I73">
            <v>1</v>
          </cell>
          <cell r="J73">
            <v>1</v>
          </cell>
          <cell r="K73"/>
          <cell r="L73">
            <v>1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1</v>
          </cell>
          <cell r="S73">
            <v>1</v>
          </cell>
          <cell r="T73"/>
          <cell r="U73">
            <v>1</v>
          </cell>
          <cell r="V73">
            <v>1</v>
          </cell>
          <cell r="W73"/>
          <cell r="X73">
            <v>1</v>
          </cell>
          <cell r="Y73"/>
          <cell r="Z73"/>
          <cell r="AA73">
            <v>1</v>
          </cell>
          <cell r="AB73">
            <v>1</v>
          </cell>
          <cell r="AC73"/>
          <cell r="AD73">
            <v>1</v>
          </cell>
          <cell r="AE73"/>
          <cell r="AF73">
            <v>1</v>
          </cell>
          <cell r="AG73">
            <v>1</v>
          </cell>
          <cell r="AH73">
            <v>1</v>
          </cell>
          <cell r="AI73">
            <v>1</v>
          </cell>
          <cell r="AJ73">
            <v>1</v>
          </cell>
          <cell r="AK73"/>
          <cell r="AL73"/>
          <cell r="AM73"/>
          <cell r="AN73">
            <v>1</v>
          </cell>
          <cell r="AO73"/>
          <cell r="AP73"/>
          <cell r="AQ73">
            <v>1</v>
          </cell>
          <cell r="AR73"/>
          <cell r="AS73">
            <v>1</v>
          </cell>
          <cell r="AT73"/>
          <cell r="AU73">
            <v>1</v>
          </cell>
          <cell r="AV73"/>
          <cell r="AW73"/>
          <cell r="AX73">
            <v>1</v>
          </cell>
          <cell r="AY73">
            <v>1</v>
          </cell>
          <cell r="AZ73"/>
          <cell r="BA73"/>
          <cell r="BB73">
            <v>1</v>
          </cell>
          <cell r="BC73">
            <v>1</v>
          </cell>
          <cell r="BD73"/>
          <cell r="BE73"/>
          <cell r="BF73"/>
          <cell r="BG73"/>
          <cell r="BH73"/>
          <cell r="BI73"/>
          <cell r="BJ73"/>
          <cell r="BK73">
            <v>35</v>
          </cell>
        </row>
        <row r="74">
          <cell r="B74" t="str">
            <v>광주광역시 광산구</v>
          </cell>
          <cell r="C74">
            <v>1</v>
          </cell>
          <cell r="D74">
            <v>1</v>
          </cell>
          <cell r="E74"/>
          <cell r="F74"/>
          <cell r="G74">
            <v>1</v>
          </cell>
          <cell r="H74">
            <v>1</v>
          </cell>
          <cell r="I74">
            <v>1</v>
          </cell>
          <cell r="J74">
            <v>1</v>
          </cell>
          <cell r="K74"/>
          <cell r="L74"/>
          <cell r="M74">
            <v>1</v>
          </cell>
          <cell r="N74">
            <v>1</v>
          </cell>
          <cell r="O74"/>
          <cell r="P74">
            <v>1</v>
          </cell>
          <cell r="Q74"/>
          <cell r="R74"/>
          <cell r="S74"/>
          <cell r="T74"/>
          <cell r="U74">
            <v>1</v>
          </cell>
          <cell r="V74">
            <v>1</v>
          </cell>
          <cell r="W74"/>
          <cell r="X74">
            <v>1</v>
          </cell>
          <cell r="Y74"/>
          <cell r="Z74"/>
          <cell r="AA74">
            <v>1</v>
          </cell>
          <cell r="AB74">
            <v>1</v>
          </cell>
          <cell r="AC74"/>
          <cell r="AD74">
            <v>1</v>
          </cell>
          <cell r="AE74"/>
          <cell r="AF74"/>
          <cell r="AG74"/>
          <cell r="AH74">
            <v>1</v>
          </cell>
          <cell r="AI74">
            <v>1</v>
          </cell>
          <cell r="AJ74">
            <v>1</v>
          </cell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>
            <v>1</v>
          </cell>
          <cell r="AV74">
            <v>1</v>
          </cell>
          <cell r="AW74"/>
          <cell r="AX74">
            <v>1</v>
          </cell>
          <cell r="AY74">
            <v>1</v>
          </cell>
          <cell r="AZ74"/>
          <cell r="BA74">
            <v>1</v>
          </cell>
          <cell r="BB74">
            <v>1</v>
          </cell>
          <cell r="BC74">
            <v>1</v>
          </cell>
          <cell r="BD74"/>
          <cell r="BE74"/>
          <cell r="BF74"/>
          <cell r="BG74"/>
          <cell r="BH74"/>
          <cell r="BI74"/>
          <cell r="BJ74"/>
          <cell r="BK74">
            <v>25</v>
          </cell>
        </row>
        <row r="75">
          <cell r="B75" t="str">
            <v>대전광역시</v>
          </cell>
          <cell r="C75">
            <v>1</v>
          </cell>
          <cell r="D75"/>
          <cell r="E75">
            <v>1</v>
          </cell>
          <cell r="F75"/>
          <cell r="G75"/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/>
          <cell r="Q75">
            <v>1</v>
          </cell>
          <cell r="R75"/>
          <cell r="S75">
            <v>1</v>
          </cell>
          <cell r="T75">
            <v>1</v>
          </cell>
          <cell r="U75">
            <v>1</v>
          </cell>
          <cell r="V75"/>
          <cell r="W75"/>
          <cell r="X75"/>
          <cell r="Y75">
            <v>1</v>
          </cell>
          <cell r="Z75"/>
          <cell r="AA75">
            <v>1</v>
          </cell>
          <cell r="AB75">
            <v>1</v>
          </cell>
          <cell r="AC75">
            <v>1</v>
          </cell>
          <cell r="AD75"/>
          <cell r="AE75"/>
          <cell r="AF75"/>
          <cell r="AG75"/>
          <cell r="AH75">
            <v>1</v>
          </cell>
          <cell r="AI75"/>
          <cell r="AJ75"/>
          <cell r="AK75">
            <v>1</v>
          </cell>
          <cell r="AL75"/>
          <cell r="AM75">
            <v>1</v>
          </cell>
          <cell r="AN75"/>
          <cell r="AO75">
            <v>1</v>
          </cell>
          <cell r="AP75"/>
          <cell r="AQ75"/>
          <cell r="AR75"/>
          <cell r="AS75"/>
          <cell r="AT75"/>
          <cell r="AU75"/>
          <cell r="AV75"/>
          <cell r="AW75">
            <v>1</v>
          </cell>
          <cell r="AX75"/>
          <cell r="AY75"/>
          <cell r="AZ75"/>
          <cell r="BA75"/>
          <cell r="BB75">
            <v>1</v>
          </cell>
          <cell r="BC75"/>
          <cell r="BD75"/>
          <cell r="BE75">
            <v>1</v>
          </cell>
          <cell r="BF75"/>
          <cell r="BG75"/>
          <cell r="BH75"/>
          <cell r="BI75"/>
          <cell r="BJ75"/>
          <cell r="BK75">
            <v>25</v>
          </cell>
        </row>
        <row r="76">
          <cell r="B76" t="str">
            <v>대전광역시 동구</v>
          </cell>
          <cell r="C76">
            <v>1</v>
          </cell>
          <cell r="D76">
            <v>1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  <cell r="J76">
            <v>1</v>
          </cell>
          <cell r="K76"/>
          <cell r="L76"/>
          <cell r="M76">
            <v>1</v>
          </cell>
          <cell r="N76">
            <v>1</v>
          </cell>
          <cell r="O76"/>
          <cell r="P76">
            <v>1</v>
          </cell>
          <cell r="Q76"/>
          <cell r="R76">
            <v>1</v>
          </cell>
          <cell r="S76">
            <v>1</v>
          </cell>
          <cell r="T76"/>
          <cell r="U76">
            <v>1</v>
          </cell>
          <cell r="V76"/>
          <cell r="W76"/>
          <cell r="X76"/>
          <cell r="Y76"/>
          <cell r="Z76">
            <v>1</v>
          </cell>
          <cell r="AA76"/>
          <cell r="AB76">
            <v>1</v>
          </cell>
          <cell r="AC76"/>
          <cell r="AD76"/>
          <cell r="AE76">
            <v>1</v>
          </cell>
          <cell r="AF76">
            <v>1</v>
          </cell>
          <cell r="AG76">
            <v>1</v>
          </cell>
          <cell r="AH76"/>
          <cell r="AI76">
            <v>1</v>
          </cell>
          <cell r="AJ76">
            <v>1</v>
          </cell>
          <cell r="AK76"/>
          <cell r="AL76"/>
          <cell r="AM76"/>
          <cell r="AN76"/>
          <cell r="AO76"/>
          <cell r="AP76"/>
          <cell r="AQ76"/>
          <cell r="AR76">
            <v>1</v>
          </cell>
          <cell r="AS76"/>
          <cell r="AT76"/>
          <cell r="AU76">
            <v>1</v>
          </cell>
          <cell r="AV76"/>
          <cell r="AW76"/>
          <cell r="AX76"/>
          <cell r="AY76">
            <v>1</v>
          </cell>
          <cell r="AZ76"/>
          <cell r="BA76">
            <v>1</v>
          </cell>
          <cell r="BB76">
            <v>1</v>
          </cell>
          <cell r="BC76">
            <v>1</v>
          </cell>
          <cell r="BD76">
            <v>1</v>
          </cell>
          <cell r="BE76"/>
          <cell r="BF76"/>
          <cell r="BG76"/>
          <cell r="BH76"/>
          <cell r="BI76"/>
          <cell r="BJ76"/>
          <cell r="BK76">
            <v>28</v>
          </cell>
        </row>
        <row r="77">
          <cell r="B77" t="str">
            <v>대전광역시 중구</v>
          </cell>
          <cell r="C77">
            <v>1</v>
          </cell>
          <cell r="D77">
            <v>1</v>
          </cell>
          <cell r="E77">
            <v>1</v>
          </cell>
          <cell r="F77">
            <v>1</v>
          </cell>
          <cell r="G77">
            <v>1</v>
          </cell>
          <cell r="H77">
            <v>1</v>
          </cell>
          <cell r="I77">
            <v>1</v>
          </cell>
          <cell r="J77">
            <v>1</v>
          </cell>
          <cell r="K77"/>
          <cell r="L77"/>
          <cell r="M77">
            <v>1</v>
          </cell>
          <cell r="N77">
            <v>1</v>
          </cell>
          <cell r="O77"/>
          <cell r="P77">
            <v>1</v>
          </cell>
          <cell r="Q77">
            <v>1</v>
          </cell>
          <cell r="R77">
            <v>1</v>
          </cell>
          <cell r="S77">
            <v>1</v>
          </cell>
          <cell r="T77"/>
          <cell r="U77">
            <v>1</v>
          </cell>
          <cell r="V77">
            <v>1</v>
          </cell>
          <cell r="W77"/>
          <cell r="X77">
            <v>1</v>
          </cell>
          <cell r="Y77"/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/>
          <cell r="AI77">
            <v>1</v>
          </cell>
          <cell r="AJ77">
            <v>1</v>
          </cell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>
            <v>1</v>
          </cell>
          <cell r="AV77"/>
          <cell r="AW77"/>
          <cell r="AX77">
            <v>1</v>
          </cell>
          <cell r="AY77">
            <v>1</v>
          </cell>
          <cell r="AZ77"/>
          <cell r="BA77">
            <v>1</v>
          </cell>
          <cell r="BB77"/>
          <cell r="BC77">
            <v>1</v>
          </cell>
          <cell r="BD77">
            <v>1</v>
          </cell>
          <cell r="BE77"/>
          <cell r="BF77"/>
          <cell r="BG77"/>
          <cell r="BH77"/>
          <cell r="BI77"/>
          <cell r="BJ77"/>
          <cell r="BK77">
            <v>33</v>
          </cell>
        </row>
        <row r="78">
          <cell r="B78" t="str">
            <v>대전광역시 서구</v>
          </cell>
          <cell r="C78">
            <v>1</v>
          </cell>
          <cell r="D78">
            <v>1</v>
          </cell>
          <cell r="E78">
            <v>1</v>
          </cell>
          <cell r="F78">
            <v>1</v>
          </cell>
          <cell r="G78">
            <v>1</v>
          </cell>
          <cell r="H78">
            <v>1</v>
          </cell>
          <cell r="I78">
            <v>1</v>
          </cell>
          <cell r="J78">
            <v>1</v>
          </cell>
          <cell r="K78"/>
          <cell r="L78"/>
          <cell r="M78">
            <v>1</v>
          </cell>
          <cell r="N78">
            <v>1</v>
          </cell>
          <cell r="O78"/>
          <cell r="P78">
            <v>1</v>
          </cell>
          <cell r="Q78"/>
          <cell r="R78"/>
          <cell r="S78"/>
          <cell r="T78"/>
          <cell r="U78">
            <v>1</v>
          </cell>
          <cell r="V78"/>
          <cell r="W78">
            <v>1</v>
          </cell>
          <cell r="X78"/>
          <cell r="Y78"/>
          <cell r="Z78"/>
          <cell r="AA78">
            <v>1</v>
          </cell>
          <cell r="AB78">
            <v>1</v>
          </cell>
          <cell r="AC78"/>
          <cell r="AD78">
            <v>1</v>
          </cell>
          <cell r="AE78"/>
          <cell r="AF78">
            <v>1</v>
          </cell>
          <cell r="AG78">
            <v>1</v>
          </cell>
          <cell r="AH78"/>
          <cell r="AI78">
            <v>1</v>
          </cell>
          <cell r="AJ78">
            <v>1</v>
          </cell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>
            <v>1</v>
          </cell>
          <cell r="AV78"/>
          <cell r="AW78"/>
          <cell r="AX78">
            <v>1</v>
          </cell>
          <cell r="AY78">
            <v>1</v>
          </cell>
          <cell r="AZ78">
            <v>1</v>
          </cell>
          <cell r="BA78"/>
          <cell r="BB78">
            <v>1</v>
          </cell>
          <cell r="BC78">
            <v>1</v>
          </cell>
          <cell r="BD78">
            <v>1</v>
          </cell>
          <cell r="BE78"/>
          <cell r="BF78"/>
          <cell r="BG78"/>
          <cell r="BH78"/>
          <cell r="BI78"/>
          <cell r="BJ78"/>
          <cell r="BK78">
            <v>27</v>
          </cell>
        </row>
        <row r="79">
          <cell r="B79" t="str">
            <v>대전광역시 유성구</v>
          </cell>
          <cell r="C79">
            <v>1</v>
          </cell>
          <cell r="D79">
            <v>1</v>
          </cell>
          <cell r="E79">
            <v>1</v>
          </cell>
          <cell r="F79">
            <v>1</v>
          </cell>
          <cell r="G79">
            <v>1</v>
          </cell>
          <cell r="H79">
            <v>1</v>
          </cell>
          <cell r="I79">
            <v>1</v>
          </cell>
          <cell r="J79"/>
          <cell r="K79"/>
          <cell r="L79"/>
          <cell r="M79">
            <v>1</v>
          </cell>
          <cell r="N79"/>
          <cell r="O79"/>
          <cell r="P79"/>
          <cell r="Q79"/>
          <cell r="R79"/>
          <cell r="S79"/>
          <cell r="T79"/>
          <cell r="U79">
            <v>1</v>
          </cell>
          <cell r="V79">
            <v>1</v>
          </cell>
          <cell r="W79"/>
          <cell r="X79">
            <v>1</v>
          </cell>
          <cell r="Y79"/>
          <cell r="Z79"/>
          <cell r="AA79"/>
          <cell r="AB79"/>
          <cell r="AC79"/>
          <cell r="AD79">
            <v>1</v>
          </cell>
          <cell r="AE79"/>
          <cell r="AF79"/>
          <cell r="AG79"/>
          <cell r="AH79"/>
          <cell r="AI79">
            <v>1</v>
          </cell>
          <cell r="AJ79">
            <v>1</v>
          </cell>
          <cell r="AK79"/>
          <cell r="AL79"/>
          <cell r="AM79"/>
          <cell r="AN79"/>
          <cell r="AO79"/>
          <cell r="AP79"/>
          <cell r="AQ79"/>
          <cell r="AR79">
            <v>1</v>
          </cell>
          <cell r="AS79"/>
          <cell r="AT79"/>
          <cell r="AU79">
            <v>1</v>
          </cell>
          <cell r="AV79"/>
          <cell r="AW79"/>
          <cell r="AX79"/>
          <cell r="AY79">
            <v>1</v>
          </cell>
          <cell r="AZ79"/>
          <cell r="BA79">
            <v>1</v>
          </cell>
          <cell r="BB79"/>
          <cell r="BC79">
            <v>1</v>
          </cell>
          <cell r="BD79">
            <v>1</v>
          </cell>
          <cell r="BE79"/>
          <cell r="BF79"/>
          <cell r="BG79"/>
          <cell r="BH79"/>
          <cell r="BI79"/>
          <cell r="BJ79"/>
          <cell r="BK79">
            <v>20</v>
          </cell>
        </row>
        <row r="80">
          <cell r="B80" t="str">
            <v>대전광역시 대덕구</v>
          </cell>
          <cell r="C80">
            <v>1</v>
          </cell>
          <cell r="D80">
            <v>1</v>
          </cell>
          <cell r="E80">
            <v>1</v>
          </cell>
          <cell r="F80">
            <v>1</v>
          </cell>
          <cell r="G80">
            <v>1</v>
          </cell>
          <cell r="H80">
            <v>1</v>
          </cell>
          <cell r="I80">
            <v>1</v>
          </cell>
          <cell r="J80">
            <v>1</v>
          </cell>
          <cell r="K80"/>
          <cell r="L80"/>
          <cell r="M80">
            <v>1</v>
          </cell>
          <cell r="N80">
            <v>1</v>
          </cell>
          <cell r="O80"/>
          <cell r="P80">
            <v>1</v>
          </cell>
          <cell r="Q80"/>
          <cell r="R80">
            <v>1</v>
          </cell>
          <cell r="S80"/>
          <cell r="T80"/>
          <cell r="U80">
            <v>1</v>
          </cell>
          <cell r="V80">
            <v>1</v>
          </cell>
          <cell r="W80"/>
          <cell r="X80"/>
          <cell r="Y80"/>
          <cell r="Z80"/>
          <cell r="AA80">
            <v>1</v>
          </cell>
          <cell r="AB80">
            <v>1</v>
          </cell>
          <cell r="AC80"/>
          <cell r="AD80">
            <v>1</v>
          </cell>
          <cell r="AE80"/>
          <cell r="AF80">
            <v>1</v>
          </cell>
          <cell r="AG80">
            <v>1</v>
          </cell>
          <cell r="AH80"/>
          <cell r="AI80">
            <v>1</v>
          </cell>
          <cell r="AJ80">
            <v>1</v>
          </cell>
          <cell r="AK80"/>
          <cell r="AL80"/>
          <cell r="AM80"/>
          <cell r="AN80"/>
          <cell r="AO80"/>
          <cell r="AP80"/>
          <cell r="AQ80"/>
          <cell r="AR80">
            <v>1</v>
          </cell>
          <cell r="AS80"/>
          <cell r="AT80"/>
          <cell r="AU80">
            <v>1</v>
          </cell>
          <cell r="AV80"/>
          <cell r="AW80"/>
          <cell r="AX80">
            <v>1</v>
          </cell>
          <cell r="AY80">
            <v>1</v>
          </cell>
          <cell r="AZ80">
            <v>1</v>
          </cell>
          <cell r="BA80">
            <v>1</v>
          </cell>
          <cell r="BB80">
            <v>1</v>
          </cell>
          <cell r="BC80"/>
          <cell r="BD80">
            <v>1</v>
          </cell>
          <cell r="BE80"/>
          <cell r="BF80"/>
          <cell r="BG80"/>
          <cell r="BH80"/>
          <cell r="BI80"/>
          <cell r="BJ80"/>
          <cell r="BK80">
            <v>29</v>
          </cell>
        </row>
        <row r="81">
          <cell r="B81" t="str">
            <v>울산광역시</v>
          </cell>
          <cell r="C81">
            <v>1</v>
          </cell>
          <cell r="D81">
            <v>1</v>
          </cell>
          <cell r="E81">
            <v>1</v>
          </cell>
          <cell r="F81">
            <v>1</v>
          </cell>
          <cell r="G81">
            <v>1</v>
          </cell>
          <cell r="H81">
            <v>1</v>
          </cell>
          <cell r="I81">
            <v>1</v>
          </cell>
          <cell r="J81">
            <v>1</v>
          </cell>
          <cell r="K81"/>
          <cell r="L81">
            <v>1</v>
          </cell>
          <cell r="M81">
            <v>1</v>
          </cell>
          <cell r="N81">
            <v>1</v>
          </cell>
          <cell r="O81"/>
          <cell r="P81">
            <v>1</v>
          </cell>
          <cell r="Q81">
            <v>1</v>
          </cell>
          <cell r="R81">
            <v>1</v>
          </cell>
          <cell r="S81">
            <v>1</v>
          </cell>
          <cell r="T81">
            <v>1</v>
          </cell>
          <cell r="U81">
            <v>1</v>
          </cell>
          <cell r="V81">
            <v>1</v>
          </cell>
          <cell r="W81">
            <v>1</v>
          </cell>
          <cell r="X81"/>
          <cell r="Y81"/>
          <cell r="Z81">
            <v>1</v>
          </cell>
          <cell r="AA81">
            <v>1</v>
          </cell>
          <cell r="AB81">
            <v>1</v>
          </cell>
          <cell r="AC81"/>
          <cell r="AD81">
            <v>1</v>
          </cell>
          <cell r="AE81">
            <v>1</v>
          </cell>
          <cell r="AF81"/>
          <cell r="AG81">
            <v>1</v>
          </cell>
          <cell r="AH81">
            <v>1</v>
          </cell>
          <cell r="AI81"/>
          <cell r="AJ81"/>
          <cell r="AK81"/>
          <cell r="AL81"/>
          <cell r="AM81">
            <v>1</v>
          </cell>
          <cell r="AN81"/>
          <cell r="AO81">
            <v>1</v>
          </cell>
          <cell r="AP81"/>
          <cell r="AQ81"/>
          <cell r="AR81"/>
          <cell r="AS81"/>
          <cell r="AT81"/>
          <cell r="AU81">
            <v>1</v>
          </cell>
          <cell r="AV81"/>
          <cell r="AW81"/>
          <cell r="AX81"/>
          <cell r="AY81">
            <v>1</v>
          </cell>
          <cell r="AZ81"/>
          <cell r="BA81"/>
          <cell r="BB81"/>
          <cell r="BC81">
            <v>1</v>
          </cell>
          <cell r="BD81"/>
          <cell r="BE81"/>
          <cell r="BF81"/>
          <cell r="BG81"/>
          <cell r="BH81"/>
          <cell r="BI81"/>
          <cell r="BJ81"/>
          <cell r="BK81">
            <v>31</v>
          </cell>
        </row>
        <row r="82">
          <cell r="B82" t="str">
            <v>울산광역시 중구</v>
          </cell>
          <cell r="C82"/>
          <cell r="D82">
            <v>1</v>
          </cell>
          <cell r="E82">
            <v>1</v>
          </cell>
          <cell r="F82">
            <v>1</v>
          </cell>
          <cell r="G82">
            <v>1</v>
          </cell>
          <cell r="H82">
            <v>1</v>
          </cell>
          <cell r="I82">
            <v>1</v>
          </cell>
          <cell r="J82">
            <v>1</v>
          </cell>
          <cell r="K82">
            <v>1</v>
          </cell>
          <cell r="L82"/>
          <cell r="M82"/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1</v>
          </cell>
          <cell r="S82">
            <v>1</v>
          </cell>
          <cell r="T82"/>
          <cell r="U82">
            <v>1</v>
          </cell>
          <cell r="V82">
            <v>1</v>
          </cell>
          <cell r="W82"/>
          <cell r="X82"/>
          <cell r="Y82"/>
          <cell r="Z82"/>
          <cell r="AA82">
            <v>1</v>
          </cell>
          <cell r="AB82">
            <v>1</v>
          </cell>
          <cell r="AC82"/>
          <cell r="AD82"/>
          <cell r="AE82"/>
          <cell r="AF82"/>
          <cell r="AG82"/>
          <cell r="AH82"/>
          <cell r="AI82">
            <v>1</v>
          </cell>
          <cell r="AJ82">
            <v>1</v>
          </cell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>
            <v>1</v>
          </cell>
          <cell r="AV82"/>
          <cell r="AW82"/>
          <cell r="AX82"/>
          <cell r="AY82">
            <v>1</v>
          </cell>
          <cell r="AZ82"/>
          <cell r="BA82">
            <v>1</v>
          </cell>
          <cell r="BB82">
            <v>1</v>
          </cell>
          <cell r="BC82"/>
          <cell r="BD82"/>
          <cell r="BE82"/>
          <cell r="BF82"/>
          <cell r="BG82"/>
          <cell r="BH82"/>
          <cell r="BI82"/>
          <cell r="BJ82"/>
          <cell r="BK82">
            <v>24</v>
          </cell>
        </row>
        <row r="83">
          <cell r="B83" t="str">
            <v>울산광역시 남구</v>
          </cell>
          <cell r="C83">
            <v>1</v>
          </cell>
          <cell r="D83">
            <v>1</v>
          </cell>
          <cell r="E83">
            <v>1</v>
          </cell>
          <cell r="F83">
            <v>1</v>
          </cell>
          <cell r="G83">
            <v>1</v>
          </cell>
          <cell r="H83">
            <v>1</v>
          </cell>
          <cell r="I83">
            <v>1</v>
          </cell>
          <cell r="J83">
            <v>1</v>
          </cell>
          <cell r="K83"/>
          <cell r="L83">
            <v>1</v>
          </cell>
          <cell r="M83">
            <v>1</v>
          </cell>
          <cell r="N83">
            <v>1</v>
          </cell>
          <cell r="O83"/>
          <cell r="P83">
            <v>1</v>
          </cell>
          <cell r="Q83">
            <v>1</v>
          </cell>
          <cell r="R83">
            <v>1</v>
          </cell>
          <cell r="S83">
            <v>1</v>
          </cell>
          <cell r="T83"/>
          <cell r="U83">
            <v>1</v>
          </cell>
          <cell r="V83">
            <v>1</v>
          </cell>
          <cell r="W83">
            <v>1</v>
          </cell>
          <cell r="X83">
            <v>1</v>
          </cell>
          <cell r="Y83"/>
          <cell r="Z83"/>
          <cell r="AA83">
            <v>1</v>
          </cell>
          <cell r="AB83">
            <v>1</v>
          </cell>
          <cell r="AC83"/>
          <cell r="AD83"/>
          <cell r="AE83">
            <v>1</v>
          </cell>
          <cell r="AF83"/>
          <cell r="AG83">
            <v>1</v>
          </cell>
          <cell r="AH83"/>
          <cell r="AI83">
            <v>1</v>
          </cell>
          <cell r="AJ83">
            <v>1</v>
          </cell>
          <cell r="AK83">
            <v>1</v>
          </cell>
          <cell r="AL83"/>
          <cell r="AM83"/>
          <cell r="AN83"/>
          <cell r="AO83"/>
          <cell r="AP83"/>
          <cell r="AQ83"/>
          <cell r="AR83"/>
          <cell r="AS83"/>
          <cell r="AT83"/>
          <cell r="AU83">
            <v>1</v>
          </cell>
          <cell r="AV83"/>
          <cell r="AW83"/>
          <cell r="AX83"/>
          <cell r="AY83">
            <v>1</v>
          </cell>
          <cell r="AZ83"/>
          <cell r="BA83"/>
          <cell r="BB83">
            <v>1</v>
          </cell>
          <cell r="BC83">
            <v>1</v>
          </cell>
          <cell r="BD83"/>
          <cell r="BE83"/>
          <cell r="BF83"/>
          <cell r="BG83"/>
          <cell r="BH83"/>
          <cell r="BI83"/>
          <cell r="BJ83"/>
          <cell r="BK83">
            <v>30</v>
          </cell>
        </row>
        <row r="84">
          <cell r="B84" t="str">
            <v>울산광역시 동구</v>
          </cell>
          <cell r="C84">
            <v>1</v>
          </cell>
          <cell r="D84">
            <v>1</v>
          </cell>
          <cell r="E84">
            <v>1</v>
          </cell>
          <cell r="F84">
            <v>1</v>
          </cell>
          <cell r="G84">
            <v>1</v>
          </cell>
          <cell r="H84">
            <v>1</v>
          </cell>
          <cell r="I84">
            <v>1</v>
          </cell>
          <cell r="J84">
            <v>1</v>
          </cell>
          <cell r="K84"/>
          <cell r="L84">
            <v>1</v>
          </cell>
          <cell r="M84">
            <v>1</v>
          </cell>
          <cell r="N84">
            <v>1</v>
          </cell>
          <cell r="O84"/>
          <cell r="P84">
            <v>1</v>
          </cell>
          <cell r="Q84">
            <v>1</v>
          </cell>
          <cell r="R84">
            <v>1</v>
          </cell>
          <cell r="S84"/>
          <cell r="T84"/>
          <cell r="U84">
            <v>1</v>
          </cell>
          <cell r="V84">
            <v>1</v>
          </cell>
          <cell r="W84"/>
          <cell r="X84"/>
          <cell r="Y84"/>
          <cell r="Z84"/>
          <cell r="AA84">
            <v>1</v>
          </cell>
          <cell r="AB84">
            <v>1</v>
          </cell>
          <cell r="AC84"/>
          <cell r="AD84"/>
          <cell r="AE84">
            <v>1</v>
          </cell>
          <cell r="AF84"/>
          <cell r="AG84"/>
          <cell r="AH84"/>
          <cell r="AI84">
            <v>1</v>
          </cell>
          <cell r="AJ84">
            <v>1</v>
          </cell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>
            <v>1</v>
          </cell>
          <cell r="AV84"/>
          <cell r="AW84"/>
          <cell r="AX84"/>
          <cell r="AY84"/>
          <cell r="AZ84">
            <v>1</v>
          </cell>
          <cell r="BA84">
            <v>1</v>
          </cell>
          <cell r="BB84">
            <v>1</v>
          </cell>
          <cell r="BC84"/>
          <cell r="BD84"/>
          <cell r="BE84"/>
          <cell r="BF84"/>
          <cell r="BG84"/>
          <cell r="BH84"/>
          <cell r="BI84"/>
          <cell r="BJ84"/>
          <cell r="BK84">
            <v>25</v>
          </cell>
        </row>
        <row r="85">
          <cell r="B85" t="str">
            <v>울산광역시 북구</v>
          </cell>
          <cell r="C85">
            <v>1</v>
          </cell>
          <cell r="D85">
            <v>1</v>
          </cell>
          <cell r="E85">
            <v>1</v>
          </cell>
          <cell r="F85">
            <v>1</v>
          </cell>
          <cell r="G85">
            <v>1</v>
          </cell>
          <cell r="H85">
            <v>1</v>
          </cell>
          <cell r="I85">
            <v>1</v>
          </cell>
          <cell r="J85">
            <v>1</v>
          </cell>
          <cell r="K85"/>
          <cell r="L85"/>
          <cell r="M85"/>
          <cell r="N85">
            <v>1</v>
          </cell>
          <cell r="O85"/>
          <cell r="P85">
            <v>1</v>
          </cell>
          <cell r="Q85">
            <v>1</v>
          </cell>
          <cell r="R85"/>
          <cell r="S85"/>
          <cell r="T85"/>
          <cell r="U85">
            <v>1</v>
          </cell>
          <cell r="V85">
            <v>1</v>
          </cell>
          <cell r="W85"/>
          <cell r="X85"/>
          <cell r="Y85"/>
          <cell r="Z85">
            <v>1</v>
          </cell>
          <cell r="AA85">
            <v>1</v>
          </cell>
          <cell r="AB85">
            <v>1</v>
          </cell>
          <cell r="AC85"/>
          <cell r="AD85">
            <v>1</v>
          </cell>
          <cell r="AE85">
            <v>1</v>
          </cell>
          <cell r="AF85">
            <v>1</v>
          </cell>
          <cell r="AG85"/>
          <cell r="AH85"/>
          <cell r="AI85">
            <v>1</v>
          </cell>
          <cell r="AJ85">
            <v>1</v>
          </cell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>
            <v>1</v>
          </cell>
          <cell r="AV85"/>
          <cell r="AW85"/>
          <cell r="AX85"/>
          <cell r="AY85"/>
          <cell r="AZ85"/>
          <cell r="BA85"/>
          <cell r="BB85">
            <v>1</v>
          </cell>
          <cell r="BC85"/>
          <cell r="BD85"/>
          <cell r="BE85"/>
          <cell r="BF85"/>
          <cell r="BG85"/>
          <cell r="BH85"/>
          <cell r="BI85"/>
          <cell r="BJ85"/>
          <cell r="BK85">
            <v>23</v>
          </cell>
        </row>
        <row r="86">
          <cell r="B86" t="str">
            <v>울산광역시 울주군</v>
          </cell>
          <cell r="C86">
            <v>1</v>
          </cell>
          <cell r="D86">
            <v>1</v>
          </cell>
          <cell r="E86">
            <v>1</v>
          </cell>
          <cell r="F86">
            <v>1</v>
          </cell>
          <cell r="G86">
            <v>1</v>
          </cell>
          <cell r="H86">
            <v>1</v>
          </cell>
          <cell r="I86">
            <v>1</v>
          </cell>
          <cell r="J86">
            <v>1</v>
          </cell>
          <cell r="K86">
            <v>1</v>
          </cell>
          <cell r="L86"/>
          <cell r="M86">
            <v>1</v>
          </cell>
          <cell r="N86">
            <v>1</v>
          </cell>
          <cell r="O86"/>
          <cell r="P86">
            <v>1</v>
          </cell>
          <cell r="Q86">
            <v>1</v>
          </cell>
          <cell r="R86">
            <v>1</v>
          </cell>
          <cell r="S86">
            <v>1</v>
          </cell>
          <cell r="T86"/>
          <cell r="U86">
            <v>1</v>
          </cell>
          <cell r="V86"/>
          <cell r="W86"/>
          <cell r="X86"/>
          <cell r="Y86"/>
          <cell r="Z86">
            <v>1</v>
          </cell>
          <cell r="AA86">
            <v>1</v>
          </cell>
          <cell r="AB86">
            <v>1</v>
          </cell>
          <cell r="AC86">
            <v>1</v>
          </cell>
          <cell r="AD86"/>
          <cell r="AE86">
            <v>1</v>
          </cell>
          <cell r="AF86"/>
          <cell r="AG86"/>
          <cell r="AH86"/>
          <cell r="AI86">
            <v>1</v>
          </cell>
          <cell r="AJ86">
            <v>1</v>
          </cell>
          <cell r="AK86"/>
          <cell r="AL86"/>
          <cell r="AM86"/>
          <cell r="AN86"/>
          <cell r="AO86"/>
          <cell r="AP86"/>
          <cell r="AQ86"/>
          <cell r="AR86">
            <v>1</v>
          </cell>
          <cell r="AS86"/>
          <cell r="AT86"/>
          <cell r="AU86">
            <v>1</v>
          </cell>
          <cell r="AV86"/>
          <cell r="AW86"/>
          <cell r="AX86"/>
          <cell r="AY86"/>
          <cell r="AZ86"/>
          <cell r="BA86">
            <v>1</v>
          </cell>
          <cell r="BB86">
            <v>1</v>
          </cell>
          <cell r="BC86"/>
          <cell r="BD86"/>
          <cell r="BE86"/>
          <cell r="BF86"/>
          <cell r="BG86">
            <v>1</v>
          </cell>
          <cell r="BH86"/>
          <cell r="BI86"/>
          <cell r="BJ86"/>
          <cell r="BK86">
            <v>28</v>
          </cell>
        </row>
        <row r="87">
          <cell r="B87" t="str">
            <v>세종특별자치시</v>
          </cell>
          <cell r="C87">
            <v>1</v>
          </cell>
          <cell r="D87">
            <v>1</v>
          </cell>
          <cell r="E87">
            <v>1</v>
          </cell>
          <cell r="F87">
            <v>1</v>
          </cell>
          <cell r="G87">
            <v>1</v>
          </cell>
          <cell r="H87">
            <v>1</v>
          </cell>
          <cell r="I87">
            <v>1</v>
          </cell>
          <cell r="J87">
            <v>1</v>
          </cell>
          <cell r="K87"/>
          <cell r="L87"/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/>
          <cell r="S87">
            <v>1</v>
          </cell>
          <cell r="T87"/>
          <cell r="U87">
            <v>1</v>
          </cell>
          <cell r="V87"/>
          <cell r="W87"/>
          <cell r="X87"/>
          <cell r="Y87"/>
          <cell r="Z87"/>
          <cell r="AA87">
            <v>1</v>
          </cell>
          <cell r="AB87">
            <v>1</v>
          </cell>
          <cell r="AC87"/>
          <cell r="AD87"/>
          <cell r="AE87">
            <v>1</v>
          </cell>
          <cell r="AF87"/>
          <cell r="AG87"/>
          <cell r="AH87"/>
          <cell r="AI87">
            <v>1</v>
          </cell>
          <cell r="AJ87"/>
          <cell r="AK87"/>
          <cell r="AL87"/>
          <cell r="AM87">
            <v>1</v>
          </cell>
          <cell r="AN87">
            <v>1</v>
          </cell>
          <cell r="AO87">
            <v>1</v>
          </cell>
          <cell r="AP87">
            <v>1</v>
          </cell>
          <cell r="AQ87"/>
          <cell r="AR87"/>
          <cell r="AS87">
            <v>1</v>
          </cell>
          <cell r="AT87"/>
          <cell r="AU87">
            <v>1</v>
          </cell>
          <cell r="AV87"/>
          <cell r="AW87">
            <v>1</v>
          </cell>
          <cell r="AX87"/>
          <cell r="AY87">
            <v>1</v>
          </cell>
          <cell r="AZ87"/>
          <cell r="BA87">
            <v>1</v>
          </cell>
          <cell r="BB87">
            <v>1</v>
          </cell>
          <cell r="BC87"/>
          <cell r="BD87"/>
          <cell r="BE87">
            <v>1</v>
          </cell>
          <cell r="BF87">
            <v>1</v>
          </cell>
          <cell r="BG87"/>
          <cell r="BH87"/>
          <cell r="BI87"/>
          <cell r="BJ87"/>
          <cell r="BK87">
            <v>31</v>
          </cell>
        </row>
        <row r="88">
          <cell r="B88" t="str">
            <v>경기도</v>
          </cell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>
            <v>0</v>
          </cell>
        </row>
        <row r="89">
          <cell r="B89" t="str">
            <v>경기도 수원시</v>
          </cell>
          <cell r="C89">
            <v>1</v>
          </cell>
          <cell r="D89">
            <v>1</v>
          </cell>
          <cell r="E89">
            <v>1</v>
          </cell>
          <cell r="F89">
            <v>1</v>
          </cell>
          <cell r="G89">
            <v>1</v>
          </cell>
          <cell r="H89">
            <v>1</v>
          </cell>
          <cell r="I89">
            <v>1</v>
          </cell>
          <cell r="J89">
            <v>1</v>
          </cell>
          <cell r="K89"/>
          <cell r="L89">
            <v>1</v>
          </cell>
          <cell r="M89"/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1</v>
          </cell>
          <cell r="S89">
            <v>1</v>
          </cell>
          <cell r="T89">
            <v>1</v>
          </cell>
          <cell r="U89">
            <v>1</v>
          </cell>
          <cell r="V89">
            <v>1</v>
          </cell>
          <cell r="W89">
            <v>1</v>
          </cell>
          <cell r="X89">
            <v>1</v>
          </cell>
          <cell r="Y89"/>
          <cell r="Z89">
            <v>1</v>
          </cell>
          <cell r="AA89">
            <v>1</v>
          </cell>
          <cell r="AB89">
            <v>1</v>
          </cell>
          <cell r="AC89"/>
          <cell r="AD89">
            <v>1</v>
          </cell>
          <cell r="AE89">
            <v>1</v>
          </cell>
          <cell r="AF89">
            <v>1</v>
          </cell>
          <cell r="AG89">
            <v>1</v>
          </cell>
          <cell r="AH89">
            <v>1</v>
          </cell>
          <cell r="AI89">
            <v>1</v>
          </cell>
          <cell r="AJ89">
            <v>1</v>
          </cell>
          <cell r="AK89"/>
          <cell r="AL89">
            <v>1</v>
          </cell>
          <cell r="AM89">
            <v>1</v>
          </cell>
          <cell r="AN89">
            <v>1</v>
          </cell>
          <cell r="AO89">
            <v>1</v>
          </cell>
          <cell r="AP89">
            <v>1</v>
          </cell>
          <cell r="AQ89">
            <v>1</v>
          </cell>
          <cell r="AR89">
            <v>1</v>
          </cell>
          <cell r="AS89">
            <v>1</v>
          </cell>
          <cell r="AT89"/>
          <cell r="AU89">
            <v>1</v>
          </cell>
          <cell r="AV89"/>
          <cell r="AW89">
            <v>1</v>
          </cell>
          <cell r="AX89"/>
          <cell r="AY89">
            <v>1</v>
          </cell>
          <cell r="AZ89">
            <v>1</v>
          </cell>
          <cell r="BA89">
            <v>1</v>
          </cell>
          <cell r="BB89">
            <v>1</v>
          </cell>
          <cell r="BC89">
            <v>1</v>
          </cell>
          <cell r="BD89"/>
          <cell r="BE89">
            <v>1</v>
          </cell>
          <cell r="BF89">
            <v>1</v>
          </cell>
          <cell r="BG89">
            <v>1</v>
          </cell>
          <cell r="BH89"/>
          <cell r="BI89"/>
          <cell r="BJ89"/>
          <cell r="BK89">
            <v>48</v>
          </cell>
        </row>
        <row r="90">
          <cell r="B90" t="str">
            <v>경기도 고양시</v>
          </cell>
          <cell r="C90">
            <v>1</v>
          </cell>
          <cell r="D90">
            <v>1</v>
          </cell>
          <cell r="E90">
            <v>1</v>
          </cell>
          <cell r="F90">
            <v>1</v>
          </cell>
          <cell r="G90"/>
          <cell r="H90">
            <v>1</v>
          </cell>
          <cell r="I90">
            <v>1</v>
          </cell>
          <cell r="J90"/>
          <cell r="K90"/>
          <cell r="L90"/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1</v>
          </cell>
          <cell r="S90">
            <v>1</v>
          </cell>
          <cell r="T90">
            <v>1</v>
          </cell>
          <cell r="U90">
            <v>1</v>
          </cell>
          <cell r="V90"/>
          <cell r="W90"/>
          <cell r="X90">
            <v>1</v>
          </cell>
          <cell r="Y90"/>
          <cell r="Z90"/>
          <cell r="AA90">
            <v>1</v>
          </cell>
          <cell r="AB90">
            <v>1</v>
          </cell>
          <cell r="AC90"/>
          <cell r="AD90">
            <v>1</v>
          </cell>
          <cell r="AE90">
            <v>1</v>
          </cell>
          <cell r="AF90"/>
          <cell r="AG90">
            <v>1</v>
          </cell>
          <cell r="AH90">
            <v>1</v>
          </cell>
          <cell r="AI90">
            <v>1</v>
          </cell>
          <cell r="AJ90">
            <v>1</v>
          </cell>
          <cell r="AK90"/>
          <cell r="AL90">
            <v>1</v>
          </cell>
          <cell r="AM90">
            <v>1</v>
          </cell>
          <cell r="AN90"/>
          <cell r="AO90">
            <v>1</v>
          </cell>
          <cell r="AP90"/>
          <cell r="AQ90"/>
          <cell r="AR90">
            <v>1</v>
          </cell>
          <cell r="AS90"/>
          <cell r="AT90"/>
          <cell r="AU90">
            <v>1</v>
          </cell>
          <cell r="AV90"/>
          <cell r="AW90">
            <v>1</v>
          </cell>
          <cell r="AX90"/>
          <cell r="AY90">
            <v>1</v>
          </cell>
          <cell r="AZ90"/>
          <cell r="BA90">
            <v>1</v>
          </cell>
          <cell r="BB90">
            <v>1</v>
          </cell>
          <cell r="BC90">
            <v>1</v>
          </cell>
          <cell r="BD90"/>
          <cell r="BE90">
            <v>1</v>
          </cell>
          <cell r="BF90"/>
          <cell r="BG90">
            <v>1</v>
          </cell>
          <cell r="BH90"/>
          <cell r="BI90"/>
          <cell r="BJ90"/>
          <cell r="BK90">
            <v>36</v>
          </cell>
        </row>
        <row r="91">
          <cell r="B91" t="str">
            <v>경기도 성남시</v>
          </cell>
          <cell r="C91">
            <v>1</v>
          </cell>
          <cell r="D91">
            <v>1</v>
          </cell>
          <cell r="E91">
            <v>1</v>
          </cell>
          <cell r="F91">
            <v>1</v>
          </cell>
          <cell r="G91">
            <v>1</v>
          </cell>
          <cell r="H91">
            <v>1</v>
          </cell>
          <cell r="I91">
            <v>1</v>
          </cell>
          <cell r="J91">
            <v>1</v>
          </cell>
          <cell r="K91"/>
          <cell r="L91"/>
          <cell r="M91">
            <v>1</v>
          </cell>
          <cell r="N91">
            <v>1</v>
          </cell>
          <cell r="O91"/>
          <cell r="P91">
            <v>1</v>
          </cell>
          <cell r="Q91">
            <v>1</v>
          </cell>
          <cell r="R91">
            <v>1</v>
          </cell>
          <cell r="S91">
            <v>1</v>
          </cell>
          <cell r="T91"/>
          <cell r="U91">
            <v>1</v>
          </cell>
          <cell r="V91">
            <v>1</v>
          </cell>
          <cell r="W91">
            <v>1</v>
          </cell>
          <cell r="X91">
            <v>1</v>
          </cell>
          <cell r="Y91"/>
          <cell r="Z91">
            <v>1</v>
          </cell>
          <cell r="AA91">
            <v>1</v>
          </cell>
          <cell r="AB91">
            <v>1</v>
          </cell>
          <cell r="AC91"/>
          <cell r="AD91">
            <v>1</v>
          </cell>
          <cell r="AE91">
            <v>1</v>
          </cell>
          <cell r="AF91">
            <v>1</v>
          </cell>
          <cell r="AG91">
            <v>1</v>
          </cell>
          <cell r="AH91">
            <v>1</v>
          </cell>
          <cell r="AI91"/>
          <cell r="AJ91">
            <v>1</v>
          </cell>
          <cell r="AK91"/>
          <cell r="AL91"/>
          <cell r="AM91">
            <v>1</v>
          </cell>
          <cell r="AN91">
            <v>1</v>
          </cell>
          <cell r="AO91">
            <v>1</v>
          </cell>
          <cell r="AP91">
            <v>1</v>
          </cell>
          <cell r="AQ91"/>
          <cell r="AR91">
            <v>1</v>
          </cell>
          <cell r="AS91">
            <v>1</v>
          </cell>
          <cell r="AT91"/>
          <cell r="AU91">
            <v>1</v>
          </cell>
          <cell r="AV91"/>
          <cell r="AW91">
            <v>1</v>
          </cell>
          <cell r="AX91">
            <v>1</v>
          </cell>
          <cell r="AY91"/>
          <cell r="AZ91"/>
          <cell r="BA91">
            <v>1</v>
          </cell>
          <cell r="BB91">
            <v>1</v>
          </cell>
          <cell r="BC91">
            <v>1</v>
          </cell>
          <cell r="BD91"/>
          <cell r="BE91">
            <v>1</v>
          </cell>
          <cell r="BF91"/>
          <cell r="BG91">
            <v>1</v>
          </cell>
          <cell r="BH91"/>
          <cell r="BI91"/>
          <cell r="BJ91"/>
          <cell r="BK91">
            <v>41</v>
          </cell>
        </row>
        <row r="92">
          <cell r="B92" t="str">
            <v>경기도 용인시</v>
          </cell>
          <cell r="C92">
            <v>1</v>
          </cell>
          <cell r="D92">
            <v>1</v>
          </cell>
          <cell r="E92">
            <v>1</v>
          </cell>
          <cell r="F92">
            <v>1</v>
          </cell>
          <cell r="G92">
            <v>1</v>
          </cell>
          <cell r="H92">
            <v>1</v>
          </cell>
          <cell r="I92">
            <v>1</v>
          </cell>
          <cell r="J92">
            <v>1</v>
          </cell>
          <cell r="K92">
            <v>1</v>
          </cell>
          <cell r="L92">
            <v>1</v>
          </cell>
          <cell r="M92">
            <v>1</v>
          </cell>
          <cell r="N92">
            <v>1</v>
          </cell>
          <cell r="O92"/>
          <cell r="P92">
            <v>1</v>
          </cell>
          <cell r="Q92">
            <v>1</v>
          </cell>
          <cell r="R92">
            <v>1</v>
          </cell>
          <cell r="S92">
            <v>1</v>
          </cell>
          <cell r="T92">
            <v>1</v>
          </cell>
          <cell r="U92">
            <v>1</v>
          </cell>
          <cell r="V92">
            <v>1</v>
          </cell>
          <cell r="W92"/>
          <cell r="X92">
            <v>1</v>
          </cell>
          <cell r="Y92"/>
          <cell r="Z92">
            <v>1</v>
          </cell>
          <cell r="AA92">
            <v>1</v>
          </cell>
          <cell r="AB92">
            <v>1</v>
          </cell>
          <cell r="AC92"/>
          <cell r="AD92"/>
          <cell r="AE92">
            <v>1</v>
          </cell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>
            <v>1</v>
          </cell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>
            <v>25</v>
          </cell>
        </row>
        <row r="93">
          <cell r="B93" t="str">
            <v>경기도 부천시</v>
          </cell>
          <cell r="C93">
            <v>1</v>
          </cell>
          <cell r="D93">
            <v>1</v>
          </cell>
          <cell r="E93">
            <v>1</v>
          </cell>
          <cell r="F93">
            <v>1</v>
          </cell>
          <cell r="G93">
            <v>1</v>
          </cell>
          <cell r="H93">
            <v>1</v>
          </cell>
          <cell r="I93">
            <v>1</v>
          </cell>
          <cell r="J93">
            <v>1</v>
          </cell>
          <cell r="K93"/>
          <cell r="L93"/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/>
          <cell r="S93">
            <v>1</v>
          </cell>
          <cell r="T93"/>
          <cell r="U93">
            <v>1</v>
          </cell>
          <cell r="V93">
            <v>1</v>
          </cell>
          <cell r="W93">
            <v>1</v>
          </cell>
          <cell r="X93">
            <v>1</v>
          </cell>
          <cell r="Y93">
            <v>1</v>
          </cell>
          <cell r="Z93"/>
          <cell r="AA93">
            <v>1</v>
          </cell>
          <cell r="AB93">
            <v>1</v>
          </cell>
          <cell r="AC93"/>
          <cell r="AD93">
            <v>1</v>
          </cell>
          <cell r="AE93">
            <v>1</v>
          </cell>
          <cell r="AF93"/>
          <cell r="AG93"/>
          <cell r="AH93">
            <v>1</v>
          </cell>
          <cell r="AI93"/>
          <cell r="AJ93">
            <v>1</v>
          </cell>
          <cell r="AK93"/>
          <cell r="AL93"/>
          <cell r="AM93">
            <v>1</v>
          </cell>
          <cell r="AN93"/>
          <cell r="AO93">
            <v>1</v>
          </cell>
          <cell r="AP93"/>
          <cell r="AQ93"/>
          <cell r="AR93">
            <v>1</v>
          </cell>
          <cell r="AS93"/>
          <cell r="AT93"/>
          <cell r="AU93">
            <v>1</v>
          </cell>
          <cell r="AV93"/>
          <cell r="AW93">
            <v>1</v>
          </cell>
          <cell r="AX93">
            <v>1</v>
          </cell>
          <cell r="AY93">
            <v>1</v>
          </cell>
          <cell r="AZ93"/>
          <cell r="BA93">
            <v>1</v>
          </cell>
          <cell r="BB93">
            <v>1</v>
          </cell>
          <cell r="BC93">
            <v>1</v>
          </cell>
          <cell r="BD93"/>
          <cell r="BE93">
            <v>1</v>
          </cell>
          <cell r="BF93">
            <v>1</v>
          </cell>
          <cell r="BG93">
            <v>1</v>
          </cell>
          <cell r="BH93"/>
          <cell r="BI93"/>
          <cell r="BJ93"/>
          <cell r="BK93">
            <v>38</v>
          </cell>
        </row>
        <row r="94">
          <cell r="B94" t="str">
            <v>경기도 안산시</v>
          </cell>
          <cell r="C94">
            <v>1</v>
          </cell>
          <cell r="D94">
            <v>1</v>
          </cell>
          <cell r="E94">
            <v>1</v>
          </cell>
          <cell r="F94">
            <v>1</v>
          </cell>
          <cell r="G94">
            <v>1</v>
          </cell>
          <cell r="H94">
            <v>1</v>
          </cell>
          <cell r="I94">
            <v>1</v>
          </cell>
          <cell r="J94">
            <v>1</v>
          </cell>
          <cell r="K94"/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1</v>
          </cell>
          <cell r="S94">
            <v>1</v>
          </cell>
          <cell r="T94"/>
          <cell r="U94">
            <v>1</v>
          </cell>
          <cell r="V94">
            <v>1</v>
          </cell>
          <cell r="W94">
            <v>1</v>
          </cell>
          <cell r="X94">
            <v>1</v>
          </cell>
          <cell r="Y94"/>
          <cell r="Z94">
            <v>1</v>
          </cell>
          <cell r="AA94">
            <v>1</v>
          </cell>
          <cell r="AB94">
            <v>1</v>
          </cell>
          <cell r="AC94"/>
          <cell r="AD94"/>
          <cell r="AE94">
            <v>1</v>
          </cell>
          <cell r="AF94"/>
          <cell r="AG94">
            <v>1</v>
          </cell>
          <cell r="AH94">
            <v>1</v>
          </cell>
          <cell r="AI94">
            <v>1</v>
          </cell>
          <cell r="AJ94">
            <v>1</v>
          </cell>
          <cell r="AK94"/>
          <cell r="AL94">
            <v>1</v>
          </cell>
          <cell r="AM94">
            <v>1</v>
          </cell>
          <cell r="AN94"/>
          <cell r="AO94"/>
          <cell r="AP94">
            <v>1</v>
          </cell>
          <cell r="AQ94"/>
          <cell r="AR94">
            <v>1</v>
          </cell>
          <cell r="AS94"/>
          <cell r="AT94"/>
          <cell r="AU94">
            <v>1</v>
          </cell>
          <cell r="AV94"/>
          <cell r="AW94">
            <v>1</v>
          </cell>
          <cell r="AX94">
            <v>1</v>
          </cell>
          <cell r="AY94">
            <v>1</v>
          </cell>
          <cell r="AZ94"/>
          <cell r="BA94">
            <v>1</v>
          </cell>
          <cell r="BB94">
            <v>1</v>
          </cell>
          <cell r="BC94">
            <v>1</v>
          </cell>
          <cell r="BD94"/>
          <cell r="BE94">
            <v>1</v>
          </cell>
          <cell r="BF94">
            <v>1</v>
          </cell>
          <cell r="BG94">
            <v>1</v>
          </cell>
          <cell r="BH94"/>
          <cell r="BI94"/>
          <cell r="BJ94"/>
          <cell r="BK94">
            <v>42</v>
          </cell>
        </row>
        <row r="95">
          <cell r="B95" t="str">
            <v>경기도 남양주시</v>
          </cell>
          <cell r="C95">
            <v>1</v>
          </cell>
          <cell r="D95">
            <v>1</v>
          </cell>
          <cell r="E95">
            <v>1</v>
          </cell>
          <cell r="F95">
            <v>1</v>
          </cell>
          <cell r="G95">
            <v>1</v>
          </cell>
          <cell r="H95">
            <v>1</v>
          </cell>
          <cell r="I95">
            <v>1</v>
          </cell>
          <cell r="J95">
            <v>1</v>
          </cell>
          <cell r="K95"/>
          <cell r="L95"/>
          <cell r="M95">
            <v>1</v>
          </cell>
          <cell r="N95">
            <v>1</v>
          </cell>
          <cell r="O95"/>
          <cell r="P95">
            <v>1</v>
          </cell>
          <cell r="Q95">
            <v>1</v>
          </cell>
          <cell r="R95">
            <v>1</v>
          </cell>
          <cell r="S95">
            <v>1</v>
          </cell>
          <cell r="T95">
            <v>1</v>
          </cell>
          <cell r="U95">
            <v>1</v>
          </cell>
          <cell r="V95">
            <v>1</v>
          </cell>
          <cell r="W95"/>
          <cell r="X95">
            <v>1</v>
          </cell>
          <cell r="Y95"/>
          <cell r="Z95"/>
          <cell r="AA95">
            <v>1</v>
          </cell>
          <cell r="AB95">
            <v>1</v>
          </cell>
          <cell r="AC95">
            <v>1</v>
          </cell>
          <cell r="AD95">
            <v>1</v>
          </cell>
          <cell r="AE95">
            <v>1</v>
          </cell>
          <cell r="AF95">
            <v>1</v>
          </cell>
          <cell r="AG95">
            <v>1</v>
          </cell>
          <cell r="AH95">
            <v>1</v>
          </cell>
          <cell r="AI95">
            <v>1</v>
          </cell>
          <cell r="AJ95">
            <v>1</v>
          </cell>
          <cell r="AK95"/>
          <cell r="AL95"/>
          <cell r="AM95">
            <v>1</v>
          </cell>
          <cell r="AN95"/>
          <cell r="AO95">
            <v>1</v>
          </cell>
          <cell r="AP95"/>
          <cell r="AQ95"/>
          <cell r="AR95"/>
          <cell r="AS95"/>
          <cell r="AT95"/>
          <cell r="AU95">
            <v>1</v>
          </cell>
          <cell r="AV95"/>
          <cell r="AW95">
            <v>1</v>
          </cell>
          <cell r="AX95">
            <v>1</v>
          </cell>
          <cell r="AY95">
            <v>1</v>
          </cell>
          <cell r="AZ95"/>
          <cell r="BA95">
            <v>1</v>
          </cell>
          <cell r="BB95">
            <v>1</v>
          </cell>
          <cell r="BC95"/>
          <cell r="BD95"/>
          <cell r="BE95"/>
          <cell r="BF95"/>
          <cell r="BG95">
            <v>1</v>
          </cell>
          <cell r="BH95"/>
          <cell r="BI95"/>
          <cell r="BJ95"/>
          <cell r="BK95">
            <v>37</v>
          </cell>
        </row>
        <row r="96">
          <cell r="B96" t="str">
            <v>경기도 안양시</v>
          </cell>
          <cell r="C96">
            <v>1</v>
          </cell>
          <cell r="D96">
            <v>1</v>
          </cell>
          <cell r="E96">
            <v>1</v>
          </cell>
          <cell r="F96">
            <v>1</v>
          </cell>
          <cell r="G96">
            <v>1</v>
          </cell>
          <cell r="H96">
            <v>1</v>
          </cell>
          <cell r="I96">
            <v>1</v>
          </cell>
          <cell r="J96">
            <v>1</v>
          </cell>
          <cell r="K96"/>
          <cell r="L96"/>
          <cell r="M96">
            <v>1</v>
          </cell>
          <cell r="N96">
            <v>1</v>
          </cell>
          <cell r="O96"/>
          <cell r="P96"/>
          <cell r="Q96">
            <v>1</v>
          </cell>
          <cell r="R96">
            <v>1</v>
          </cell>
          <cell r="S96">
            <v>1</v>
          </cell>
          <cell r="T96"/>
          <cell r="U96">
            <v>1</v>
          </cell>
          <cell r="V96"/>
          <cell r="W96"/>
          <cell r="X96">
            <v>1</v>
          </cell>
          <cell r="Y96"/>
          <cell r="Z96"/>
          <cell r="AA96"/>
          <cell r="AB96">
            <v>1</v>
          </cell>
          <cell r="AC96"/>
          <cell r="AD96"/>
          <cell r="AE96">
            <v>1</v>
          </cell>
          <cell r="AF96"/>
          <cell r="AG96">
            <v>1</v>
          </cell>
          <cell r="AH96">
            <v>1</v>
          </cell>
          <cell r="AI96"/>
          <cell r="AJ96">
            <v>1</v>
          </cell>
          <cell r="AK96"/>
          <cell r="AL96"/>
          <cell r="AM96"/>
          <cell r="AN96"/>
          <cell r="AO96"/>
          <cell r="AP96"/>
          <cell r="AQ96"/>
          <cell r="AR96">
            <v>1</v>
          </cell>
          <cell r="AS96"/>
          <cell r="AT96"/>
          <cell r="AU96">
            <v>1</v>
          </cell>
          <cell r="AV96"/>
          <cell r="AW96">
            <v>1</v>
          </cell>
          <cell r="AX96">
            <v>1</v>
          </cell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>
            <v>24</v>
          </cell>
        </row>
        <row r="97">
          <cell r="B97" t="str">
            <v>경기도 화성시</v>
          </cell>
          <cell r="C97">
            <v>1</v>
          </cell>
          <cell r="D97">
            <v>1</v>
          </cell>
          <cell r="E97">
            <v>1</v>
          </cell>
          <cell r="F97">
            <v>1</v>
          </cell>
          <cell r="G97">
            <v>1</v>
          </cell>
          <cell r="H97">
            <v>1</v>
          </cell>
          <cell r="I97">
            <v>1</v>
          </cell>
          <cell r="J97">
            <v>1</v>
          </cell>
          <cell r="K97">
            <v>1</v>
          </cell>
          <cell r="L97">
            <v>1</v>
          </cell>
          <cell r="M97">
            <v>1</v>
          </cell>
          <cell r="N97">
            <v>1</v>
          </cell>
          <cell r="O97"/>
          <cell r="P97">
            <v>1</v>
          </cell>
          <cell r="Q97">
            <v>1</v>
          </cell>
          <cell r="R97"/>
          <cell r="S97">
            <v>1</v>
          </cell>
          <cell r="T97">
            <v>1</v>
          </cell>
          <cell r="U97">
            <v>1</v>
          </cell>
          <cell r="V97">
            <v>1</v>
          </cell>
          <cell r="W97"/>
          <cell r="X97">
            <v>1</v>
          </cell>
          <cell r="Y97"/>
          <cell r="Z97">
            <v>1</v>
          </cell>
          <cell r="AA97">
            <v>1</v>
          </cell>
          <cell r="AB97">
            <v>1</v>
          </cell>
          <cell r="AC97"/>
          <cell r="AD97">
            <v>1</v>
          </cell>
          <cell r="AE97">
            <v>1</v>
          </cell>
          <cell r="AF97"/>
          <cell r="AG97"/>
          <cell r="AH97">
            <v>1</v>
          </cell>
          <cell r="AI97">
            <v>1</v>
          </cell>
          <cell r="AJ97"/>
          <cell r="AK97"/>
          <cell r="AL97"/>
          <cell r="AM97">
            <v>1</v>
          </cell>
          <cell r="AN97"/>
          <cell r="AO97"/>
          <cell r="AP97"/>
          <cell r="AQ97"/>
          <cell r="AR97"/>
          <cell r="AS97"/>
          <cell r="AT97"/>
          <cell r="AU97"/>
          <cell r="AV97"/>
          <cell r="AW97">
            <v>1</v>
          </cell>
          <cell r="AX97">
            <v>1</v>
          </cell>
          <cell r="AY97"/>
          <cell r="AZ97"/>
          <cell r="BA97">
            <v>1</v>
          </cell>
          <cell r="BB97">
            <v>1</v>
          </cell>
          <cell r="BC97">
            <v>1</v>
          </cell>
          <cell r="BD97"/>
          <cell r="BE97">
            <v>1</v>
          </cell>
          <cell r="BF97"/>
          <cell r="BG97">
            <v>1</v>
          </cell>
          <cell r="BH97"/>
          <cell r="BI97"/>
          <cell r="BJ97"/>
          <cell r="BK97">
            <v>34</v>
          </cell>
        </row>
        <row r="98">
          <cell r="B98" t="str">
            <v>경기도 평택시</v>
          </cell>
          <cell r="C98">
            <v>1</v>
          </cell>
          <cell r="D98">
            <v>1</v>
          </cell>
          <cell r="E98">
            <v>1</v>
          </cell>
          <cell r="F98">
            <v>1</v>
          </cell>
          <cell r="G98">
            <v>1</v>
          </cell>
          <cell r="H98">
            <v>1</v>
          </cell>
          <cell r="I98">
            <v>1</v>
          </cell>
          <cell r="J98">
            <v>1</v>
          </cell>
          <cell r="K98"/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1</v>
          </cell>
          <cell r="S98"/>
          <cell r="T98">
            <v>1</v>
          </cell>
          <cell r="U98">
            <v>1</v>
          </cell>
          <cell r="V98">
            <v>1</v>
          </cell>
          <cell r="W98"/>
          <cell r="X98">
            <v>1</v>
          </cell>
          <cell r="Y98"/>
          <cell r="Z98">
            <v>1</v>
          </cell>
          <cell r="AA98">
            <v>1</v>
          </cell>
          <cell r="AB98">
            <v>1</v>
          </cell>
          <cell r="AC98">
            <v>1</v>
          </cell>
          <cell r="AD98">
            <v>1</v>
          </cell>
          <cell r="AE98">
            <v>1</v>
          </cell>
          <cell r="AF98">
            <v>1</v>
          </cell>
          <cell r="AG98">
            <v>1</v>
          </cell>
          <cell r="AH98">
            <v>1</v>
          </cell>
          <cell r="AI98"/>
          <cell r="AJ98">
            <v>1</v>
          </cell>
          <cell r="AK98"/>
          <cell r="AL98"/>
          <cell r="AM98">
            <v>1</v>
          </cell>
          <cell r="AN98"/>
          <cell r="AO98"/>
          <cell r="AP98"/>
          <cell r="AQ98"/>
          <cell r="AR98">
            <v>1</v>
          </cell>
          <cell r="AS98"/>
          <cell r="AT98"/>
          <cell r="AU98">
            <v>1</v>
          </cell>
          <cell r="AV98"/>
          <cell r="AW98">
            <v>1</v>
          </cell>
          <cell r="AX98">
            <v>1</v>
          </cell>
          <cell r="AY98">
            <v>1</v>
          </cell>
          <cell r="AZ98"/>
          <cell r="BA98">
            <v>1</v>
          </cell>
          <cell r="BB98">
            <v>1</v>
          </cell>
          <cell r="BC98">
            <v>1</v>
          </cell>
          <cell r="BD98"/>
          <cell r="BE98">
            <v>1</v>
          </cell>
          <cell r="BF98"/>
          <cell r="BG98">
            <v>1</v>
          </cell>
          <cell r="BH98"/>
          <cell r="BI98"/>
          <cell r="BJ98"/>
          <cell r="BK98">
            <v>40</v>
          </cell>
        </row>
        <row r="99">
          <cell r="B99" t="str">
            <v>경기도 의정부시</v>
          </cell>
          <cell r="C99">
            <v>1</v>
          </cell>
          <cell r="D99">
            <v>1</v>
          </cell>
          <cell r="E99">
            <v>1</v>
          </cell>
          <cell r="F99">
            <v>1</v>
          </cell>
          <cell r="G99">
            <v>1</v>
          </cell>
          <cell r="H99">
            <v>1</v>
          </cell>
          <cell r="I99">
            <v>1</v>
          </cell>
          <cell r="J99">
            <v>1</v>
          </cell>
          <cell r="K99"/>
          <cell r="L99">
            <v>1</v>
          </cell>
          <cell r="M99">
            <v>1</v>
          </cell>
          <cell r="N99"/>
          <cell r="O99"/>
          <cell r="P99">
            <v>1</v>
          </cell>
          <cell r="Q99">
            <v>1</v>
          </cell>
          <cell r="R99">
            <v>1</v>
          </cell>
          <cell r="S99">
            <v>1</v>
          </cell>
          <cell r="T99"/>
          <cell r="U99">
            <v>1</v>
          </cell>
          <cell r="V99">
            <v>1</v>
          </cell>
          <cell r="W99"/>
          <cell r="X99">
            <v>1</v>
          </cell>
          <cell r="Y99"/>
          <cell r="Z99">
            <v>1</v>
          </cell>
          <cell r="AA99">
            <v>1</v>
          </cell>
          <cell r="AB99">
            <v>1</v>
          </cell>
          <cell r="AC99"/>
          <cell r="AD99">
            <v>1</v>
          </cell>
          <cell r="AE99">
            <v>1</v>
          </cell>
          <cell r="AF99"/>
          <cell r="AG99">
            <v>1</v>
          </cell>
          <cell r="AH99">
            <v>1</v>
          </cell>
          <cell r="AI99">
            <v>1</v>
          </cell>
          <cell r="AJ99">
            <v>1</v>
          </cell>
          <cell r="AK99">
            <v>1</v>
          </cell>
          <cell r="AL99"/>
          <cell r="AM99"/>
          <cell r="AN99"/>
          <cell r="AO99">
            <v>1</v>
          </cell>
          <cell r="AP99"/>
          <cell r="AQ99">
            <v>1</v>
          </cell>
          <cell r="AR99">
            <v>1</v>
          </cell>
          <cell r="AS99"/>
          <cell r="AT99"/>
          <cell r="AU99">
            <v>1</v>
          </cell>
          <cell r="AV99"/>
          <cell r="AW99">
            <v>1</v>
          </cell>
          <cell r="AX99"/>
          <cell r="AY99">
            <v>1</v>
          </cell>
          <cell r="AZ99"/>
          <cell r="BA99">
            <v>1</v>
          </cell>
          <cell r="BB99">
            <v>1</v>
          </cell>
          <cell r="BC99">
            <v>1</v>
          </cell>
          <cell r="BD99"/>
          <cell r="BE99">
            <v>1</v>
          </cell>
          <cell r="BF99"/>
          <cell r="BG99">
            <v>1</v>
          </cell>
          <cell r="BH99"/>
          <cell r="BI99"/>
          <cell r="BJ99"/>
          <cell r="BK99">
            <v>38</v>
          </cell>
        </row>
        <row r="100">
          <cell r="B100" t="str">
            <v>경기도 시흥시</v>
          </cell>
          <cell r="C100">
            <v>1</v>
          </cell>
          <cell r="D100">
            <v>1</v>
          </cell>
          <cell r="E100">
            <v>1</v>
          </cell>
          <cell r="F100">
            <v>1</v>
          </cell>
          <cell r="G100">
            <v>1</v>
          </cell>
          <cell r="H100">
            <v>1</v>
          </cell>
          <cell r="I100">
            <v>1</v>
          </cell>
          <cell r="J100">
            <v>1</v>
          </cell>
          <cell r="K100"/>
          <cell r="L100"/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1</v>
          </cell>
          <cell r="S100">
            <v>1</v>
          </cell>
          <cell r="T100"/>
          <cell r="U100">
            <v>1</v>
          </cell>
          <cell r="V100">
            <v>1</v>
          </cell>
          <cell r="W100"/>
          <cell r="X100">
            <v>1</v>
          </cell>
          <cell r="Y100"/>
          <cell r="Z100"/>
          <cell r="AA100">
            <v>1</v>
          </cell>
          <cell r="AB100">
            <v>1</v>
          </cell>
          <cell r="AC100"/>
          <cell r="AD100"/>
          <cell r="AE100">
            <v>1</v>
          </cell>
          <cell r="AF100"/>
          <cell r="AG100">
            <v>1</v>
          </cell>
          <cell r="AH100">
            <v>1</v>
          </cell>
          <cell r="AI100">
            <v>1</v>
          </cell>
          <cell r="AJ100">
            <v>1</v>
          </cell>
          <cell r="AK100"/>
          <cell r="AL100"/>
          <cell r="AM100">
            <v>1</v>
          </cell>
          <cell r="AN100"/>
          <cell r="AO100"/>
          <cell r="AP100"/>
          <cell r="AQ100"/>
          <cell r="AR100"/>
          <cell r="AS100"/>
          <cell r="AT100"/>
          <cell r="AU100">
            <v>1</v>
          </cell>
          <cell r="AV100"/>
          <cell r="AW100">
            <v>1</v>
          </cell>
          <cell r="AX100"/>
          <cell r="AY100"/>
          <cell r="AZ100"/>
          <cell r="BA100">
            <v>1</v>
          </cell>
          <cell r="BB100">
            <v>1</v>
          </cell>
          <cell r="BC100"/>
          <cell r="BD100"/>
          <cell r="BE100">
            <v>1</v>
          </cell>
          <cell r="BF100"/>
          <cell r="BG100"/>
          <cell r="BH100"/>
          <cell r="BI100"/>
          <cell r="BJ100"/>
          <cell r="BK100">
            <v>31</v>
          </cell>
        </row>
        <row r="101">
          <cell r="B101" t="str">
            <v>경기도 파주시</v>
          </cell>
          <cell r="C101">
            <v>1</v>
          </cell>
          <cell r="D101">
            <v>1</v>
          </cell>
          <cell r="E101">
            <v>1</v>
          </cell>
          <cell r="F101">
            <v>1</v>
          </cell>
          <cell r="G101">
            <v>1</v>
          </cell>
          <cell r="H101">
            <v>1</v>
          </cell>
          <cell r="I101">
            <v>1</v>
          </cell>
          <cell r="J101">
            <v>1</v>
          </cell>
          <cell r="K101"/>
          <cell r="L101">
            <v>1</v>
          </cell>
          <cell r="M101">
            <v>1</v>
          </cell>
          <cell r="N101">
            <v>1</v>
          </cell>
          <cell r="O101"/>
          <cell r="P101">
            <v>1</v>
          </cell>
          <cell r="Q101">
            <v>1</v>
          </cell>
          <cell r="R101">
            <v>1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/>
          <cell r="X101">
            <v>1</v>
          </cell>
          <cell r="Y101"/>
          <cell r="Z101"/>
          <cell r="AA101">
            <v>1</v>
          </cell>
          <cell r="AB101">
            <v>1</v>
          </cell>
          <cell r="AC101">
            <v>1</v>
          </cell>
          <cell r="AD101">
            <v>1</v>
          </cell>
          <cell r="AE101">
            <v>1</v>
          </cell>
          <cell r="AF101">
            <v>1</v>
          </cell>
          <cell r="AG101">
            <v>1</v>
          </cell>
          <cell r="AH101">
            <v>1</v>
          </cell>
          <cell r="AI101"/>
          <cell r="AJ101">
            <v>1</v>
          </cell>
          <cell r="AK101"/>
          <cell r="AL101"/>
          <cell r="AM101">
            <v>1</v>
          </cell>
          <cell r="AN101">
            <v>1</v>
          </cell>
          <cell r="AO101"/>
          <cell r="AP101">
            <v>1</v>
          </cell>
          <cell r="AQ101">
            <v>1</v>
          </cell>
          <cell r="AR101">
            <v>1</v>
          </cell>
          <cell r="AS101">
            <v>1</v>
          </cell>
          <cell r="AT101"/>
          <cell r="AU101">
            <v>1</v>
          </cell>
          <cell r="AV101"/>
          <cell r="AW101">
            <v>1</v>
          </cell>
          <cell r="AX101"/>
          <cell r="AY101">
            <v>1</v>
          </cell>
          <cell r="AZ101"/>
          <cell r="BA101">
            <v>1</v>
          </cell>
          <cell r="BB101">
            <v>1</v>
          </cell>
          <cell r="BC101">
            <v>1</v>
          </cell>
          <cell r="BD101"/>
          <cell r="BE101">
            <v>1</v>
          </cell>
          <cell r="BF101"/>
          <cell r="BG101"/>
          <cell r="BH101"/>
          <cell r="BI101"/>
          <cell r="BJ101"/>
          <cell r="BK101">
            <v>41</v>
          </cell>
        </row>
        <row r="102">
          <cell r="B102" t="str">
            <v>경기도 김포시</v>
          </cell>
          <cell r="C102">
            <v>1</v>
          </cell>
          <cell r="D102">
            <v>1</v>
          </cell>
          <cell r="E102">
            <v>1</v>
          </cell>
          <cell r="F102">
            <v>1</v>
          </cell>
          <cell r="G102">
            <v>1</v>
          </cell>
          <cell r="H102">
            <v>1</v>
          </cell>
          <cell r="I102">
            <v>1</v>
          </cell>
          <cell r="J102">
            <v>1</v>
          </cell>
          <cell r="K102">
            <v>1</v>
          </cell>
          <cell r="L102"/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/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/>
          <cell r="X102"/>
          <cell r="Y102"/>
          <cell r="Z102">
            <v>1</v>
          </cell>
          <cell r="AA102">
            <v>1</v>
          </cell>
          <cell r="AB102">
            <v>1</v>
          </cell>
          <cell r="AC102">
            <v>1</v>
          </cell>
          <cell r="AD102"/>
          <cell r="AE102">
            <v>1</v>
          </cell>
          <cell r="AF102"/>
          <cell r="AG102">
            <v>1</v>
          </cell>
          <cell r="AH102">
            <v>1</v>
          </cell>
          <cell r="AI102">
            <v>1</v>
          </cell>
          <cell r="AJ102">
            <v>1</v>
          </cell>
          <cell r="AK102"/>
          <cell r="AL102"/>
          <cell r="AM102"/>
          <cell r="AN102"/>
          <cell r="AO102">
            <v>1</v>
          </cell>
          <cell r="AP102"/>
          <cell r="AQ102"/>
          <cell r="AR102"/>
          <cell r="AS102"/>
          <cell r="AT102"/>
          <cell r="AU102">
            <v>1</v>
          </cell>
          <cell r="AV102"/>
          <cell r="AW102">
            <v>1</v>
          </cell>
          <cell r="AX102">
            <v>1</v>
          </cell>
          <cell r="AY102">
            <v>1</v>
          </cell>
          <cell r="AZ102"/>
          <cell r="BA102">
            <v>1</v>
          </cell>
          <cell r="BB102">
            <v>1</v>
          </cell>
          <cell r="BC102"/>
          <cell r="BD102">
            <v>1</v>
          </cell>
          <cell r="BE102">
            <v>1</v>
          </cell>
          <cell r="BF102"/>
          <cell r="BG102">
            <v>1</v>
          </cell>
          <cell r="BH102"/>
          <cell r="BI102"/>
          <cell r="BJ102"/>
          <cell r="BK102">
            <v>37</v>
          </cell>
        </row>
        <row r="103">
          <cell r="B103" t="str">
            <v>경기도 광명시</v>
          </cell>
          <cell r="C103">
            <v>1</v>
          </cell>
          <cell r="D103">
            <v>1</v>
          </cell>
          <cell r="E103">
            <v>1</v>
          </cell>
          <cell r="F103">
            <v>1</v>
          </cell>
          <cell r="G103">
            <v>1</v>
          </cell>
          <cell r="H103">
            <v>1</v>
          </cell>
          <cell r="I103">
            <v>1</v>
          </cell>
          <cell r="J103">
            <v>1</v>
          </cell>
          <cell r="K103">
            <v>1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1</v>
          </cell>
          <cell r="S103">
            <v>1</v>
          </cell>
          <cell r="T103"/>
          <cell r="U103">
            <v>1</v>
          </cell>
          <cell r="V103"/>
          <cell r="W103"/>
          <cell r="X103">
            <v>1</v>
          </cell>
          <cell r="Y103"/>
          <cell r="Z103">
            <v>1</v>
          </cell>
          <cell r="AA103">
            <v>1</v>
          </cell>
          <cell r="AB103">
            <v>1</v>
          </cell>
          <cell r="AC103"/>
          <cell r="AD103">
            <v>1</v>
          </cell>
          <cell r="AE103">
            <v>1</v>
          </cell>
          <cell r="AF103"/>
          <cell r="AG103">
            <v>1</v>
          </cell>
          <cell r="AH103">
            <v>1</v>
          </cell>
          <cell r="AI103"/>
          <cell r="AJ103">
            <v>1</v>
          </cell>
          <cell r="AK103"/>
          <cell r="AL103"/>
          <cell r="AM103"/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1</v>
          </cell>
          <cell r="AS103">
            <v>1</v>
          </cell>
          <cell r="AT103"/>
          <cell r="AU103">
            <v>1</v>
          </cell>
          <cell r="AV103"/>
          <cell r="AW103">
            <v>1</v>
          </cell>
          <cell r="AX103">
            <v>1</v>
          </cell>
          <cell r="AY103">
            <v>1</v>
          </cell>
          <cell r="AZ103">
            <v>1</v>
          </cell>
          <cell r="BA103">
            <v>1</v>
          </cell>
          <cell r="BB103">
            <v>1</v>
          </cell>
          <cell r="BC103">
            <v>1</v>
          </cell>
          <cell r="BD103"/>
          <cell r="BE103">
            <v>1</v>
          </cell>
          <cell r="BF103"/>
          <cell r="BG103">
            <v>1</v>
          </cell>
          <cell r="BH103"/>
          <cell r="BI103"/>
          <cell r="BJ103"/>
          <cell r="BK103">
            <v>43</v>
          </cell>
        </row>
        <row r="104">
          <cell r="B104" t="str">
            <v>경기도 광주시</v>
          </cell>
          <cell r="C104">
            <v>1</v>
          </cell>
          <cell r="D104">
            <v>1</v>
          </cell>
          <cell r="E104">
            <v>1</v>
          </cell>
          <cell r="F104"/>
          <cell r="G104">
            <v>1</v>
          </cell>
          <cell r="H104">
            <v>1</v>
          </cell>
          <cell r="I104">
            <v>1</v>
          </cell>
          <cell r="J104">
            <v>1</v>
          </cell>
          <cell r="K104"/>
          <cell r="L104">
            <v>1</v>
          </cell>
          <cell r="M104">
            <v>1</v>
          </cell>
          <cell r="N104">
            <v>1</v>
          </cell>
          <cell r="O104"/>
          <cell r="P104">
            <v>1</v>
          </cell>
          <cell r="Q104">
            <v>1</v>
          </cell>
          <cell r="R104">
            <v>1</v>
          </cell>
          <cell r="S104">
            <v>1</v>
          </cell>
          <cell r="T104">
            <v>1</v>
          </cell>
          <cell r="U104">
            <v>1</v>
          </cell>
          <cell r="V104"/>
          <cell r="W104"/>
          <cell r="X104">
            <v>1</v>
          </cell>
          <cell r="Y104"/>
          <cell r="Z104"/>
          <cell r="AA104">
            <v>1</v>
          </cell>
          <cell r="AB104">
            <v>1</v>
          </cell>
          <cell r="AC104">
            <v>1</v>
          </cell>
          <cell r="AD104">
            <v>1</v>
          </cell>
          <cell r="AE104">
            <v>1</v>
          </cell>
          <cell r="AF104"/>
          <cell r="AG104">
            <v>1</v>
          </cell>
          <cell r="AH104">
            <v>1</v>
          </cell>
          <cell r="AI104">
            <v>1</v>
          </cell>
          <cell r="AJ104">
            <v>1</v>
          </cell>
          <cell r="AK104"/>
          <cell r="AL104"/>
          <cell r="AM104">
            <v>1</v>
          </cell>
          <cell r="AN104"/>
          <cell r="AO104"/>
          <cell r="AP104"/>
          <cell r="AQ104"/>
          <cell r="AR104">
            <v>1</v>
          </cell>
          <cell r="AS104"/>
          <cell r="AT104"/>
          <cell r="AU104">
            <v>1</v>
          </cell>
          <cell r="AV104"/>
          <cell r="AW104">
            <v>1</v>
          </cell>
          <cell r="AX104">
            <v>1</v>
          </cell>
          <cell r="AY104"/>
          <cell r="AZ104"/>
          <cell r="BA104">
            <v>1</v>
          </cell>
          <cell r="BB104">
            <v>1</v>
          </cell>
          <cell r="BC104"/>
          <cell r="BD104"/>
          <cell r="BE104">
            <v>1</v>
          </cell>
          <cell r="BF104"/>
          <cell r="BG104">
            <v>1</v>
          </cell>
          <cell r="BH104"/>
          <cell r="BI104"/>
          <cell r="BJ104"/>
          <cell r="BK104">
            <v>35</v>
          </cell>
        </row>
        <row r="105">
          <cell r="B105" t="str">
            <v>경기도 군포시</v>
          </cell>
          <cell r="C105">
            <v>1</v>
          </cell>
          <cell r="D105">
            <v>1</v>
          </cell>
          <cell r="E105">
            <v>1</v>
          </cell>
          <cell r="F105">
            <v>1</v>
          </cell>
          <cell r="G105">
            <v>1</v>
          </cell>
          <cell r="H105">
            <v>1</v>
          </cell>
          <cell r="I105">
            <v>1</v>
          </cell>
          <cell r="J105">
            <v>1</v>
          </cell>
          <cell r="K105"/>
          <cell r="L105">
            <v>1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/>
          <cell r="S105"/>
          <cell r="T105"/>
          <cell r="U105">
            <v>1</v>
          </cell>
          <cell r="V105">
            <v>1</v>
          </cell>
          <cell r="W105"/>
          <cell r="X105">
            <v>1</v>
          </cell>
          <cell r="Y105">
            <v>1</v>
          </cell>
          <cell r="Z105">
            <v>1</v>
          </cell>
          <cell r="AA105">
            <v>1</v>
          </cell>
          <cell r="AB105">
            <v>1</v>
          </cell>
          <cell r="AC105">
            <v>1</v>
          </cell>
          <cell r="AD105"/>
          <cell r="AE105">
            <v>1</v>
          </cell>
          <cell r="AF105"/>
          <cell r="AG105">
            <v>1</v>
          </cell>
          <cell r="AH105">
            <v>1</v>
          </cell>
          <cell r="AI105">
            <v>1</v>
          </cell>
          <cell r="AJ105">
            <v>1</v>
          </cell>
          <cell r="AK105"/>
          <cell r="AL105"/>
          <cell r="AM105">
            <v>1</v>
          </cell>
          <cell r="AN105"/>
          <cell r="AO105"/>
          <cell r="AP105"/>
          <cell r="AQ105"/>
          <cell r="AR105">
            <v>1</v>
          </cell>
          <cell r="AS105"/>
          <cell r="AT105"/>
          <cell r="AU105">
            <v>1</v>
          </cell>
          <cell r="AV105">
            <v>1</v>
          </cell>
          <cell r="AW105">
            <v>1</v>
          </cell>
          <cell r="AX105">
            <v>1</v>
          </cell>
          <cell r="AY105">
            <v>1</v>
          </cell>
          <cell r="AZ105"/>
          <cell r="BA105">
            <v>1</v>
          </cell>
          <cell r="BB105">
            <v>1</v>
          </cell>
          <cell r="BC105"/>
          <cell r="BD105"/>
          <cell r="BE105">
            <v>1</v>
          </cell>
          <cell r="BF105"/>
          <cell r="BG105">
            <v>1</v>
          </cell>
          <cell r="BH105"/>
          <cell r="BI105"/>
          <cell r="BJ105"/>
          <cell r="BK105">
            <v>38</v>
          </cell>
        </row>
        <row r="106">
          <cell r="B106" t="str">
            <v>경기도 오산시</v>
          </cell>
          <cell r="C106">
            <v>1</v>
          </cell>
          <cell r="D106">
            <v>1</v>
          </cell>
          <cell r="E106">
            <v>1</v>
          </cell>
          <cell r="F106">
            <v>1</v>
          </cell>
          <cell r="G106"/>
          <cell r="H106">
            <v>1</v>
          </cell>
          <cell r="I106">
            <v>1</v>
          </cell>
          <cell r="J106">
            <v>1</v>
          </cell>
          <cell r="K106"/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1</v>
          </cell>
          <cell r="S106">
            <v>1</v>
          </cell>
          <cell r="T106"/>
          <cell r="U106">
            <v>1</v>
          </cell>
          <cell r="V106">
            <v>1</v>
          </cell>
          <cell r="W106"/>
          <cell r="X106">
            <v>1</v>
          </cell>
          <cell r="Y106"/>
          <cell r="Z106">
            <v>1</v>
          </cell>
          <cell r="AA106">
            <v>1</v>
          </cell>
          <cell r="AB106">
            <v>1</v>
          </cell>
          <cell r="AC106"/>
          <cell r="AD106"/>
          <cell r="AE106">
            <v>1</v>
          </cell>
          <cell r="AF106">
            <v>1</v>
          </cell>
          <cell r="AG106">
            <v>1</v>
          </cell>
          <cell r="AH106">
            <v>1</v>
          </cell>
          <cell r="AI106"/>
          <cell r="AJ106">
            <v>1</v>
          </cell>
          <cell r="AK106"/>
          <cell r="AL106"/>
          <cell r="AM106">
            <v>1</v>
          </cell>
          <cell r="AN106"/>
          <cell r="AO106"/>
          <cell r="AP106">
            <v>1</v>
          </cell>
          <cell r="AQ106">
            <v>1</v>
          </cell>
          <cell r="AR106"/>
          <cell r="AS106">
            <v>1</v>
          </cell>
          <cell r="AT106"/>
          <cell r="AU106">
            <v>1</v>
          </cell>
          <cell r="AV106"/>
          <cell r="AW106">
            <v>1</v>
          </cell>
          <cell r="AX106"/>
          <cell r="AY106"/>
          <cell r="AZ106"/>
          <cell r="BA106">
            <v>1</v>
          </cell>
          <cell r="BB106">
            <v>1</v>
          </cell>
          <cell r="BC106"/>
          <cell r="BD106"/>
          <cell r="BE106"/>
          <cell r="BF106">
            <v>1</v>
          </cell>
          <cell r="BG106"/>
          <cell r="BH106"/>
          <cell r="BI106"/>
          <cell r="BJ106"/>
          <cell r="BK106">
            <v>35</v>
          </cell>
        </row>
        <row r="107">
          <cell r="B107" t="str">
            <v>경기도 이천시</v>
          </cell>
          <cell r="C107">
            <v>1</v>
          </cell>
          <cell r="D107">
            <v>1</v>
          </cell>
          <cell r="E107">
            <v>1</v>
          </cell>
          <cell r="F107">
            <v>1</v>
          </cell>
          <cell r="G107">
            <v>1</v>
          </cell>
          <cell r="H107">
            <v>1</v>
          </cell>
          <cell r="I107">
            <v>1</v>
          </cell>
          <cell r="J107">
            <v>1</v>
          </cell>
          <cell r="K107"/>
          <cell r="L107">
            <v>1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/>
          <cell r="S107">
            <v>1</v>
          </cell>
          <cell r="T107">
            <v>1</v>
          </cell>
          <cell r="U107">
            <v>1</v>
          </cell>
          <cell r="V107">
            <v>1</v>
          </cell>
          <cell r="W107"/>
          <cell r="X107">
            <v>1</v>
          </cell>
          <cell r="Y107"/>
          <cell r="Z107"/>
          <cell r="AA107">
            <v>1</v>
          </cell>
          <cell r="AB107">
            <v>1</v>
          </cell>
          <cell r="AC107"/>
          <cell r="AD107"/>
          <cell r="AE107">
            <v>1</v>
          </cell>
          <cell r="AF107"/>
          <cell r="AG107">
            <v>1</v>
          </cell>
          <cell r="AH107">
            <v>1</v>
          </cell>
          <cell r="AI107">
            <v>1</v>
          </cell>
          <cell r="AJ107">
            <v>1</v>
          </cell>
          <cell r="AK107"/>
          <cell r="AL107"/>
          <cell r="AM107">
            <v>1</v>
          </cell>
          <cell r="AN107">
            <v>1</v>
          </cell>
          <cell r="AO107"/>
          <cell r="AP107">
            <v>1</v>
          </cell>
          <cell r="AQ107">
            <v>1</v>
          </cell>
          <cell r="AR107">
            <v>1</v>
          </cell>
          <cell r="AS107">
            <v>1</v>
          </cell>
          <cell r="AT107"/>
          <cell r="AU107">
            <v>1</v>
          </cell>
          <cell r="AV107"/>
          <cell r="AW107"/>
          <cell r="AX107">
            <v>1</v>
          </cell>
          <cell r="AY107"/>
          <cell r="AZ107"/>
          <cell r="BA107">
            <v>1</v>
          </cell>
          <cell r="BB107">
            <v>1</v>
          </cell>
          <cell r="BC107"/>
          <cell r="BD107"/>
          <cell r="BE107"/>
          <cell r="BF107"/>
          <cell r="BG107">
            <v>1</v>
          </cell>
          <cell r="BH107"/>
          <cell r="BI107"/>
          <cell r="BJ107"/>
          <cell r="BK107">
            <v>37</v>
          </cell>
        </row>
        <row r="108">
          <cell r="B108" t="str">
            <v>경기도 양주시</v>
          </cell>
          <cell r="C108">
            <v>1</v>
          </cell>
          <cell r="D108">
            <v>1</v>
          </cell>
          <cell r="E108">
            <v>1</v>
          </cell>
          <cell r="F108"/>
          <cell r="G108"/>
          <cell r="H108">
            <v>1</v>
          </cell>
          <cell r="I108">
            <v>1</v>
          </cell>
          <cell r="J108">
            <v>1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/>
          <cell r="P108">
            <v>1</v>
          </cell>
          <cell r="Q108"/>
          <cell r="R108"/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/>
          <cell r="X108"/>
          <cell r="Y108"/>
          <cell r="Z108">
            <v>1</v>
          </cell>
          <cell r="AA108">
            <v>1</v>
          </cell>
          <cell r="AB108">
            <v>1</v>
          </cell>
          <cell r="AC108">
            <v>1</v>
          </cell>
          <cell r="AD108">
            <v>1</v>
          </cell>
          <cell r="AE108">
            <v>1</v>
          </cell>
          <cell r="AF108">
            <v>1</v>
          </cell>
          <cell r="AG108"/>
          <cell r="AH108">
            <v>1</v>
          </cell>
          <cell r="AI108">
            <v>1</v>
          </cell>
          <cell r="AJ108">
            <v>1</v>
          </cell>
          <cell r="AK108">
            <v>1</v>
          </cell>
          <cell r="AL108"/>
          <cell r="AM108">
            <v>1</v>
          </cell>
          <cell r="AN108"/>
          <cell r="AO108"/>
          <cell r="AP108">
            <v>1</v>
          </cell>
          <cell r="AQ108">
            <v>1</v>
          </cell>
          <cell r="AR108">
            <v>1</v>
          </cell>
          <cell r="AS108"/>
          <cell r="AT108"/>
          <cell r="AU108">
            <v>1</v>
          </cell>
          <cell r="AV108"/>
          <cell r="AW108">
            <v>1</v>
          </cell>
          <cell r="AX108">
            <v>1</v>
          </cell>
          <cell r="AY108">
            <v>1</v>
          </cell>
          <cell r="AZ108"/>
          <cell r="BA108">
            <v>1</v>
          </cell>
          <cell r="BB108">
            <v>1</v>
          </cell>
          <cell r="BC108">
            <v>1</v>
          </cell>
          <cell r="BD108">
            <v>1</v>
          </cell>
          <cell r="BE108"/>
          <cell r="BF108"/>
          <cell r="BG108">
            <v>1</v>
          </cell>
          <cell r="BH108"/>
          <cell r="BI108"/>
          <cell r="BJ108"/>
          <cell r="BK108">
            <v>39</v>
          </cell>
        </row>
        <row r="109">
          <cell r="B109" t="str">
            <v>경기도 안성시</v>
          </cell>
          <cell r="C109">
            <v>1</v>
          </cell>
          <cell r="D109">
            <v>1</v>
          </cell>
          <cell r="E109">
            <v>1</v>
          </cell>
          <cell r="F109">
            <v>1</v>
          </cell>
          <cell r="G109">
            <v>1</v>
          </cell>
          <cell r="H109">
            <v>1</v>
          </cell>
          <cell r="I109">
            <v>1</v>
          </cell>
          <cell r="J109">
            <v>1</v>
          </cell>
          <cell r="K109">
            <v>1</v>
          </cell>
          <cell r="L109">
            <v>1</v>
          </cell>
          <cell r="M109">
            <v>1</v>
          </cell>
          <cell r="N109">
            <v>1</v>
          </cell>
          <cell r="O109"/>
          <cell r="P109">
            <v>1</v>
          </cell>
          <cell r="Q109"/>
          <cell r="R109">
            <v>1</v>
          </cell>
          <cell r="S109">
            <v>1</v>
          </cell>
          <cell r="T109">
            <v>1</v>
          </cell>
          <cell r="U109">
            <v>1</v>
          </cell>
          <cell r="V109">
            <v>1</v>
          </cell>
          <cell r="W109"/>
          <cell r="X109">
            <v>1</v>
          </cell>
          <cell r="Y109"/>
          <cell r="Z109"/>
          <cell r="AA109">
            <v>1</v>
          </cell>
          <cell r="AB109">
            <v>1</v>
          </cell>
          <cell r="AC109"/>
          <cell r="AD109">
            <v>1</v>
          </cell>
          <cell r="AE109">
            <v>1</v>
          </cell>
          <cell r="AF109">
            <v>1</v>
          </cell>
          <cell r="AG109">
            <v>1</v>
          </cell>
          <cell r="AH109">
            <v>1</v>
          </cell>
          <cell r="AI109"/>
          <cell r="AJ109">
            <v>1</v>
          </cell>
          <cell r="AK109">
            <v>1</v>
          </cell>
          <cell r="AL109"/>
          <cell r="AM109">
            <v>1</v>
          </cell>
          <cell r="AN109"/>
          <cell r="AO109">
            <v>1</v>
          </cell>
          <cell r="AP109"/>
          <cell r="AQ109"/>
          <cell r="AR109">
            <v>1</v>
          </cell>
          <cell r="AS109"/>
          <cell r="AT109"/>
          <cell r="AU109"/>
          <cell r="AV109"/>
          <cell r="AW109">
            <v>1</v>
          </cell>
          <cell r="AX109">
            <v>1</v>
          </cell>
          <cell r="AY109"/>
          <cell r="AZ109"/>
          <cell r="BA109">
            <v>1</v>
          </cell>
          <cell r="BB109">
            <v>1</v>
          </cell>
          <cell r="BC109"/>
          <cell r="BD109">
            <v>1</v>
          </cell>
          <cell r="BE109"/>
          <cell r="BF109"/>
          <cell r="BG109">
            <v>1</v>
          </cell>
          <cell r="BH109"/>
          <cell r="BI109"/>
          <cell r="BJ109"/>
          <cell r="BK109">
            <v>37</v>
          </cell>
        </row>
        <row r="110">
          <cell r="B110" t="str">
            <v>경기도 구리시</v>
          </cell>
          <cell r="C110">
            <v>1</v>
          </cell>
          <cell r="D110">
            <v>1</v>
          </cell>
          <cell r="E110">
            <v>1</v>
          </cell>
          <cell r="F110">
            <v>1</v>
          </cell>
          <cell r="G110">
            <v>1</v>
          </cell>
          <cell r="H110">
            <v>1</v>
          </cell>
          <cell r="I110">
            <v>1</v>
          </cell>
          <cell r="J110">
            <v>1</v>
          </cell>
          <cell r="K110"/>
          <cell r="L110"/>
          <cell r="M110">
            <v>1</v>
          </cell>
          <cell r="N110">
            <v>1</v>
          </cell>
          <cell r="O110"/>
          <cell r="P110">
            <v>1</v>
          </cell>
          <cell r="Q110">
            <v>1</v>
          </cell>
          <cell r="R110"/>
          <cell r="S110">
            <v>1</v>
          </cell>
          <cell r="T110"/>
          <cell r="U110">
            <v>1</v>
          </cell>
          <cell r="V110">
            <v>1</v>
          </cell>
          <cell r="W110"/>
          <cell r="X110">
            <v>1</v>
          </cell>
          <cell r="Y110"/>
          <cell r="Z110"/>
          <cell r="AA110">
            <v>1</v>
          </cell>
          <cell r="AB110">
            <v>1</v>
          </cell>
          <cell r="AC110">
            <v>1</v>
          </cell>
          <cell r="AD110">
            <v>1</v>
          </cell>
          <cell r="AE110"/>
          <cell r="AF110"/>
          <cell r="AG110">
            <v>1</v>
          </cell>
          <cell r="AH110">
            <v>1</v>
          </cell>
          <cell r="AI110">
            <v>1</v>
          </cell>
          <cell r="AJ110">
            <v>1</v>
          </cell>
          <cell r="AK110">
            <v>1</v>
          </cell>
          <cell r="AL110"/>
          <cell r="AM110"/>
          <cell r="AN110"/>
          <cell r="AO110"/>
          <cell r="AP110"/>
          <cell r="AQ110"/>
          <cell r="AR110">
            <v>1</v>
          </cell>
          <cell r="AS110"/>
          <cell r="AT110"/>
          <cell r="AU110">
            <v>1</v>
          </cell>
          <cell r="AV110"/>
          <cell r="AW110">
            <v>1</v>
          </cell>
          <cell r="AX110"/>
          <cell r="AY110">
            <v>1</v>
          </cell>
          <cell r="AZ110"/>
          <cell r="BA110">
            <v>1</v>
          </cell>
          <cell r="BB110">
            <v>1</v>
          </cell>
          <cell r="BC110">
            <v>1</v>
          </cell>
          <cell r="BD110"/>
          <cell r="BE110">
            <v>1</v>
          </cell>
          <cell r="BF110"/>
          <cell r="BG110">
            <v>1</v>
          </cell>
          <cell r="BH110"/>
          <cell r="BI110"/>
          <cell r="BJ110"/>
          <cell r="BK110">
            <v>34</v>
          </cell>
        </row>
        <row r="111">
          <cell r="B111" t="str">
            <v>경기도 포천시</v>
          </cell>
          <cell r="C111">
            <v>1</v>
          </cell>
          <cell r="D111">
            <v>1</v>
          </cell>
          <cell r="E111">
            <v>1</v>
          </cell>
          <cell r="F111">
            <v>1</v>
          </cell>
          <cell r="G111">
            <v>1</v>
          </cell>
          <cell r="H111">
            <v>1</v>
          </cell>
          <cell r="I111">
            <v>1</v>
          </cell>
          <cell r="J111">
            <v>1</v>
          </cell>
          <cell r="K111">
            <v>1</v>
          </cell>
          <cell r="L111">
            <v>1</v>
          </cell>
          <cell r="M111">
            <v>1</v>
          </cell>
          <cell r="N111">
            <v>1</v>
          </cell>
          <cell r="O111"/>
          <cell r="P111">
            <v>1</v>
          </cell>
          <cell r="Q111">
            <v>1</v>
          </cell>
          <cell r="R111"/>
          <cell r="S111">
            <v>1</v>
          </cell>
          <cell r="T111">
            <v>1</v>
          </cell>
          <cell r="U111">
            <v>1</v>
          </cell>
          <cell r="V111">
            <v>1</v>
          </cell>
          <cell r="W111"/>
          <cell r="X111"/>
          <cell r="Y111"/>
          <cell r="Z111">
            <v>1</v>
          </cell>
          <cell r="AA111">
            <v>1</v>
          </cell>
          <cell r="AB111">
            <v>1</v>
          </cell>
          <cell r="AC111">
            <v>1</v>
          </cell>
          <cell r="AD111"/>
          <cell r="AE111">
            <v>1</v>
          </cell>
          <cell r="AF111"/>
          <cell r="AG111"/>
          <cell r="AH111">
            <v>1</v>
          </cell>
          <cell r="AI111">
            <v>1</v>
          </cell>
          <cell r="AJ111">
            <v>1</v>
          </cell>
          <cell r="AK111">
            <v>1</v>
          </cell>
          <cell r="AL111">
            <v>1</v>
          </cell>
          <cell r="AM111"/>
          <cell r="AN111"/>
          <cell r="AO111"/>
          <cell r="AP111"/>
          <cell r="AQ111">
            <v>1</v>
          </cell>
          <cell r="AR111">
            <v>1</v>
          </cell>
          <cell r="AS111"/>
          <cell r="AT111"/>
          <cell r="AU111">
            <v>1</v>
          </cell>
          <cell r="AV111"/>
          <cell r="AW111">
            <v>1</v>
          </cell>
          <cell r="AX111">
            <v>1</v>
          </cell>
          <cell r="AY111"/>
          <cell r="AZ111"/>
          <cell r="BA111">
            <v>1</v>
          </cell>
          <cell r="BB111">
            <v>1</v>
          </cell>
          <cell r="BC111"/>
          <cell r="BD111"/>
          <cell r="BE111">
            <v>1</v>
          </cell>
          <cell r="BF111"/>
          <cell r="BG111">
            <v>1</v>
          </cell>
          <cell r="BH111"/>
          <cell r="BI111"/>
          <cell r="BJ111"/>
          <cell r="BK111">
            <v>37</v>
          </cell>
        </row>
        <row r="112">
          <cell r="B112" t="str">
            <v>경기도 의왕시</v>
          </cell>
          <cell r="C112">
            <v>1</v>
          </cell>
          <cell r="D112">
            <v>1</v>
          </cell>
          <cell r="E112">
            <v>1</v>
          </cell>
          <cell r="F112">
            <v>1</v>
          </cell>
          <cell r="G112">
            <v>1</v>
          </cell>
          <cell r="H112">
            <v>1</v>
          </cell>
          <cell r="I112">
            <v>1</v>
          </cell>
          <cell r="J112">
            <v>1</v>
          </cell>
          <cell r="K112">
            <v>1</v>
          </cell>
          <cell r="L112"/>
          <cell r="M112">
            <v>1</v>
          </cell>
          <cell r="N112">
            <v>1</v>
          </cell>
          <cell r="O112"/>
          <cell r="P112">
            <v>1</v>
          </cell>
          <cell r="Q112">
            <v>1</v>
          </cell>
          <cell r="R112"/>
          <cell r="S112">
            <v>1</v>
          </cell>
          <cell r="T112"/>
          <cell r="U112">
            <v>1</v>
          </cell>
          <cell r="V112"/>
          <cell r="W112"/>
          <cell r="X112">
            <v>1</v>
          </cell>
          <cell r="Y112"/>
          <cell r="Z112">
            <v>1</v>
          </cell>
          <cell r="AA112">
            <v>1</v>
          </cell>
          <cell r="AB112">
            <v>1</v>
          </cell>
          <cell r="AC112"/>
          <cell r="AD112">
            <v>1</v>
          </cell>
          <cell r="AE112">
            <v>1</v>
          </cell>
          <cell r="AF112"/>
          <cell r="AG112">
            <v>1</v>
          </cell>
          <cell r="AH112">
            <v>1</v>
          </cell>
          <cell r="AI112"/>
          <cell r="AJ112">
            <v>1</v>
          </cell>
          <cell r="AK112">
            <v>1</v>
          </cell>
          <cell r="AL112"/>
          <cell r="AM112"/>
          <cell r="AN112">
            <v>1</v>
          </cell>
          <cell r="AO112"/>
          <cell r="AP112">
            <v>1</v>
          </cell>
          <cell r="AQ112">
            <v>1</v>
          </cell>
          <cell r="AR112"/>
          <cell r="AS112">
            <v>1</v>
          </cell>
          <cell r="AT112"/>
          <cell r="AU112">
            <v>1</v>
          </cell>
          <cell r="AV112"/>
          <cell r="AW112">
            <v>1</v>
          </cell>
          <cell r="AX112">
            <v>1</v>
          </cell>
          <cell r="AY112"/>
          <cell r="AZ112"/>
          <cell r="BA112">
            <v>1</v>
          </cell>
          <cell r="BB112">
            <v>1</v>
          </cell>
          <cell r="BC112">
            <v>1</v>
          </cell>
          <cell r="BD112"/>
          <cell r="BE112"/>
          <cell r="BF112"/>
          <cell r="BG112">
            <v>1</v>
          </cell>
          <cell r="BH112"/>
          <cell r="BI112"/>
          <cell r="BJ112"/>
          <cell r="BK112">
            <v>36</v>
          </cell>
        </row>
        <row r="113">
          <cell r="B113" t="str">
            <v>경기도 하남시</v>
          </cell>
          <cell r="C113">
            <v>1</v>
          </cell>
          <cell r="D113">
            <v>1</v>
          </cell>
          <cell r="E113">
            <v>1</v>
          </cell>
          <cell r="F113">
            <v>1</v>
          </cell>
          <cell r="G113">
            <v>1</v>
          </cell>
          <cell r="H113">
            <v>1</v>
          </cell>
          <cell r="I113">
            <v>1</v>
          </cell>
          <cell r="J113">
            <v>1</v>
          </cell>
          <cell r="K113"/>
          <cell r="L113"/>
          <cell r="M113">
            <v>1</v>
          </cell>
          <cell r="N113">
            <v>1</v>
          </cell>
          <cell r="O113"/>
          <cell r="P113">
            <v>1</v>
          </cell>
          <cell r="Q113">
            <v>1</v>
          </cell>
          <cell r="R113">
            <v>1</v>
          </cell>
          <cell r="S113">
            <v>1</v>
          </cell>
          <cell r="T113"/>
          <cell r="U113">
            <v>1</v>
          </cell>
          <cell r="V113">
            <v>1</v>
          </cell>
          <cell r="W113">
            <v>1</v>
          </cell>
          <cell r="X113"/>
          <cell r="Y113"/>
          <cell r="Z113"/>
          <cell r="AA113">
            <v>1</v>
          </cell>
          <cell r="AB113">
            <v>1</v>
          </cell>
          <cell r="AC113">
            <v>1</v>
          </cell>
          <cell r="AD113">
            <v>1</v>
          </cell>
          <cell r="AE113">
            <v>1</v>
          </cell>
          <cell r="AF113">
            <v>1</v>
          </cell>
          <cell r="AG113">
            <v>1</v>
          </cell>
          <cell r="AH113">
            <v>1</v>
          </cell>
          <cell r="AI113">
            <v>1</v>
          </cell>
          <cell r="AJ113">
            <v>1</v>
          </cell>
          <cell r="AK113">
            <v>1</v>
          </cell>
          <cell r="AL113"/>
          <cell r="AM113"/>
          <cell r="AN113"/>
          <cell r="AO113">
            <v>1</v>
          </cell>
          <cell r="AP113">
            <v>1</v>
          </cell>
          <cell r="AQ113">
            <v>1</v>
          </cell>
          <cell r="AR113"/>
          <cell r="AS113"/>
          <cell r="AT113">
            <v>1</v>
          </cell>
          <cell r="AU113">
            <v>1</v>
          </cell>
          <cell r="AV113"/>
          <cell r="AW113"/>
          <cell r="AX113">
            <v>1</v>
          </cell>
          <cell r="AY113"/>
          <cell r="AZ113"/>
          <cell r="BA113">
            <v>1</v>
          </cell>
          <cell r="BB113">
            <v>1</v>
          </cell>
          <cell r="BC113"/>
          <cell r="BD113"/>
          <cell r="BE113"/>
          <cell r="BF113"/>
          <cell r="BG113">
            <v>1</v>
          </cell>
          <cell r="BH113"/>
          <cell r="BI113"/>
          <cell r="BJ113"/>
          <cell r="BK113">
            <v>37</v>
          </cell>
        </row>
        <row r="114">
          <cell r="B114" t="str">
            <v>경기도 여주시</v>
          </cell>
          <cell r="C114">
            <v>1</v>
          </cell>
          <cell r="D114">
            <v>1</v>
          </cell>
          <cell r="E114">
            <v>1</v>
          </cell>
          <cell r="F114">
            <v>1</v>
          </cell>
          <cell r="G114">
            <v>1</v>
          </cell>
          <cell r="H114">
            <v>1</v>
          </cell>
          <cell r="I114">
            <v>1</v>
          </cell>
          <cell r="J114">
            <v>1</v>
          </cell>
          <cell r="K114"/>
          <cell r="L114">
            <v>1</v>
          </cell>
          <cell r="M114">
            <v>1</v>
          </cell>
          <cell r="N114">
            <v>1</v>
          </cell>
          <cell r="O114"/>
          <cell r="P114">
            <v>1</v>
          </cell>
          <cell r="Q114">
            <v>1</v>
          </cell>
          <cell r="R114">
            <v>1</v>
          </cell>
          <cell r="S114">
            <v>1</v>
          </cell>
          <cell r="T114"/>
          <cell r="U114">
            <v>1</v>
          </cell>
          <cell r="V114">
            <v>1</v>
          </cell>
          <cell r="W114"/>
          <cell r="X114">
            <v>1</v>
          </cell>
          <cell r="Y114"/>
          <cell r="Z114"/>
          <cell r="AA114">
            <v>1</v>
          </cell>
          <cell r="AB114">
            <v>1</v>
          </cell>
          <cell r="AC114">
            <v>1</v>
          </cell>
          <cell r="AD114">
            <v>1</v>
          </cell>
          <cell r="AE114">
            <v>1</v>
          </cell>
          <cell r="AF114"/>
          <cell r="AG114">
            <v>1</v>
          </cell>
          <cell r="AH114">
            <v>1</v>
          </cell>
          <cell r="AI114"/>
          <cell r="AJ114">
            <v>1</v>
          </cell>
          <cell r="AK114"/>
          <cell r="AL114"/>
          <cell r="AM114">
            <v>1</v>
          </cell>
          <cell r="AN114"/>
          <cell r="AO114"/>
          <cell r="AP114">
            <v>1</v>
          </cell>
          <cell r="AQ114">
            <v>1</v>
          </cell>
          <cell r="AR114">
            <v>1</v>
          </cell>
          <cell r="AS114"/>
          <cell r="AT114"/>
          <cell r="AU114">
            <v>1</v>
          </cell>
          <cell r="AV114"/>
          <cell r="AW114">
            <v>1</v>
          </cell>
          <cell r="AX114">
            <v>1</v>
          </cell>
          <cell r="AY114">
            <v>1</v>
          </cell>
          <cell r="AZ114"/>
          <cell r="BA114">
            <v>1</v>
          </cell>
          <cell r="BB114">
            <v>1</v>
          </cell>
          <cell r="BC114"/>
          <cell r="BD114">
            <v>1</v>
          </cell>
          <cell r="BE114">
            <v>1</v>
          </cell>
          <cell r="BF114"/>
          <cell r="BG114">
            <v>1</v>
          </cell>
          <cell r="BH114"/>
          <cell r="BI114"/>
          <cell r="BJ114"/>
          <cell r="BK114">
            <v>39</v>
          </cell>
        </row>
        <row r="115">
          <cell r="B115" t="str">
            <v>경기도 양평군</v>
          </cell>
          <cell r="C115">
            <v>1</v>
          </cell>
          <cell r="D115">
            <v>1</v>
          </cell>
          <cell r="E115">
            <v>1</v>
          </cell>
          <cell r="F115">
            <v>1</v>
          </cell>
          <cell r="G115">
            <v>1</v>
          </cell>
          <cell r="H115"/>
          <cell r="I115">
            <v>1</v>
          </cell>
          <cell r="J115">
            <v>1</v>
          </cell>
          <cell r="K115">
            <v>1</v>
          </cell>
          <cell r="L115">
            <v>1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/>
          <cell r="S115">
            <v>1</v>
          </cell>
          <cell r="T115">
            <v>1</v>
          </cell>
          <cell r="U115">
            <v>1</v>
          </cell>
          <cell r="V115">
            <v>1</v>
          </cell>
          <cell r="W115"/>
          <cell r="X115">
            <v>1</v>
          </cell>
          <cell r="Y115"/>
          <cell r="Z115"/>
          <cell r="AA115">
            <v>1</v>
          </cell>
          <cell r="AB115">
            <v>1</v>
          </cell>
          <cell r="AC115">
            <v>1</v>
          </cell>
          <cell r="AD115">
            <v>1</v>
          </cell>
          <cell r="AE115">
            <v>1</v>
          </cell>
          <cell r="AF115"/>
          <cell r="AG115">
            <v>1</v>
          </cell>
          <cell r="AH115">
            <v>1</v>
          </cell>
          <cell r="AI115"/>
          <cell r="AJ115">
            <v>1</v>
          </cell>
          <cell r="AK115">
            <v>1</v>
          </cell>
          <cell r="AL115"/>
          <cell r="AM115"/>
          <cell r="AN115"/>
          <cell r="AO115"/>
          <cell r="AP115"/>
          <cell r="AQ115">
            <v>1</v>
          </cell>
          <cell r="AR115"/>
          <cell r="AS115"/>
          <cell r="AT115"/>
          <cell r="AU115">
            <v>1</v>
          </cell>
          <cell r="AV115"/>
          <cell r="AW115">
            <v>1</v>
          </cell>
          <cell r="AX115">
            <v>1</v>
          </cell>
          <cell r="AY115"/>
          <cell r="AZ115"/>
          <cell r="BA115">
            <v>1</v>
          </cell>
          <cell r="BB115">
            <v>1</v>
          </cell>
          <cell r="BC115"/>
          <cell r="BD115"/>
          <cell r="BE115">
            <v>1</v>
          </cell>
          <cell r="BF115"/>
          <cell r="BG115">
            <v>1</v>
          </cell>
          <cell r="BH115"/>
          <cell r="BI115"/>
          <cell r="BJ115"/>
          <cell r="BK115">
            <v>36</v>
          </cell>
        </row>
        <row r="116">
          <cell r="B116" t="str">
            <v>경기도 동두천시</v>
          </cell>
          <cell r="C116">
            <v>1</v>
          </cell>
          <cell r="D116">
            <v>1</v>
          </cell>
          <cell r="E116">
            <v>1</v>
          </cell>
          <cell r="F116">
            <v>1</v>
          </cell>
          <cell r="G116">
            <v>1</v>
          </cell>
          <cell r="H116">
            <v>1</v>
          </cell>
          <cell r="I116">
            <v>1</v>
          </cell>
          <cell r="J116">
            <v>1</v>
          </cell>
          <cell r="K116">
            <v>1</v>
          </cell>
          <cell r="L116">
            <v>1</v>
          </cell>
          <cell r="M116">
            <v>1</v>
          </cell>
          <cell r="N116">
            <v>1</v>
          </cell>
          <cell r="O116"/>
          <cell r="P116">
            <v>1</v>
          </cell>
          <cell r="Q116"/>
          <cell r="R116">
            <v>1</v>
          </cell>
          <cell r="S116">
            <v>1</v>
          </cell>
          <cell r="T116"/>
          <cell r="U116">
            <v>1</v>
          </cell>
          <cell r="V116">
            <v>1</v>
          </cell>
          <cell r="W116"/>
          <cell r="X116"/>
          <cell r="Y116"/>
          <cell r="Z116">
            <v>1</v>
          </cell>
          <cell r="AA116">
            <v>1</v>
          </cell>
          <cell r="AB116">
            <v>1</v>
          </cell>
          <cell r="AC116">
            <v>1</v>
          </cell>
          <cell r="AD116">
            <v>1</v>
          </cell>
          <cell r="AE116">
            <v>1</v>
          </cell>
          <cell r="AF116">
            <v>1</v>
          </cell>
          <cell r="AG116"/>
          <cell r="AH116">
            <v>1</v>
          </cell>
          <cell r="AI116"/>
          <cell r="AJ116">
            <v>1</v>
          </cell>
          <cell r="AK116"/>
          <cell r="AL116"/>
          <cell r="AM116"/>
          <cell r="AN116"/>
          <cell r="AO116"/>
          <cell r="AP116">
            <v>1</v>
          </cell>
          <cell r="AQ116">
            <v>1</v>
          </cell>
          <cell r="AR116">
            <v>1</v>
          </cell>
          <cell r="AS116">
            <v>1</v>
          </cell>
          <cell r="AT116"/>
          <cell r="AU116">
            <v>1</v>
          </cell>
          <cell r="AV116"/>
          <cell r="AW116">
            <v>1</v>
          </cell>
          <cell r="AX116">
            <v>1</v>
          </cell>
          <cell r="AY116">
            <v>1</v>
          </cell>
          <cell r="AZ116"/>
          <cell r="BA116">
            <v>1</v>
          </cell>
          <cell r="BB116">
            <v>1</v>
          </cell>
          <cell r="BC116"/>
          <cell r="BD116"/>
          <cell r="BE116">
            <v>1</v>
          </cell>
          <cell r="BF116"/>
          <cell r="BG116"/>
          <cell r="BH116"/>
          <cell r="BI116"/>
          <cell r="BJ116"/>
          <cell r="BK116">
            <v>37</v>
          </cell>
        </row>
        <row r="117">
          <cell r="B117" t="str">
            <v>경기도 과천시</v>
          </cell>
          <cell r="C117">
            <v>1</v>
          </cell>
          <cell r="D117">
            <v>1</v>
          </cell>
          <cell r="E117">
            <v>1</v>
          </cell>
          <cell r="F117">
            <v>1</v>
          </cell>
          <cell r="G117">
            <v>1</v>
          </cell>
          <cell r="H117">
            <v>1</v>
          </cell>
          <cell r="I117">
            <v>1</v>
          </cell>
          <cell r="J117">
            <v>1</v>
          </cell>
          <cell r="K117"/>
          <cell r="L117"/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/>
          <cell r="R117"/>
          <cell r="S117">
            <v>1</v>
          </cell>
          <cell r="T117"/>
          <cell r="U117">
            <v>1</v>
          </cell>
          <cell r="V117">
            <v>1</v>
          </cell>
          <cell r="W117">
            <v>1</v>
          </cell>
          <cell r="X117">
            <v>1</v>
          </cell>
          <cell r="Y117"/>
          <cell r="Z117">
            <v>1</v>
          </cell>
          <cell r="AA117"/>
          <cell r="AB117">
            <v>1</v>
          </cell>
          <cell r="AC117">
            <v>1</v>
          </cell>
          <cell r="AD117"/>
          <cell r="AE117">
            <v>1</v>
          </cell>
          <cell r="AF117"/>
          <cell r="AG117"/>
          <cell r="AH117">
            <v>1</v>
          </cell>
          <cell r="AI117"/>
          <cell r="AJ117">
            <v>1</v>
          </cell>
          <cell r="AK117"/>
          <cell r="AL117"/>
          <cell r="AM117"/>
          <cell r="AN117"/>
          <cell r="AO117">
            <v>1</v>
          </cell>
          <cell r="AP117"/>
          <cell r="AQ117"/>
          <cell r="AR117">
            <v>1</v>
          </cell>
          <cell r="AS117"/>
          <cell r="AT117"/>
          <cell r="AU117">
            <v>1</v>
          </cell>
          <cell r="AV117"/>
          <cell r="AW117">
            <v>1</v>
          </cell>
          <cell r="AX117"/>
          <cell r="AY117">
            <v>1</v>
          </cell>
          <cell r="AZ117"/>
          <cell r="BA117"/>
          <cell r="BB117">
            <v>1</v>
          </cell>
          <cell r="BC117">
            <v>1</v>
          </cell>
          <cell r="BD117">
            <v>1</v>
          </cell>
          <cell r="BE117">
            <v>1</v>
          </cell>
          <cell r="BF117"/>
          <cell r="BG117">
            <v>1</v>
          </cell>
          <cell r="BH117"/>
          <cell r="BI117"/>
          <cell r="BJ117"/>
          <cell r="BK117">
            <v>33</v>
          </cell>
        </row>
        <row r="118">
          <cell r="B118" t="str">
            <v>경기도 가평군</v>
          </cell>
          <cell r="C118">
            <v>1</v>
          </cell>
          <cell r="D118">
            <v>1</v>
          </cell>
          <cell r="E118">
            <v>1</v>
          </cell>
          <cell r="F118">
            <v>1</v>
          </cell>
          <cell r="G118"/>
          <cell r="H118">
            <v>1</v>
          </cell>
          <cell r="I118">
            <v>1</v>
          </cell>
          <cell r="J118">
            <v>1</v>
          </cell>
          <cell r="K118">
            <v>1</v>
          </cell>
          <cell r="L118">
            <v>1</v>
          </cell>
          <cell r="M118">
            <v>1</v>
          </cell>
          <cell r="N118">
            <v>1</v>
          </cell>
          <cell r="O118"/>
          <cell r="P118">
            <v>1</v>
          </cell>
          <cell r="Q118">
            <v>1</v>
          </cell>
          <cell r="R118"/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/>
          <cell r="X118"/>
          <cell r="Y118"/>
          <cell r="Z118">
            <v>1</v>
          </cell>
          <cell r="AA118">
            <v>1</v>
          </cell>
          <cell r="AB118">
            <v>1</v>
          </cell>
          <cell r="AC118">
            <v>1</v>
          </cell>
          <cell r="AD118"/>
          <cell r="AE118">
            <v>1</v>
          </cell>
          <cell r="AF118"/>
          <cell r="AG118"/>
          <cell r="AH118">
            <v>1</v>
          </cell>
          <cell r="AI118">
            <v>1</v>
          </cell>
          <cell r="AJ118">
            <v>1</v>
          </cell>
          <cell r="AK118"/>
          <cell r="AL118"/>
          <cell r="AM118">
            <v>1</v>
          </cell>
          <cell r="AN118"/>
          <cell r="AO118"/>
          <cell r="AP118"/>
          <cell r="AQ118"/>
          <cell r="AR118"/>
          <cell r="AS118"/>
          <cell r="AT118"/>
          <cell r="AU118">
            <v>1</v>
          </cell>
          <cell r="AV118">
            <v>1</v>
          </cell>
          <cell r="AW118">
            <v>1</v>
          </cell>
          <cell r="AX118"/>
          <cell r="AY118"/>
          <cell r="AZ118">
            <v>1</v>
          </cell>
          <cell r="BA118">
            <v>1</v>
          </cell>
          <cell r="BB118">
            <v>1</v>
          </cell>
          <cell r="BC118"/>
          <cell r="BD118"/>
          <cell r="BE118"/>
          <cell r="BF118"/>
          <cell r="BG118">
            <v>1</v>
          </cell>
          <cell r="BH118"/>
          <cell r="BI118"/>
          <cell r="BJ118"/>
          <cell r="BK118">
            <v>33</v>
          </cell>
        </row>
        <row r="119">
          <cell r="B119" t="str">
            <v>경기도 연천군</v>
          </cell>
          <cell r="C119">
            <v>1</v>
          </cell>
          <cell r="D119">
            <v>1</v>
          </cell>
          <cell r="E119">
            <v>1</v>
          </cell>
          <cell r="F119">
            <v>1</v>
          </cell>
          <cell r="G119">
            <v>1</v>
          </cell>
          <cell r="H119"/>
          <cell r="I119">
            <v>1</v>
          </cell>
          <cell r="J119">
            <v>1</v>
          </cell>
          <cell r="K119">
            <v>1</v>
          </cell>
          <cell r="L119">
            <v>1</v>
          </cell>
          <cell r="M119">
            <v>1</v>
          </cell>
          <cell r="N119">
            <v>1</v>
          </cell>
          <cell r="O119"/>
          <cell r="P119">
            <v>1</v>
          </cell>
          <cell r="Q119">
            <v>1</v>
          </cell>
          <cell r="R119"/>
          <cell r="S119"/>
          <cell r="T119">
            <v>1</v>
          </cell>
          <cell r="U119">
            <v>1</v>
          </cell>
          <cell r="V119">
            <v>1</v>
          </cell>
          <cell r="W119"/>
          <cell r="X119"/>
          <cell r="Y119"/>
          <cell r="Z119">
            <v>1</v>
          </cell>
          <cell r="AA119">
            <v>1</v>
          </cell>
          <cell r="AB119">
            <v>1</v>
          </cell>
          <cell r="AC119">
            <v>1</v>
          </cell>
          <cell r="AD119">
            <v>1</v>
          </cell>
          <cell r="AE119">
            <v>1</v>
          </cell>
          <cell r="AF119"/>
          <cell r="AG119"/>
          <cell r="AH119">
            <v>1</v>
          </cell>
          <cell r="AI119"/>
          <cell r="AJ119">
            <v>1</v>
          </cell>
          <cell r="AK119"/>
          <cell r="AL119"/>
          <cell r="AM119"/>
          <cell r="AN119"/>
          <cell r="AO119"/>
          <cell r="AP119"/>
          <cell r="AQ119">
            <v>1</v>
          </cell>
          <cell r="AR119">
            <v>1</v>
          </cell>
          <cell r="AS119"/>
          <cell r="AT119"/>
          <cell r="AU119">
            <v>1</v>
          </cell>
          <cell r="AV119"/>
          <cell r="AW119">
            <v>1</v>
          </cell>
          <cell r="AX119">
            <v>1</v>
          </cell>
          <cell r="AY119">
            <v>1</v>
          </cell>
          <cell r="AZ119"/>
          <cell r="BA119">
            <v>1</v>
          </cell>
          <cell r="BB119">
            <v>1</v>
          </cell>
          <cell r="BC119"/>
          <cell r="BD119"/>
          <cell r="BE119">
            <v>1</v>
          </cell>
          <cell r="BF119">
            <v>1</v>
          </cell>
          <cell r="BG119"/>
          <cell r="BH119"/>
          <cell r="BI119"/>
          <cell r="BJ119"/>
          <cell r="BK119">
            <v>34</v>
          </cell>
        </row>
        <row r="120">
          <cell r="B120" t="str">
            <v>강원도</v>
          </cell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>
            <v>0</v>
          </cell>
        </row>
        <row r="121">
          <cell r="B121" t="str">
            <v>강원도 춘천시</v>
          </cell>
          <cell r="C121">
            <v>1</v>
          </cell>
          <cell r="D121">
            <v>1</v>
          </cell>
          <cell r="E121">
            <v>1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>
            <v>1</v>
          </cell>
          <cell r="L121">
            <v>1</v>
          </cell>
          <cell r="M121">
            <v>1</v>
          </cell>
          <cell r="N121">
            <v>1</v>
          </cell>
          <cell r="O121"/>
          <cell r="P121">
            <v>1</v>
          </cell>
          <cell r="Q121">
            <v>1</v>
          </cell>
          <cell r="R121"/>
          <cell r="S121">
            <v>1</v>
          </cell>
          <cell r="T121">
            <v>1</v>
          </cell>
          <cell r="U121">
            <v>1</v>
          </cell>
          <cell r="V121">
            <v>1</v>
          </cell>
          <cell r="W121"/>
          <cell r="X121">
            <v>1</v>
          </cell>
          <cell r="Y121"/>
          <cell r="Z121">
            <v>1</v>
          </cell>
          <cell r="AA121">
            <v>1</v>
          </cell>
          <cell r="AB121">
            <v>1</v>
          </cell>
          <cell r="AC121">
            <v>1</v>
          </cell>
          <cell r="AD121">
            <v>1</v>
          </cell>
          <cell r="AE121">
            <v>1</v>
          </cell>
          <cell r="AF121"/>
          <cell r="AG121">
            <v>1</v>
          </cell>
          <cell r="AH121">
            <v>1</v>
          </cell>
          <cell r="AI121">
            <v>1</v>
          </cell>
          <cell r="AJ121">
            <v>1</v>
          </cell>
          <cell r="AK121">
            <v>1</v>
          </cell>
          <cell r="AL121"/>
          <cell r="AM121">
            <v>1</v>
          </cell>
          <cell r="AN121"/>
          <cell r="AO121"/>
          <cell r="AP121"/>
          <cell r="AQ121"/>
          <cell r="AR121"/>
          <cell r="AS121"/>
          <cell r="AT121"/>
          <cell r="AU121">
            <v>1</v>
          </cell>
          <cell r="AV121">
            <v>1</v>
          </cell>
          <cell r="AW121">
            <v>1</v>
          </cell>
          <cell r="AX121">
            <v>1</v>
          </cell>
          <cell r="AY121">
            <v>1</v>
          </cell>
          <cell r="AZ121"/>
          <cell r="BA121">
            <v>1</v>
          </cell>
          <cell r="BB121">
            <v>1</v>
          </cell>
          <cell r="BC121"/>
          <cell r="BD121"/>
          <cell r="BE121"/>
          <cell r="BF121"/>
          <cell r="BG121">
            <v>1</v>
          </cell>
          <cell r="BH121"/>
          <cell r="BI121"/>
          <cell r="BJ121"/>
          <cell r="BK121">
            <v>39</v>
          </cell>
        </row>
        <row r="122">
          <cell r="B122" t="str">
            <v>강원도 원주시</v>
          </cell>
          <cell r="C122">
            <v>1</v>
          </cell>
          <cell r="D122">
            <v>1</v>
          </cell>
          <cell r="E122">
            <v>1</v>
          </cell>
          <cell r="F122">
            <v>1</v>
          </cell>
          <cell r="G122">
            <v>1</v>
          </cell>
          <cell r="H122">
            <v>1</v>
          </cell>
          <cell r="I122">
            <v>1</v>
          </cell>
          <cell r="J122">
            <v>1</v>
          </cell>
          <cell r="K122">
            <v>1</v>
          </cell>
          <cell r="L122">
            <v>1</v>
          </cell>
          <cell r="M122">
            <v>1</v>
          </cell>
          <cell r="N122">
            <v>1</v>
          </cell>
          <cell r="O122"/>
          <cell r="P122">
            <v>1</v>
          </cell>
          <cell r="Q122">
            <v>1</v>
          </cell>
          <cell r="R122">
            <v>1</v>
          </cell>
          <cell r="S122">
            <v>1</v>
          </cell>
          <cell r="T122">
            <v>1</v>
          </cell>
          <cell r="U122">
            <v>1</v>
          </cell>
          <cell r="V122"/>
          <cell r="W122"/>
          <cell r="X122">
            <v>1</v>
          </cell>
          <cell r="Y122"/>
          <cell r="Z122">
            <v>1</v>
          </cell>
          <cell r="AA122">
            <v>1</v>
          </cell>
          <cell r="AB122">
            <v>1</v>
          </cell>
          <cell r="AC122">
            <v>1</v>
          </cell>
          <cell r="AD122">
            <v>1</v>
          </cell>
          <cell r="AE122">
            <v>1</v>
          </cell>
          <cell r="AF122"/>
          <cell r="AG122">
            <v>1</v>
          </cell>
          <cell r="AH122">
            <v>1</v>
          </cell>
          <cell r="AI122">
            <v>1</v>
          </cell>
          <cell r="AJ122">
            <v>1</v>
          </cell>
          <cell r="AK122">
            <v>1</v>
          </cell>
          <cell r="AL122">
            <v>1</v>
          </cell>
          <cell r="AM122">
            <v>1</v>
          </cell>
          <cell r="AN122"/>
          <cell r="AO122"/>
          <cell r="AP122"/>
          <cell r="AQ122"/>
          <cell r="AR122"/>
          <cell r="AS122"/>
          <cell r="AT122"/>
          <cell r="AU122">
            <v>1</v>
          </cell>
          <cell r="AV122"/>
          <cell r="AW122">
            <v>1</v>
          </cell>
          <cell r="AX122">
            <v>1</v>
          </cell>
          <cell r="AY122">
            <v>1</v>
          </cell>
          <cell r="AZ122"/>
          <cell r="BA122">
            <v>1</v>
          </cell>
          <cell r="BB122">
            <v>1</v>
          </cell>
          <cell r="BC122"/>
          <cell r="BD122"/>
          <cell r="BE122"/>
          <cell r="BF122"/>
          <cell r="BG122"/>
          <cell r="BH122"/>
          <cell r="BI122"/>
          <cell r="BJ122"/>
          <cell r="BK122">
            <v>38</v>
          </cell>
        </row>
        <row r="123">
          <cell r="B123" t="str">
            <v>강원도 강릉시</v>
          </cell>
          <cell r="C123">
            <v>1</v>
          </cell>
          <cell r="D123">
            <v>1</v>
          </cell>
          <cell r="E123">
            <v>1</v>
          </cell>
          <cell r="F123">
            <v>1</v>
          </cell>
          <cell r="G123">
            <v>1</v>
          </cell>
          <cell r="H123">
            <v>1</v>
          </cell>
          <cell r="I123">
            <v>1</v>
          </cell>
          <cell r="J123">
            <v>1</v>
          </cell>
          <cell r="K123">
            <v>1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1</v>
          </cell>
          <cell r="S123">
            <v>1</v>
          </cell>
          <cell r="T123">
            <v>1</v>
          </cell>
          <cell r="U123">
            <v>1</v>
          </cell>
          <cell r="V123">
            <v>1</v>
          </cell>
          <cell r="W123"/>
          <cell r="X123"/>
          <cell r="Y123"/>
          <cell r="Z123">
            <v>1</v>
          </cell>
          <cell r="AA123">
            <v>1</v>
          </cell>
          <cell r="AB123">
            <v>1</v>
          </cell>
          <cell r="AC123">
            <v>1</v>
          </cell>
          <cell r="AD123">
            <v>1</v>
          </cell>
          <cell r="AE123"/>
          <cell r="AF123"/>
          <cell r="AG123">
            <v>1</v>
          </cell>
          <cell r="AH123">
            <v>1</v>
          </cell>
          <cell r="AI123">
            <v>1</v>
          </cell>
          <cell r="AJ123">
            <v>1</v>
          </cell>
          <cell r="AK123"/>
          <cell r="AL123"/>
          <cell r="AM123"/>
          <cell r="AN123"/>
          <cell r="AO123"/>
          <cell r="AP123">
            <v>1</v>
          </cell>
          <cell r="AQ123"/>
          <cell r="AR123">
            <v>1</v>
          </cell>
          <cell r="AS123"/>
          <cell r="AT123"/>
          <cell r="AU123">
            <v>1</v>
          </cell>
          <cell r="AV123">
            <v>1</v>
          </cell>
          <cell r="AW123">
            <v>1</v>
          </cell>
          <cell r="AX123"/>
          <cell r="AY123">
            <v>1</v>
          </cell>
          <cell r="AZ123"/>
          <cell r="BA123">
            <v>1</v>
          </cell>
          <cell r="BB123">
            <v>1</v>
          </cell>
          <cell r="BC123"/>
          <cell r="BD123"/>
          <cell r="BE123"/>
          <cell r="BF123"/>
          <cell r="BG123">
            <v>1</v>
          </cell>
          <cell r="BH123"/>
          <cell r="BI123"/>
          <cell r="BJ123"/>
          <cell r="BK123">
            <v>38</v>
          </cell>
        </row>
        <row r="124">
          <cell r="B124" t="str">
            <v>강원도 동해시</v>
          </cell>
          <cell r="C124">
            <v>1</v>
          </cell>
          <cell r="D124">
            <v>1</v>
          </cell>
          <cell r="E124">
            <v>1</v>
          </cell>
          <cell r="F124">
            <v>1</v>
          </cell>
          <cell r="G124">
            <v>1</v>
          </cell>
          <cell r="H124">
            <v>1</v>
          </cell>
          <cell r="I124">
            <v>1</v>
          </cell>
          <cell r="J124">
            <v>1</v>
          </cell>
          <cell r="K124"/>
          <cell r="L124">
            <v>1</v>
          </cell>
          <cell r="M124">
            <v>1</v>
          </cell>
          <cell r="N124">
            <v>1</v>
          </cell>
          <cell r="O124"/>
          <cell r="P124">
            <v>1</v>
          </cell>
          <cell r="Q124">
            <v>1</v>
          </cell>
          <cell r="R124">
            <v>1</v>
          </cell>
          <cell r="S124"/>
          <cell r="T124">
            <v>1</v>
          </cell>
          <cell r="U124">
            <v>1</v>
          </cell>
          <cell r="V124">
            <v>1</v>
          </cell>
          <cell r="W124"/>
          <cell r="X124"/>
          <cell r="Y124"/>
          <cell r="Z124">
            <v>1</v>
          </cell>
          <cell r="AA124">
            <v>1</v>
          </cell>
          <cell r="AB124">
            <v>1</v>
          </cell>
          <cell r="AC124">
            <v>1</v>
          </cell>
          <cell r="AD124">
            <v>1</v>
          </cell>
          <cell r="AE124">
            <v>1</v>
          </cell>
          <cell r="AF124"/>
          <cell r="AG124">
            <v>1</v>
          </cell>
          <cell r="AH124">
            <v>1</v>
          </cell>
          <cell r="AI124">
            <v>1</v>
          </cell>
          <cell r="AJ124">
            <v>1</v>
          </cell>
          <cell r="AK124"/>
          <cell r="AL124"/>
          <cell r="AM124"/>
          <cell r="AN124"/>
          <cell r="AO124"/>
          <cell r="AP124">
            <v>1</v>
          </cell>
          <cell r="AQ124"/>
          <cell r="AR124">
            <v>1</v>
          </cell>
          <cell r="AS124">
            <v>1</v>
          </cell>
          <cell r="AT124"/>
          <cell r="AU124">
            <v>1</v>
          </cell>
          <cell r="AV124"/>
          <cell r="AW124">
            <v>1</v>
          </cell>
          <cell r="AX124">
            <v>1</v>
          </cell>
          <cell r="AY124">
            <v>1</v>
          </cell>
          <cell r="AZ124"/>
          <cell r="BA124">
            <v>1</v>
          </cell>
          <cell r="BB124">
            <v>1</v>
          </cell>
          <cell r="BC124"/>
          <cell r="BD124"/>
          <cell r="BE124">
            <v>1</v>
          </cell>
          <cell r="BF124"/>
          <cell r="BG124">
            <v>1</v>
          </cell>
          <cell r="BH124"/>
          <cell r="BI124"/>
          <cell r="BJ124"/>
          <cell r="BK124">
            <v>38</v>
          </cell>
        </row>
        <row r="125">
          <cell r="B125" t="str">
            <v>강원도 태백시</v>
          </cell>
          <cell r="C125">
            <v>1</v>
          </cell>
          <cell r="D125">
            <v>1</v>
          </cell>
          <cell r="E125">
            <v>1</v>
          </cell>
          <cell r="F125">
            <v>1</v>
          </cell>
          <cell r="G125">
            <v>1</v>
          </cell>
          <cell r="H125">
            <v>1</v>
          </cell>
          <cell r="I125">
            <v>1</v>
          </cell>
          <cell r="J125">
            <v>1</v>
          </cell>
          <cell r="K125">
            <v>1</v>
          </cell>
          <cell r="L125">
            <v>1</v>
          </cell>
          <cell r="M125"/>
          <cell r="N125">
            <v>1</v>
          </cell>
          <cell r="O125"/>
          <cell r="P125">
            <v>1</v>
          </cell>
          <cell r="Q125">
            <v>1</v>
          </cell>
          <cell r="R125"/>
          <cell r="S125">
            <v>1</v>
          </cell>
          <cell r="T125">
            <v>1</v>
          </cell>
          <cell r="U125">
            <v>1</v>
          </cell>
          <cell r="V125">
            <v>1</v>
          </cell>
          <cell r="W125"/>
          <cell r="X125">
            <v>1</v>
          </cell>
          <cell r="Y125"/>
          <cell r="Z125">
            <v>1</v>
          </cell>
          <cell r="AA125">
            <v>1</v>
          </cell>
          <cell r="AB125">
            <v>1</v>
          </cell>
          <cell r="AC125">
            <v>1</v>
          </cell>
          <cell r="AD125"/>
          <cell r="AE125"/>
          <cell r="AF125"/>
          <cell r="AG125">
            <v>1</v>
          </cell>
          <cell r="AH125">
            <v>1</v>
          </cell>
          <cell r="AI125">
            <v>1</v>
          </cell>
          <cell r="AJ125">
            <v>1</v>
          </cell>
          <cell r="AK125"/>
          <cell r="AL125"/>
          <cell r="AM125">
            <v>1</v>
          </cell>
          <cell r="AN125"/>
          <cell r="AO125"/>
          <cell r="AP125">
            <v>1</v>
          </cell>
          <cell r="AQ125">
            <v>1</v>
          </cell>
          <cell r="AR125">
            <v>1</v>
          </cell>
          <cell r="AS125">
            <v>1</v>
          </cell>
          <cell r="AT125"/>
          <cell r="AU125">
            <v>1</v>
          </cell>
          <cell r="AV125"/>
          <cell r="AW125">
            <v>1</v>
          </cell>
          <cell r="AX125"/>
          <cell r="AY125"/>
          <cell r="AZ125"/>
          <cell r="BA125"/>
          <cell r="BB125">
            <v>1</v>
          </cell>
          <cell r="BC125"/>
          <cell r="BD125"/>
          <cell r="BE125"/>
          <cell r="BF125"/>
          <cell r="BG125">
            <v>1</v>
          </cell>
          <cell r="BH125"/>
          <cell r="BI125"/>
          <cell r="BJ125"/>
          <cell r="BK125">
            <v>35</v>
          </cell>
        </row>
        <row r="126">
          <cell r="B126" t="str">
            <v>강원도 속초시</v>
          </cell>
          <cell r="C126">
            <v>1</v>
          </cell>
          <cell r="D126">
            <v>1</v>
          </cell>
          <cell r="E126">
            <v>1</v>
          </cell>
          <cell r="F126"/>
          <cell r="G126"/>
          <cell r="H126">
            <v>1</v>
          </cell>
          <cell r="I126">
            <v>1</v>
          </cell>
          <cell r="J126"/>
          <cell r="K126"/>
          <cell r="L126">
            <v>1</v>
          </cell>
          <cell r="M126"/>
          <cell r="N126">
            <v>1</v>
          </cell>
          <cell r="O126"/>
          <cell r="P126">
            <v>1</v>
          </cell>
          <cell r="Q126"/>
          <cell r="R126"/>
          <cell r="S126">
            <v>1</v>
          </cell>
          <cell r="T126"/>
          <cell r="U126"/>
          <cell r="V126">
            <v>1</v>
          </cell>
          <cell r="W126"/>
          <cell r="X126"/>
          <cell r="Y126"/>
          <cell r="Z126"/>
          <cell r="AA126"/>
          <cell r="AB126">
            <v>1</v>
          </cell>
          <cell r="AC126">
            <v>1</v>
          </cell>
          <cell r="AD126"/>
          <cell r="AE126"/>
          <cell r="AF126"/>
          <cell r="AG126"/>
          <cell r="AH126"/>
          <cell r="AI126"/>
          <cell r="AJ126">
            <v>1</v>
          </cell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>
            <v>1</v>
          </cell>
          <cell r="AZ126">
            <v>1</v>
          </cell>
          <cell r="BA126">
            <v>1</v>
          </cell>
          <cell r="BB126">
            <v>1</v>
          </cell>
          <cell r="BC126">
            <v>1</v>
          </cell>
          <cell r="BD126"/>
          <cell r="BE126"/>
          <cell r="BF126"/>
          <cell r="BG126"/>
          <cell r="BH126"/>
          <cell r="BI126"/>
          <cell r="BJ126"/>
          <cell r="BK126">
            <v>18</v>
          </cell>
        </row>
        <row r="127">
          <cell r="B127" t="str">
            <v>강원도 삼척시</v>
          </cell>
          <cell r="C127">
            <v>1</v>
          </cell>
          <cell r="D127">
            <v>1</v>
          </cell>
          <cell r="E127">
            <v>1</v>
          </cell>
          <cell r="F127">
            <v>1</v>
          </cell>
          <cell r="G127">
            <v>1</v>
          </cell>
          <cell r="H127">
            <v>1</v>
          </cell>
          <cell r="I127">
            <v>1</v>
          </cell>
          <cell r="J127">
            <v>1</v>
          </cell>
          <cell r="K127">
            <v>1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/>
          <cell r="S127">
            <v>1</v>
          </cell>
          <cell r="T127">
            <v>1</v>
          </cell>
          <cell r="U127">
            <v>1</v>
          </cell>
          <cell r="V127">
            <v>1</v>
          </cell>
          <cell r="W127"/>
          <cell r="X127"/>
          <cell r="Y127">
            <v>1</v>
          </cell>
          <cell r="Z127"/>
          <cell r="AA127">
            <v>1</v>
          </cell>
          <cell r="AB127">
            <v>1</v>
          </cell>
          <cell r="AC127">
            <v>1</v>
          </cell>
          <cell r="AD127">
            <v>1</v>
          </cell>
          <cell r="AE127"/>
          <cell r="AF127"/>
          <cell r="AG127">
            <v>1</v>
          </cell>
          <cell r="AH127">
            <v>1</v>
          </cell>
          <cell r="AI127"/>
          <cell r="AJ127">
            <v>1</v>
          </cell>
          <cell r="AK127"/>
          <cell r="AL127"/>
          <cell r="AM127">
            <v>1</v>
          </cell>
          <cell r="AN127"/>
          <cell r="AO127"/>
          <cell r="AP127">
            <v>1</v>
          </cell>
          <cell r="AQ127">
            <v>1</v>
          </cell>
          <cell r="AR127"/>
          <cell r="AS127"/>
          <cell r="AT127"/>
          <cell r="AU127"/>
          <cell r="AV127"/>
          <cell r="AW127"/>
          <cell r="AX127"/>
          <cell r="AY127">
            <v>1</v>
          </cell>
          <cell r="AZ127"/>
          <cell r="BA127"/>
          <cell r="BB127">
            <v>1</v>
          </cell>
          <cell r="BC127"/>
          <cell r="BD127"/>
          <cell r="BE127"/>
          <cell r="BF127"/>
          <cell r="BG127">
            <v>1</v>
          </cell>
          <cell r="BH127"/>
          <cell r="BI127"/>
          <cell r="BJ127"/>
          <cell r="BK127">
            <v>33</v>
          </cell>
        </row>
        <row r="128">
          <cell r="B128" t="str">
            <v>강원도 홍천군</v>
          </cell>
          <cell r="C128">
            <v>1</v>
          </cell>
          <cell r="D128">
            <v>1</v>
          </cell>
          <cell r="E128">
            <v>1</v>
          </cell>
          <cell r="F128">
            <v>1</v>
          </cell>
          <cell r="G128">
            <v>1</v>
          </cell>
          <cell r="H128">
            <v>1</v>
          </cell>
          <cell r="I128">
            <v>1</v>
          </cell>
          <cell r="J128">
            <v>1</v>
          </cell>
          <cell r="K128">
            <v>1</v>
          </cell>
          <cell r="L128">
            <v>1</v>
          </cell>
          <cell r="M128">
            <v>1</v>
          </cell>
          <cell r="N128">
            <v>1</v>
          </cell>
          <cell r="O128"/>
          <cell r="P128">
            <v>1</v>
          </cell>
          <cell r="Q128"/>
          <cell r="R128"/>
          <cell r="S128">
            <v>1</v>
          </cell>
          <cell r="T128">
            <v>1</v>
          </cell>
          <cell r="U128">
            <v>1</v>
          </cell>
          <cell r="V128">
            <v>1</v>
          </cell>
          <cell r="W128"/>
          <cell r="X128"/>
          <cell r="Y128">
            <v>1</v>
          </cell>
          <cell r="Z128"/>
          <cell r="AA128">
            <v>1</v>
          </cell>
          <cell r="AB128">
            <v>1</v>
          </cell>
          <cell r="AC128">
            <v>1</v>
          </cell>
          <cell r="AD128">
            <v>1</v>
          </cell>
          <cell r="AE128"/>
          <cell r="AF128"/>
          <cell r="AG128"/>
          <cell r="AH128"/>
          <cell r="AI128">
            <v>1</v>
          </cell>
          <cell r="AJ128">
            <v>1</v>
          </cell>
          <cell r="AK128"/>
          <cell r="AL128"/>
          <cell r="AM128"/>
          <cell r="AN128"/>
          <cell r="AO128"/>
          <cell r="AP128"/>
          <cell r="AQ128">
            <v>1</v>
          </cell>
          <cell r="AR128"/>
          <cell r="AS128"/>
          <cell r="AT128"/>
          <cell r="AU128">
            <v>1</v>
          </cell>
          <cell r="AV128"/>
          <cell r="AW128"/>
          <cell r="AX128"/>
          <cell r="AY128"/>
          <cell r="AZ128"/>
          <cell r="BA128"/>
          <cell r="BB128">
            <v>1</v>
          </cell>
          <cell r="BC128"/>
          <cell r="BD128"/>
          <cell r="BE128"/>
          <cell r="BF128"/>
          <cell r="BG128"/>
          <cell r="BH128"/>
          <cell r="BI128"/>
          <cell r="BJ128"/>
          <cell r="BK128">
            <v>27</v>
          </cell>
        </row>
        <row r="129">
          <cell r="B129" t="str">
            <v>강원도 횡성군</v>
          </cell>
          <cell r="C129">
            <v>1</v>
          </cell>
          <cell r="D129">
            <v>1</v>
          </cell>
          <cell r="E129">
            <v>1</v>
          </cell>
          <cell r="F129">
            <v>1</v>
          </cell>
          <cell r="G129"/>
          <cell r="H129"/>
          <cell r="I129">
            <v>1</v>
          </cell>
          <cell r="J129">
            <v>1</v>
          </cell>
          <cell r="K129">
            <v>1</v>
          </cell>
          <cell r="L129">
            <v>1</v>
          </cell>
          <cell r="M129">
            <v>1</v>
          </cell>
          <cell r="N129">
            <v>1</v>
          </cell>
          <cell r="O129"/>
          <cell r="P129">
            <v>1</v>
          </cell>
          <cell r="Q129">
            <v>1</v>
          </cell>
          <cell r="R129"/>
          <cell r="S129">
            <v>1</v>
          </cell>
          <cell r="T129">
            <v>1</v>
          </cell>
          <cell r="U129">
            <v>1</v>
          </cell>
          <cell r="V129">
            <v>1</v>
          </cell>
          <cell r="W129"/>
          <cell r="X129"/>
          <cell r="Y129"/>
          <cell r="Z129">
            <v>1</v>
          </cell>
          <cell r="AA129">
            <v>1</v>
          </cell>
          <cell r="AB129">
            <v>1</v>
          </cell>
          <cell r="AC129">
            <v>1</v>
          </cell>
          <cell r="AD129">
            <v>1</v>
          </cell>
          <cell r="AE129"/>
          <cell r="AF129"/>
          <cell r="AG129"/>
          <cell r="AH129"/>
          <cell r="AI129">
            <v>1</v>
          </cell>
          <cell r="AJ129">
            <v>1</v>
          </cell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>
            <v>1</v>
          </cell>
          <cell r="AV129"/>
          <cell r="AW129"/>
          <cell r="AX129">
            <v>1</v>
          </cell>
          <cell r="AY129"/>
          <cell r="AZ129"/>
          <cell r="BA129"/>
          <cell r="BB129"/>
          <cell r="BC129"/>
          <cell r="BD129"/>
          <cell r="BE129"/>
          <cell r="BF129"/>
          <cell r="BG129">
            <v>1</v>
          </cell>
          <cell r="BH129"/>
          <cell r="BI129"/>
          <cell r="BJ129"/>
          <cell r="BK129">
            <v>26</v>
          </cell>
        </row>
        <row r="130">
          <cell r="B130" t="str">
            <v>강원도 영월군</v>
          </cell>
          <cell r="C130">
            <v>1</v>
          </cell>
          <cell r="D130">
            <v>1</v>
          </cell>
          <cell r="E130">
            <v>1</v>
          </cell>
          <cell r="F130">
            <v>1</v>
          </cell>
          <cell r="G130">
            <v>1</v>
          </cell>
          <cell r="H130"/>
          <cell r="I130">
            <v>1</v>
          </cell>
          <cell r="J130">
            <v>1</v>
          </cell>
          <cell r="K130">
            <v>1</v>
          </cell>
          <cell r="L130">
            <v>1</v>
          </cell>
          <cell r="M130">
            <v>1</v>
          </cell>
          <cell r="N130">
            <v>1</v>
          </cell>
          <cell r="O130"/>
          <cell r="P130">
            <v>1</v>
          </cell>
          <cell r="Q130"/>
          <cell r="R130"/>
          <cell r="S130">
            <v>1</v>
          </cell>
          <cell r="T130">
            <v>1</v>
          </cell>
          <cell r="U130">
            <v>1</v>
          </cell>
          <cell r="V130">
            <v>1</v>
          </cell>
          <cell r="W130"/>
          <cell r="X130"/>
          <cell r="Y130"/>
          <cell r="Z130"/>
          <cell r="AA130"/>
          <cell r="AB130">
            <v>1</v>
          </cell>
          <cell r="AC130">
            <v>1</v>
          </cell>
          <cell r="AD130"/>
          <cell r="AE130">
            <v>1</v>
          </cell>
          <cell r="AF130"/>
          <cell r="AG130"/>
          <cell r="AH130">
            <v>1</v>
          </cell>
          <cell r="AI130">
            <v>1</v>
          </cell>
          <cell r="AJ130">
            <v>1</v>
          </cell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>
            <v>1</v>
          </cell>
          <cell r="AX130"/>
          <cell r="AY130">
            <v>1</v>
          </cell>
          <cell r="AZ130"/>
          <cell r="BA130"/>
          <cell r="BB130">
            <v>1</v>
          </cell>
          <cell r="BC130"/>
          <cell r="BD130"/>
          <cell r="BE130"/>
          <cell r="BF130"/>
          <cell r="BG130"/>
          <cell r="BH130"/>
          <cell r="BI130"/>
          <cell r="BJ130"/>
          <cell r="BK130">
            <v>25</v>
          </cell>
        </row>
        <row r="131">
          <cell r="B131" t="str">
            <v>강원도 평창군</v>
          </cell>
          <cell r="C131">
            <v>1</v>
          </cell>
          <cell r="D131">
            <v>1</v>
          </cell>
          <cell r="E131">
            <v>1</v>
          </cell>
          <cell r="F131">
            <v>1</v>
          </cell>
          <cell r="G131"/>
          <cell r="H131">
            <v>1</v>
          </cell>
          <cell r="I131">
            <v>1</v>
          </cell>
          <cell r="J131">
            <v>1</v>
          </cell>
          <cell r="K131">
            <v>1</v>
          </cell>
          <cell r="L131">
            <v>1</v>
          </cell>
          <cell r="M131">
            <v>1</v>
          </cell>
          <cell r="N131">
            <v>1</v>
          </cell>
          <cell r="O131"/>
          <cell r="P131">
            <v>1</v>
          </cell>
          <cell r="Q131">
            <v>1</v>
          </cell>
          <cell r="R131"/>
          <cell r="S131">
            <v>1</v>
          </cell>
          <cell r="T131">
            <v>1</v>
          </cell>
          <cell r="U131">
            <v>1</v>
          </cell>
          <cell r="V131">
            <v>1</v>
          </cell>
          <cell r="W131"/>
          <cell r="X131"/>
          <cell r="Y131"/>
          <cell r="Z131"/>
          <cell r="AA131">
            <v>1</v>
          </cell>
          <cell r="AB131">
            <v>1</v>
          </cell>
          <cell r="AC131">
            <v>1</v>
          </cell>
          <cell r="AD131">
            <v>1</v>
          </cell>
          <cell r="AE131">
            <v>1</v>
          </cell>
          <cell r="AF131"/>
          <cell r="AG131"/>
          <cell r="AH131">
            <v>1</v>
          </cell>
          <cell r="AI131"/>
          <cell r="AJ131">
            <v>1</v>
          </cell>
          <cell r="AK131"/>
          <cell r="AL131"/>
          <cell r="AM131">
            <v>1</v>
          </cell>
          <cell r="AN131">
            <v>1</v>
          </cell>
          <cell r="AO131"/>
          <cell r="AP131"/>
          <cell r="AQ131"/>
          <cell r="AR131"/>
          <cell r="AS131">
            <v>1</v>
          </cell>
          <cell r="AT131"/>
          <cell r="AU131">
            <v>1</v>
          </cell>
          <cell r="AV131"/>
          <cell r="AW131">
            <v>1</v>
          </cell>
          <cell r="AX131">
            <v>1</v>
          </cell>
          <cell r="AY131"/>
          <cell r="AZ131"/>
          <cell r="BA131"/>
          <cell r="BB131">
            <v>1</v>
          </cell>
          <cell r="BC131"/>
          <cell r="BD131"/>
          <cell r="BE131"/>
          <cell r="BF131"/>
          <cell r="BG131">
            <v>1</v>
          </cell>
          <cell r="BH131"/>
          <cell r="BI131"/>
          <cell r="BJ131"/>
          <cell r="BK131">
            <v>32</v>
          </cell>
        </row>
        <row r="132">
          <cell r="B132" t="str">
            <v>강원도 정선군</v>
          </cell>
          <cell r="C132">
            <v>1</v>
          </cell>
          <cell r="D132">
            <v>1</v>
          </cell>
          <cell r="E132">
            <v>1</v>
          </cell>
          <cell r="F132">
            <v>1</v>
          </cell>
          <cell r="G132">
            <v>1</v>
          </cell>
          <cell r="H132">
            <v>1</v>
          </cell>
          <cell r="I132">
            <v>1</v>
          </cell>
          <cell r="J132">
            <v>1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/>
          <cell r="P132"/>
          <cell r="Q132">
            <v>1</v>
          </cell>
          <cell r="R132"/>
          <cell r="S132">
            <v>1</v>
          </cell>
          <cell r="T132">
            <v>1</v>
          </cell>
          <cell r="U132">
            <v>1</v>
          </cell>
          <cell r="V132"/>
          <cell r="W132"/>
          <cell r="X132"/>
          <cell r="Y132"/>
          <cell r="Z132">
            <v>1</v>
          </cell>
          <cell r="AA132"/>
          <cell r="AB132">
            <v>1</v>
          </cell>
          <cell r="AC132">
            <v>1</v>
          </cell>
          <cell r="AD132"/>
          <cell r="AE132"/>
          <cell r="AF132"/>
          <cell r="AG132"/>
          <cell r="AH132">
            <v>1</v>
          </cell>
          <cell r="AI132"/>
          <cell r="AJ132">
            <v>1</v>
          </cell>
          <cell r="AK132"/>
          <cell r="AL132"/>
          <cell r="AM132">
            <v>1</v>
          </cell>
          <cell r="AN132"/>
          <cell r="AO132"/>
          <cell r="AP132">
            <v>1</v>
          </cell>
          <cell r="AQ132"/>
          <cell r="AR132"/>
          <cell r="AS132">
            <v>1</v>
          </cell>
          <cell r="AT132"/>
          <cell r="AU132">
            <v>1</v>
          </cell>
          <cell r="AV132"/>
          <cell r="AW132">
            <v>1</v>
          </cell>
          <cell r="AX132">
            <v>1</v>
          </cell>
          <cell r="AY132">
            <v>1</v>
          </cell>
          <cell r="AZ132"/>
          <cell r="BA132"/>
          <cell r="BB132">
            <v>1</v>
          </cell>
          <cell r="BC132"/>
          <cell r="BD132"/>
          <cell r="BE132"/>
          <cell r="BF132"/>
          <cell r="BG132"/>
          <cell r="BH132"/>
          <cell r="BI132"/>
          <cell r="BJ132"/>
          <cell r="BK132">
            <v>29</v>
          </cell>
        </row>
        <row r="133">
          <cell r="B133" t="str">
            <v>강원도 철원군</v>
          </cell>
          <cell r="C133">
            <v>1</v>
          </cell>
          <cell r="D133">
            <v>1</v>
          </cell>
          <cell r="E133">
            <v>1</v>
          </cell>
          <cell r="F133">
            <v>1</v>
          </cell>
          <cell r="G133">
            <v>1</v>
          </cell>
          <cell r="H133">
            <v>1</v>
          </cell>
          <cell r="I133">
            <v>1</v>
          </cell>
          <cell r="J133">
            <v>1</v>
          </cell>
          <cell r="K133">
            <v>1</v>
          </cell>
          <cell r="L133"/>
          <cell r="M133"/>
          <cell r="N133">
            <v>1</v>
          </cell>
          <cell r="O133">
            <v>1</v>
          </cell>
          <cell r="P133">
            <v>1</v>
          </cell>
          <cell r="Q133"/>
          <cell r="R133"/>
          <cell r="S133"/>
          <cell r="T133">
            <v>1</v>
          </cell>
          <cell r="U133">
            <v>1</v>
          </cell>
          <cell r="V133">
            <v>1</v>
          </cell>
          <cell r="W133"/>
          <cell r="X133"/>
          <cell r="Y133"/>
          <cell r="Z133">
            <v>1</v>
          </cell>
          <cell r="AA133">
            <v>1</v>
          </cell>
          <cell r="AB133">
            <v>1</v>
          </cell>
          <cell r="AC133">
            <v>1</v>
          </cell>
          <cell r="AD133">
            <v>1</v>
          </cell>
          <cell r="AE133">
            <v>1</v>
          </cell>
          <cell r="AF133"/>
          <cell r="AG133"/>
          <cell r="AH133"/>
          <cell r="AI133"/>
          <cell r="AJ133">
            <v>1</v>
          </cell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>
            <v>1</v>
          </cell>
          <cell r="BH133"/>
          <cell r="BI133"/>
          <cell r="BJ133"/>
          <cell r="BK133">
            <v>23</v>
          </cell>
        </row>
        <row r="134">
          <cell r="B134" t="str">
            <v>강원도 화천군</v>
          </cell>
          <cell r="C134">
            <v>1</v>
          </cell>
          <cell r="D134">
            <v>1</v>
          </cell>
          <cell r="E134">
            <v>1</v>
          </cell>
          <cell r="F134">
            <v>1</v>
          </cell>
          <cell r="G134">
            <v>1</v>
          </cell>
          <cell r="H134"/>
          <cell r="I134">
            <v>1</v>
          </cell>
          <cell r="J134">
            <v>1</v>
          </cell>
          <cell r="K134"/>
          <cell r="L134">
            <v>1</v>
          </cell>
          <cell r="M134">
            <v>1</v>
          </cell>
          <cell r="N134">
            <v>1</v>
          </cell>
          <cell r="O134">
            <v>1</v>
          </cell>
          <cell r="P134"/>
          <cell r="Q134">
            <v>1</v>
          </cell>
          <cell r="R134"/>
          <cell r="S134">
            <v>1</v>
          </cell>
          <cell r="T134">
            <v>1</v>
          </cell>
          <cell r="U134">
            <v>1</v>
          </cell>
          <cell r="V134"/>
          <cell r="W134"/>
          <cell r="X134"/>
          <cell r="Y134">
            <v>1</v>
          </cell>
          <cell r="Z134"/>
          <cell r="AA134"/>
          <cell r="AB134">
            <v>1</v>
          </cell>
          <cell r="AC134">
            <v>1</v>
          </cell>
          <cell r="AD134">
            <v>1</v>
          </cell>
          <cell r="AE134">
            <v>1</v>
          </cell>
          <cell r="AF134"/>
          <cell r="AG134"/>
          <cell r="AH134"/>
          <cell r="AI134"/>
          <cell r="AJ134">
            <v>1</v>
          </cell>
          <cell r="AK134"/>
          <cell r="AL134"/>
          <cell r="AM134">
            <v>1</v>
          </cell>
          <cell r="AN134"/>
          <cell r="AO134"/>
          <cell r="AP134"/>
          <cell r="AQ134"/>
          <cell r="AR134"/>
          <cell r="AS134"/>
          <cell r="AT134"/>
          <cell r="AU134">
            <v>1</v>
          </cell>
          <cell r="AV134"/>
          <cell r="AW134"/>
          <cell r="AX134"/>
          <cell r="AY134"/>
          <cell r="AZ134"/>
          <cell r="BA134"/>
          <cell r="BB134">
            <v>1</v>
          </cell>
          <cell r="BC134"/>
          <cell r="BD134"/>
          <cell r="BE134"/>
          <cell r="BF134"/>
          <cell r="BG134">
            <v>1</v>
          </cell>
          <cell r="BH134"/>
          <cell r="BI134"/>
          <cell r="BJ134"/>
          <cell r="BK134">
            <v>25</v>
          </cell>
        </row>
        <row r="135">
          <cell r="B135" t="str">
            <v>강원도 양구군</v>
          </cell>
          <cell r="C135"/>
          <cell r="D135">
            <v>1</v>
          </cell>
          <cell r="E135">
            <v>1</v>
          </cell>
          <cell r="F135">
            <v>1</v>
          </cell>
          <cell r="G135">
            <v>1</v>
          </cell>
          <cell r="H135"/>
          <cell r="I135">
            <v>1</v>
          </cell>
          <cell r="J135">
            <v>1</v>
          </cell>
          <cell r="K135">
            <v>1</v>
          </cell>
          <cell r="L135">
            <v>1</v>
          </cell>
          <cell r="M135">
            <v>1</v>
          </cell>
          <cell r="N135">
            <v>1</v>
          </cell>
          <cell r="O135"/>
          <cell r="P135">
            <v>1</v>
          </cell>
          <cell r="Q135"/>
          <cell r="R135"/>
          <cell r="S135">
            <v>1</v>
          </cell>
          <cell r="T135">
            <v>1</v>
          </cell>
          <cell r="U135"/>
          <cell r="V135">
            <v>1</v>
          </cell>
          <cell r="W135"/>
          <cell r="X135"/>
          <cell r="Y135">
            <v>1</v>
          </cell>
          <cell r="Z135">
            <v>1</v>
          </cell>
          <cell r="AA135">
            <v>1</v>
          </cell>
          <cell r="AB135">
            <v>1</v>
          </cell>
          <cell r="AC135">
            <v>1</v>
          </cell>
          <cell r="AD135">
            <v>1</v>
          </cell>
          <cell r="AE135">
            <v>1</v>
          </cell>
          <cell r="AF135"/>
          <cell r="AG135"/>
          <cell r="AH135">
            <v>1</v>
          </cell>
          <cell r="AI135">
            <v>1</v>
          </cell>
          <cell r="AJ135">
            <v>1</v>
          </cell>
          <cell r="AK135"/>
          <cell r="AL135"/>
          <cell r="AM135">
            <v>1</v>
          </cell>
          <cell r="AN135"/>
          <cell r="AO135"/>
          <cell r="AP135"/>
          <cell r="AQ135"/>
          <cell r="AR135">
            <v>1</v>
          </cell>
          <cell r="AS135"/>
          <cell r="AT135"/>
          <cell r="AU135">
            <v>1</v>
          </cell>
          <cell r="AV135"/>
          <cell r="AW135">
            <v>1</v>
          </cell>
          <cell r="AX135">
            <v>1</v>
          </cell>
          <cell r="AY135"/>
          <cell r="AZ135"/>
          <cell r="BA135"/>
          <cell r="BB135">
            <v>1</v>
          </cell>
          <cell r="BC135"/>
          <cell r="BD135"/>
          <cell r="BE135"/>
          <cell r="BF135"/>
          <cell r="BG135"/>
          <cell r="BH135"/>
          <cell r="BI135"/>
          <cell r="BJ135"/>
          <cell r="BK135">
            <v>30</v>
          </cell>
        </row>
        <row r="136">
          <cell r="B136" t="str">
            <v>강원도 인제군</v>
          </cell>
          <cell r="C136">
            <v>1</v>
          </cell>
          <cell r="D136">
            <v>1</v>
          </cell>
          <cell r="E136">
            <v>1</v>
          </cell>
          <cell r="F136">
            <v>1</v>
          </cell>
          <cell r="G136">
            <v>1</v>
          </cell>
          <cell r="H136"/>
          <cell r="I136">
            <v>1</v>
          </cell>
          <cell r="J136">
            <v>1</v>
          </cell>
          <cell r="K136">
            <v>1</v>
          </cell>
          <cell r="L136">
            <v>1</v>
          </cell>
          <cell r="M136">
            <v>1</v>
          </cell>
          <cell r="N136">
            <v>1</v>
          </cell>
          <cell r="O136"/>
          <cell r="P136">
            <v>1</v>
          </cell>
          <cell r="Q136">
            <v>1</v>
          </cell>
          <cell r="R136"/>
          <cell r="S136">
            <v>1</v>
          </cell>
          <cell r="T136">
            <v>1</v>
          </cell>
          <cell r="U136">
            <v>1</v>
          </cell>
          <cell r="V136">
            <v>1</v>
          </cell>
          <cell r="W136"/>
          <cell r="X136"/>
          <cell r="Y136"/>
          <cell r="Z136">
            <v>1</v>
          </cell>
          <cell r="AA136">
            <v>1</v>
          </cell>
          <cell r="AB136">
            <v>1</v>
          </cell>
          <cell r="AC136">
            <v>1</v>
          </cell>
          <cell r="AD136">
            <v>1</v>
          </cell>
          <cell r="AE136"/>
          <cell r="AF136"/>
          <cell r="AG136"/>
          <cell r="AH136">
            <v>1</v>
          </cell>
          <cell r="AI136">
            <v>1</v>
          </cell>
          <cell r="AJ136">
            <v>1</v>
          </cell>
          <cell r="AK136"/>
          <cell r="AL136"/>
          <cell r="AM136"/>
          <cell r="AN136"/>
          <cell r="AO136"/>
          <cell r="AP136"/>
          <cell r="AQ136"/>
          <cell r="AR136">
            <v>1</v>
          </cell>
          <cell r="AS136"/>
          <cell r="AT136"/>
          <cell r="AU136">
            <v>1</v>
          </cell>
          <cell r="AV136">
            <v>1</v>
          </cell>
          <cell r="AW136"/>
          <cell r="AX136">
            <v>1</v>
          </cell>
          <cell r="AY136"/>
          <cell r="AZ136"/>
          <cell r="BA136">
            <v>1</v>
          </cell>
          <cell r="BB136"/>
          <cell r="BC136"/>
          <cell r="BD136"/>
          <cell r="BE136"/>
          <cell r="BF136"/>
          <cell r="BG136">
            <v>1</v>
          </cell>
          <cell r="BH136"/>
          <cell r="BI136"/>
          <cell r="BJ136"/>
          <cell r="BK136">
            <v>31</v>
          </cell>
        </row>
        <row r="137">
          <cell r="B137" t="str">
            <v>강원도 고성군</v>
          </cell>
          <cell r="C137">
            <v>1</v>
          </cell>
          <cell r="D137">
            <v>1</v>
          </cell>
          <cell r="E137">
            <v>1</v>
          </cell>
          <cell r="F137">
            <v>1</v>
          </cell>
          <cell r="G137">
            <v>1</v>
          </cell>
          <cell r="H137"/>
          <cell r="I137">
            <v>1</v>
          </cell>
          <cell r="J137">
            <v>1</v>
          </cell>
          <cell r="K137"/>
          <cell r="L137">
            <v>1</v>
          </cell>
          <cell r="M137">
            <v>1</v>
          </cell>
          <cell r="N137">
            <v>1</v>
          </cell>
          <cell r="O137">
            <v>1</v>
          </cell>
          <cell r="P137"/>
          <cell r="Q137">
            <v>1</v>
          </cell>
          <cell r="R137"/>
          <cell r="S137">
            <v>1</v>
          </cell>
          <cell r="T137">
            <v>1</v>
          </cell>
          <cell r="U137">
            <v>1</v>
          </cell>
          <cell r="V137"/>
          <cell r="W137"/>
          <cell r="X137"/>
          <cell r="Y137"/>
          <cell r="Z137">
            <v>1</v>
          </cell>
          <cell r="AA137">
            <v>1</v>
          </cell>
          <cell r="AB137">
            <v>1</v>
          </cell>
          <cell r="AC137">
            <v>1</v>
          </cell>
          <cell r="AD137">
            <v>1</v>
          </cell>
          <cell r="AE137"/>
          <cell r="AF137"/>
          <cell r="AG137"/>
          <cell r="AH137">
            <v>1</v>
          </cell>
          <cell r="AI137">
            <v>1</v>
          </cell>
          <cell r="AJ137">
            <v>1</v>
          </cell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>
            <v>1</v>
          </cell>
          <cell r="AV137"/>
          <cell r="AW137">
            <v>1</v>
          </cell>
          <cell r="AX137">
            <v>1</v>
          </cell>
          <cell r="AY137"/>
          <cell r="AZ137"/>
          <cell r="BA137"/>
          <cell r="BB137">
            <v>1</v>
          </cell>
          <cell r="BC137"/>
          <cell r="BD137"/>
          <cell r="BE137"/>
          <cell r="BF137"/>
          <cell r="BG137"/>
          <cell r="BH137"/>
          <cell r="BI137"/>
          <cell r="BJ137"/>
          <cell r="BK137">
            <v>27</v>
          </cell>
        </row>
        <row r="138">
          <cell r="B138" t="str">
            <v>강원도 양양군</v>
          </cell>
          <cell r="C138">
            <v>1</v>
          </cell>
          <cell r="D138">
            <v>1</v>
          </cell>
          <cell r="E138">
            <v>1</v>
          </cell>
          <cell r="F138">
            <v>1</v>
          </cell>
          <cell r="G138"/>
          <cell r="H138"/>
          <cell r="I138">
            <v>1</v>
          </cell>
          <cell r="J138"/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/>
          <cell r="P138"/>
          <cell r="Q138">
            <v>1</v>
          </cell>
          <cell r="R138"/>
          <cell r="S138">
            <v>1</v>
          </cell>
          <cell r="T138">
            <v>1</v>
          </cell>
          <cell r="U138">
            <v>1</v>
          </cell>
          <cell r="V138">
            <v>1</v>
          </cell>
          <cell r="W138"/>
          <cell r="X138"/>
          <cell r="Y138"/>
          <cell r="Z138">
            <v>1</v>
          </cell>
          <cell r="AA138">
            <v>1</v>
          </cell>
          <cell r="AB138">
            <v>1</v>
          </cell>
          <cell r="AC138">
            <v>1</v>
          </cell>
          <cell r="AD138">
            <v>1</v>
          </cell>
          <cell r="AE138">
            <v>1</v>
          </cell>
          <cell r="AF138"/>
          <cell r="AG138"/>
          <cell r="AH138">
            <v>1</v>
          </cell>
          <cell r="AI138">
            <v>1</v>
          </cell>
          <cell r="AJ138">
            <v>1</v>
          </cell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>
            <v>1</v>
          </cell>
          <cell r="AV138"/>
          <cell r="AW138">
            <v>1</v>
          </cell>
          <cell r="AX138"/>
          <cell r="AY138"/>
          <cell r="AZ138"/>
          <cell r="BA138"/>
          <cell r="BB138">
            <v>1</v>
          </cell>
          <cell r="BC138"/>
          <cell r="BD138"/>
          <cell r="BE138"/>
          <cell r="BF138"/>
          <cell r="BG138">
            <v>1</v>
          </cell>
          <cell r="BH138"/>
          <cell r="BI138"/>
          <cell r="BJ138"/>
          <cell r="BK138">
            <v>27</v>
          </cell>
        </row>
        <row r="139">
          <cell r="B139" t="str">
            <v>충청북도</v>
          </cell>
          <cell r="C139"/>
          <cell r="D139"/>
          <cell r="E139">
            <v>1</v>
          </cell>
          <cell r="F139">
            <v>1</v>
          </cell>
          <cell r="G139"/>
          <cell r="H139"/>
          <cell r="I139">
            <v>1</v>
          </cell>
          <cell r="J139"/>
          <cell r="K139">
            <v>1</v>
          </cell>
          <cell r="L139"/>
          <cell r="M139"/>
          <cell r="N139"/>
          <cell r="O139"/>
          <cell r="P139"/>
          <cell r="Q139"/>
          <cell r="R139"/>
          <cell r="S139">
            <v>1</v>
          </cell>
          <cell r="T139"/>
          <cell r="U139">
            <v>1</v>
          </cell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>
            <v>1</v>
          </cell>
          <cell r="AV139"/>
          <cell r="AW139"/>
          <cell r="AX139"/>
          <cell r="AY139"/>
          <cell r="AZ139"/>
          <cell r="BA139"/>
          <cell r="BB139"/>
          <cell r="BC139">
            <v>1</v>
          </cell>
          <cell r="BD139"/>
          <cell r="BE139"/>
          <cell r="BF139"/>
          <cell r="BG139"/>
          <cell r="BH139"/>
          <cell r="BI139"/>
          <cell r="BJ139"/>
          <cell r="BK139">
            <v>8</v>
          </cell>
        </row>
        <row r="140">
          <cell r="B140" t="str">
            <v>충청북도 청주시</v>
          </cell>
          <cell r="C140">
            <v>1</v>
          </cell>
          <cell r="D140">
            <v>1</v>
          </cell>
          <cell r="E140">
            <v>1</v>
          </cell>
          <cell r="F140">
            <v>1</v>
          </cell>
          <cell r="G140">
            <v>1</v>
          </cell>
          <cell r="H140">
            <v>1</v>
          </cell>
          <cell r="I140"/>
          <cell r="J140">
            <v>1</v>
          </cell>
          <cell r="K140">
            <v>1</v>
          </cell>
          <cell r="L140">
            <v>1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/>
          <cell r="R140">
            <v>1</v>
          </cell>
          <cell r="S140">
            <v>1</v>
          </cell>
          <cell r="T140">
            <v>1</v>
          </cell>
          <cell r="U140">
            <v>1</v>
          </cell>
          <cell r="V140">
            <v>1</v>
          </cell>
          <cell r="W140"/>
          <cell r="X140">
            <v>1</v>
          </cell>
          <cell r="Y140"/>
          <cell r="Z140">
            <v>1</v>
          </cell>
          <cell r="AA140">
            <v>1</v>
          </cell>
          <cell r="AB140">
            <v>1</v>
          </cell>
          <cell r="AC140"/>
          <cell r="AD140">
            <v>1</v>
          </cell>
          <cell r="AE140">
            <v>1</v>
          </cell>
          <cell r="AF140">
            <v>1</v>
          </cell>
          <cell r="AG140">
            <v>1</v>
          </cell>
          <cell r="AH140">
            <v>1</v>
          </cell>
          <cell r="AI140">
            <v>1</v>
          </cell>
          <cell r="AJ140">
            <v>1</v>
          </cell>
          <cell r="AK140"/>
          <cell r="AL140"/>
          <cell r="AM140">
            <v>1</v>
          </cell>
          <cell r="AN140"/>
          <cell r="AO140">
            <v>1</v>
          </cell>
          <cell r="AP140"/>
          <cell r="AQ140"/>
          <cell r="AR140"/>
          <cell r="AS140"/>
          <cell r="AT140"/>
          <cell r="AU140"/>
          <cell r="AV140"/>
          <cell r="AW140">
            <v>1</v>
          </cell>
          <cell r="AX140">
            <v>1</v>
          </cell>
          <cell r="AY140">
            <v>1</v>
          </cell>
          <cell r="AZ140"/>
          <cell r="BA140"/>
          <cell r="BB140"/>
          <cell r="BC140">
            <v>1</v>
          </cell>
          <cell r="BD140"/>
          <cell r="BE140"/>
          <cell r="BF140"/>
          <cell r="BG140"/>
          <cell r="BH140"/>
          <cell r="BI140"/>
          <cell r="BJ140"/>
          <cell r="BK140">
            <v>35</v>
          </cell>
        </row>
        <row r="141">
          <cell r="B141" t="str">
            <v>충청북도 충주시</v>
          </cell>
          <cell r="C141">
            <v>1</v>
          </cell>
          <cell r="D141">
            <v>1</v>
          </cell>
          <cell r="E141">
            <v>1</v>
          </cell>
          <cell r="F141">
            <v>1</v>
          </cell>
          <cell r="G141">
            <v>1</v>
          </cell>
          <cell r="H141">
            <v>1</v>
          </cell>
          <cell r="I141">
            <v>1</v>
          </cell>
          <cell r="J141">
            <v>1</v>
          </cell>
          <cell r="K141">
            <v>1</v>
          </cell>
          <cell r="L141">
            <v>1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/>
          <cell r="S141">
            <v>1</v>
          </cell>
          <cell r="T141">
            <v>1</v>
          </cell>
          <cell r="U141">
            <v>1</v>
          </cell>
          <cell r="V141">
            <v>1</v>
          </cell>
          <cell r="W141"/>
          <cell r="X141"/>
          <cell r="Y141"/>
          <cell r="Z141">
            <v>1</v>
          </cell>
          <cell r="AA141">
            <v>1</v>
          </cell>
          <cell r="AB141">
            <v>1</v>
          </cell>
          <cell r="AC141">
            <v>1</v>
          </cell>
          <cell r="AD141">
            <v>1</v>
          </cell>
          <cell r="AE141">
            <v>1</v>
          </cell>
          <cell r="AF141">
            <v>1</v>
          </cell>
          <cell r="AG141">
            <v>1</v>
          </cell>
          <cell r="AH141">
            <v>1</v>
          </cell>
          <cell r="AI141">
            <v>1</v>
          </cell>
          <cell r="AJ141">
            <v>1</v>
          </cell>
          <cell r="AK141"/>
          <cell r="AL141"/>
          <cell r="AM141">
            <v>1</v>
          </cell>
          <cell r="AN141"/>
          <cell r="AO141"/>
          <cell r="AP141"/>
          <cell r="AQ141"/>
          <cell r="AR141"/>
          <cell r="AS141"/>
          <cell r="AT141"/>
          <cell r="AU141">
            <v>1</v>
          </cell>
          <cell r="AV141"/>
          <cell r="AW141">
            <v>1</v>
          </cell>
          <cell r="AX141">
            <v>1</v>
          </cell>
          <cell r="AY141"/>
          <cell r="AZ141"/>
          <cell r="BA141">
            <v>1</v>
          </cell>
          <cell r="BB141">
            <v>1</v>
          </cell>
          <cell r="BC141"/>
          <cell r="BD141"/>
          <cell r="BE141">
            <v>1</v>
          </cell>
          <cell r="BF141"/>
          <cell r="BG141"/>
          <cell r="BH141"/>
          <cell r="BI141"/>
          <cell r="BJ141"/>
          <cell r="BK141">
            <v>37</v>
          </cell>
        </row>
        <row r="142">
          <cell r="B142" t="str">
            <v>충청북도 제천시</v>
          </cell>
          <cell r="C142">
            <v>1</v>
          </cell>
          <cell r="D142">
            <v>1</v>
          </cell>
          <cell r="E142">
            <v>1</v>
          </cell>
          <cell r="F142">
            <v>1</v>
          </cell>
          <cell r="G142">
            <v>1</v>
          </cell>
          <cell r="H142">
            <v>1</v>
          </cell>
          <cell r="I142">
            <v>1</v>
          </cell>
          <cell r="J142">
            <v>1</v>
          </cell>
          <cell r="K142">
            <v>1</v>
          </cell>
          <cell r="L142">
            <v>1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1</v>
          </cell>
          <cell r="S142">
            <v>1</v>
          </cell>
          <cell r="T142">
            <v>1</v>
          </cell>
          <cell r="U142">
            <v>1</v>
          </cell>
          <cell r="V142">
            <v>1</v>
          </cell>
          <cell r="W142"/>
          <cell r="X142">
            <v>1</v>
          </cell>
          <cell r="Y142"/>
          <cell r="Z142">
            <v>1</v>
          </cell>
          <cell r="AA142">
            <v>1</v>
          </cell>
          <cell r="AB142">
            <v>1</v>
          </cell>
          <cell r="AC142">
            <v>1</v>
          </cell>
          <cell r="AD142">
            <v>1</v>
          </cell>
          <cell r="AE142"/>
          <cell r="AF142"/>
          <cell r="AG142"/>
          <cell r="AH142">
            <v>1</v>
          </cell>
          <cell r="AI142">
            <v>1</v>
          </cell>
          <cell r="AJ142">
            <v>1</v>
          </cell>
          <cell r="AK142"/>
          <cell r="AL142"/>
          <cell r="AM142">
            <v>1</v>
          </cell>
          <cell r="AN142"/>
          <cell r="AO142"/>
          <cell r="AP142">
            <v>1</v>
          </cell>
          <cell r="AQ142">
            <v>1</v>
          </cell>
          <cell r="AR142">
            <v>1</v>
          </cell>
          <cell r="AS142">
            <v>1</v>
          </cell>
          <cell r="AT142">
            <v>1</v>
          </cell>
          <cell r="AU142">
            <v>1</v>
          </cell>
          <cell r="AV142"/>
          <cell r="AW142">
            <v>1</v>
          </cell>
          <cell r="AX142">
            <v>1</v>
          </cell>
          <cell r="AY142">
            <v>1</v>
          </cell>
          <cell r="AZ142"/>
          <cell r="BA142">
            <v>1</v>
          </cell>
          <cell r="BB142">
            <v>1</v>
          </cell>
          <cell r="BC142"/>
          <cell r="BD142"/>
          <cell r="BE142"/>
          <cell r="BF142"/>
          <cell r="BG142">
            <v>1</v>
          </cell>
          <cell r="BH142"/>
          <cell r="BI142"/>
          <cell r="BJ142"/>
          <cell r="BK142">
            <v>42</v>
          </cell>
        </row>
        <row r="143">
          <cell r="B143" t="str">
            <v>충청북도 보은군</v>
          </cell>
          <cell r="C143">
            <v>1</v>
          </cell>
          <cell r="D143">
            <v>1</v>
          </cell>
          <cell r="E143">
            <v>1</v>
          </cell>
          <cell r="F143">
            <v>1</v>
          </cell>
          <cell r="G143">
            <v>1</v>
          </cell>
          <cell r="H143">
            <v>1</v>
          </cell>
          <cell r="I143"/>
          <cell r="J143">
            <v>1</v>
          </cell>
          <cell r="K143">
            <v>1</v>
          </cell>
          <cell r="L143">
            <v>1</v>
          </cell>
          <cell r="M143">
            <v>1</v>
          </cell>
          <cell r="N143">
            <v>1</v>
          </cell>
          <cell r="O143"/>
          <cell r="P143">
            <v>1</v>
          </cell>
          <cell r="Q143">
            <v>1</v>
          </cell>
          <cell r="R143"/>
          <cell r="S143">
            <v>1</v>
          </cell>
          <cell r="T143">
            <v>1</v>
          </cell>
          <cell r="U143">
            <v>1</v>
          </cell>
          <cell r="V143">
            <v>1</v>
          </cell>
          <cell r="W143"/>
          <cell r="X143"/>
          <cell r="Y143"/>
          <cell r="Z143">
            <v>1</v>
          </cell>
          <cell r="AA143"/>
          <cell r="AB143">
            <v>1</v>
          </cell>
          <cell r="AC143">
            <v>1</v>
          </cell>
          <cell r="AD143">
            <v>1</v>
          </cell>
          <cell r="AE143"/>
          <cell r="AF143"/>
          <cell r="AG143"/>
          <cell r="AH143">
            <v>1</v>
          </cell>
          <cell r="AI143"/>
          <cell r="AJ143">
            <v>1</v>
          </cell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>
            <v>1</v>
          </cell>
          <cell r="AV143"/>
          <cell r="AW143">
            <v>1</v>
          </cell>
          <cell r="AX143"/>
          <cell r="AY143"/>
          <cell r="AZ143"/>
          <cell r="BA143">
            <v>1</v>
          </cell>
          <cell r="BB143">
            <v>1</v>
          </cell>
          <cell r="BC143"/>
          <cell r="BD143"/>
          <cell r="BE143"/>
          <cell r="BF143"/>
          <cell r="BG143">
            <v>1</v>
          </cell>
          <cell r="BH143"/>
          <cell r="BI143"/>
          <cell r="BJ143"/>
          <cell r="BK143">
            <v>28</v>
          </cell>
        </row>
        <row r="144">
          <cell r="B144" t="str">
            <v>충청북도 옥천군</v>
          </cell>
          <cell r="C144">
            <v>1</v>
          </cell>
          <cell r="D144">
            <v>1</v>
          </cell>
          <cell r="E144">
            <v>1</v>
          </cell>
          <cell r="F144">
            <v>1</v>
          </cell>
          <cell r="G144">
            <v>1</v>
          </cell>
          <cell r="H144">
            <v>1</v>
          </cell>
          <cell r="I144">
            <v>1</v>
          </cell>
          <cell r="J144">
            <v>1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/>
          <cell r="P144">
            <v>1</v>
          </cell>
          <cell r="Q144">
            <v>1</v>
          </cell>
          <cell r="R144">
            <v>1</v>
          </cell>
          <cell r="S144">
            <v>1</v>
          </cell>
          <cell r="T144">
            <v>1</v>
          </cell>
          <cell r="U144">
            <v>1</v>
          </cell>
          <cell r="V144">
            <v>1</v>
          </cell>
          <cell r="W144"/>
          <cell r="X144"/>
          <cell r="Y144"/>
          <cell r="Z144">
            <v>1</v>
          </cell>
          <cell r="AA144">
            <v>1</v>
          </cell>
          <cell r="AB144">
            <v>1</v>
          </cell>
          <cell r="AC144">
            <v>1</v>
          </cell>
          <cell r="AD144">
            <v>1</v>
          </cell>
          <cell r="AE144">
            <v>1</v>
          </cell>
          <cell r="AF144"/>
          <cell r="AG144"/>
          <cell r="AH144"/>
          <cell r="AI144"/>
          <cell r="AJ144">
            <v>1</v>
          </cell>
          <cell r="AK144"/>
          <cell r="AL144">
            <v>1</v>
          </cell>
          <cell r="AM144"/>
          <cell r="AN144"/>
          <cell r="AO144"/>
          <cell r="AP144"/>
          <cell r="AQ144"/>
          <cell r="AR144">
            <v>1</v>
          </cell>
          <cell r="AS144"/>
          <cell r="AT144"/>
          <cell r="AU144">
            <v>1</v>
          </cell>
          <cell r="AV144"/>
          <cell r="AW144">
            <v>1</v>
          </cell>
          <cell r="AX144"/>
          <cell r="AY144"/>
          <cell r="AZ144"/>
          <cell r="BA144">
            <v>1</v>
          </cell>
          <cell r="BB144">
            <v>1</v>
          </cell>
          <cell r="BC144"/>
          <cell r="BD144"/>
          <cell r="BE144"/>
          <cell r="BF144"/>
          <cell r="BG144">
            <v>1</v>
          </cell>
          <cell r="BH144"/>
          <cell r="BI144"/>
          <cell r="BJ144"/>
          <cell r="BK144">
            <v>33</v>
          </cell>
        </row>
        <row r="145">
          <cell r="B145" t="str">
            <v>충청북도 영동군</v>
          </cell>
          <cell r="C145">
            <v>1</v>
          </cell>
          <cell r="D145">
            <v>1</v>
          </cell>
          <cell r="E145">
            <v>1</v>
          </cell>
          <cell r="F145">
            <v>1</v>
          </cell>
          <cell r="G145">
            <v>1</v>
          </cell>
          <cell r="H145">
            <v>1</v>
          </cell>
          <cell r="I145">
            <v>1</v>
          </cell>
          <cell r="J145">
            <v>1</v>
          </cell>
          <cell r="K145">
            <v>1</v>
          </cell>
          <cell r="L145">
            <v>1</v>
          </cell>
          <cell r="M145">
            <v>1</v>
          </cell>
          <cell r="N145">
            <v>1</v>
          </cell>
          <cell r="O145"/>
          <cell r="P145">
            <v>1</v>
          </cell>
          <cell r="Q145">
            <v>1</v>
          </cell>
          <cell r="R145">
            <v>1</v>
          </cell>
          <cell r="S145">
            <v>1</v>
          </cell>
          <cell r="T145">
            <v>1</v>
          </cell>
          <cell r="U145">
            <v>1</v>
          </cell>
          <cell r="V145">
            <v>1</v>
          </cell>
          <cell r="W145"/>
          <cell r="X145">
            <v>1</v>
          </cell>
          <cell r="Y145"/>
          <cell r="Z145">
            <v>1</v>
          </cell>
          <cell r="AA145">
            <v>1</v>
          </cell>
          <cell r="AB145">
            <v>1</v>
          </cell>
          <cell r="AC145">
            <v>1</v>
          </cell>
          <cell r="AD145">
            <v>1</v>
          </cell>
          <cell r="AE145">
            <v>1</v>
          </cell>
          <cell r="AF145"/>
          <cell r="AG145"/>
          <cell r="AH145">
            <v>1</v>
          </cell>
          <cell r="AI145"/>
          <cell r="AJ145">
            <v>1</v>
          </cell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>
            <v>1</v>
          </cell>
          <cell r="AV145"/>
          <cell r="AW145"/>
          <cell r="AX145"/>
          <cell r="AY145"/>
          <cell r="AZ145"/>
          <cell r="BA145">
            <v>1</v>
          </cell>
          <cell r="BB145">
            <v>1</v>
          </cell>
          <cell r="BC145"/>
          <cell r="BD145"/>
          <cell r="BE145"/>
          <cell r="BF145"/>
          <cell r="BG145">
            <v>1</v>
          </cell>
          <cell r="BH145"/>
          <cell r="BI145"/>
          <cell r="BJ145"/>
          <cell r="BK145">
            <v>32</v>
          </cell>
        </row>
        <row r="146">
          <cell r="B146" t="str">
            <v>충청북도 증평군</v>
          </cell>
          <cell r="C146">
            <v>1</v>
          </cell>
          <cell r="D146">
            <v>1</v>
          </cell>
          <cell r="E146">
            <v>1</v>
          </cell>
          <cell r="F146">
            <v>1</v>
          </cell>
          <cell r="G146">
            <v>1</v>
          </cell>
          <cell r="H146">
            <v>1</v>
          </cell>
          <cell r="I146">
            <v>1</v>
          </cell>
          <cell r="J146">
            <v>1</v>
          </cell>
          <cell r="K146">
            <v>1</v>
          </cell>
          <cell r="L146"/>
          <cell r="M146">
            <v>1</v>
          </cell>
          <cell r="N146">
            <v>1</v>
          </cell>
          <cell r="O146"/>
          <cell r="P146">
            <v>1</v>
          </cell>
          <cell r="Q146">
            <v>1</v>
          </cell>
          <cell r="R146"/>
          <cell r="S146">
            <v>1</v>
          </cell>
          <cell r="T146">
            <v>1</v>
          </cell>
          <cell r="U146">
            <v>1</v>
          </cell>
          <cell r="V146">
            <v>1</v>
          </cell>
          <cell r="W146"/>
          <cell r="X146"/>
          <cell r="Y146"/>
          <cell r="Z146">
            <v>1</v>
          </cell>
          <cell r="AA146"/>
          <cell r="AB146">
            <v>1</v>
          </cell>
          <cell r="AC146">
            <v>1</v>
          </cell>
          <cell r="AD146"/>
          <cell r="AE146">
            <v>1</v>
          </cell>
          <cell r="AF146"/>
          <cell r="AG146"/>
          <cell r="AH146">
            <v>1</v>
          </cell>
          <cell r="AI146">
            <v>1</v>
          </cell>
          <cell r="AJ146">
            <v>1</v>
          </cell>
          <cell r="AK146">
            <v>1</v>
          </cell>
          <cell r="AL146"/>
          <cell r="AM146"/>
          <cell r="AN146"/>
          <cell r="AO146"/>
          <cell r="AP146"/>
          <cell r="AQ146">
            <v>1</v>
          </cell>
          <cell r="AR146"/>
          <cell r="AS146"/>
          <cell r="AT146"/>
          <cell r="AU146"/>
          <cell r="AV146"/>
          <cell r="AW146"/>
          <cell r="AX146"/>
          <cell r="AY146">
            <v>1</v>
          </cell>
          <cell r="AZ146"/>
          <cell r="BA146">
            <v>1</v>
          </cell>
          <cell r="BB146">
            <v>1</v>
          </cell>
          <cell r="BC146">
            <v>1</v>
          </cell>
          <cell r="BD146"/>
          <cell r="BE146"/>
          <cell r="BF146"/>
          <cell r="BG146">
            <v>1</v>
          </cell>
          <cell r="BH146"/>
          <cell r="BI146"/>
          <cell r="BJ146"/>
          <cell r="BK146">
            <v>31</v>
          </cell>
        </row>
        <row r="147">
          <cell r="B147" t="str">
            <v>충청북도 진천군</v>
          </cell>
          <cell r="C147">
            <v>1</v>
          </cell>
          <cell r="D147">
            <v>1</v>
          </cell>
          <cell r="E147">
            <v>1</v>
          </cell>
          <cell r="F147">
            <v>1</v>
          </cell>
          <cell r="G147">
            <v>1</v>
          </cell>
          <cell r="H147">
            <v>1</v>
          </cell>
          <cell r="I147">
            <v>1</v>
          </cell>
          <cell r="J147">
            <v>1</v>
          </cell>
          <cell r="K147">
            <v>1</v>
          </cell>
          <cell r="L147"/>
          <cell r="M147">
            <v>1</v>
          </cell>
          <cell r="N147">
            <v>1</v>
          </cell>
          <cell r="O147"/>
          <cell r="P147"/>
          <cell r="Q147">
            <v>1</v>
          </cell>
          <cell r="R147"/>
          <cell r="S147">
            <v>1</v>
          </cell>
          <cell r="T147">
            <v>1</v>
          </cell>
          <cell r="U147">
            <v>1</v>
          </cell>
          <cell r="V147">
            <v>1</v>
          </cell>
          <cell r="W147"/>
          <cell r="X147"/>
          <cell r="Y147"/>
          <cell r="Z147">
            <v>1</v>
          </cell>
          <cell r="AA147"/>
          <cell r="AB147"/>
          <cell r="AC147"/>
          <cell r="AD147">
            <v>1</v>
          </cell>
          <cell r="AE147">
            <v>1</v>
          </cell>
          <cell r="AF147">
            <v>1</v>
          </cell>
          <cell r="AG147">
            <v>1</v>
          </cell>
          <cell r="AH147">
            <v>1</v>
          </cell>
          <cell r="AI147">
            <v>1</v>
          </cell>
          <cell r="AJ147">
            <v>1</v>
          </cell>
          <cell r="AK147"/>
          <cell r="AL147"/>
          <cell r="AM147"/>
          <cell r="AN147"/>
          <cell r="AO147"/>
          <cell r="AP147"/>
          <cell r="AQ147">
            <v>1</v>
          </cell>
          <cell r="AR147"/>
          <cell r="AS147"/>
          <cell r="AT147">
            <v>1</v>
          </cell>
          <cell r="AU147">
            <v>1</v>
          </cell>
          <cell r="AV147">
            <v>1</v>
          </cell>
          <cell r="AW147">
            <v>1</v>
          </cell>
          <cell r="AX147">
            <v>1</v>
          </cell>
          <cell r="AY147"/>
          <cell r="AZ147"/>
          <cell r="BA147"/>
          <cell r="BB147"/>
          <cell r="BC147"/>
          <cell r="BD147"/>
          <cell r="BE147"/>
          <cell r="BF147"/>
          <cell r="BG147"/>
          <cell r="BH147"/>
          <cell r="BI147"/>
          <cell r="BJ147"/>
          <cell r="BK147">
            <v>30</v>
          </cell>
        </row>
        <row r="148">
          <cell r="B148" t="str">
            <v>충청북도 괴산군</v>
          </cell>
          <cell r="C148">
            <v>1</v>
          </cell>
          <cell r="D148">
            <v>1</v>
          </cell>
          <cell r="E148">
            <v>1</v>
          </cell>
          <cell r="F148">
            <v>1</v>
          </cell>
          <cell r="G148">
            <v>1</v>
          </cell>
          <cell r="H148">
            <v>1</v>
          </cell>
          <cell r="I148">
            <v>1</v>
          </cell>
          <cell r="J148">
            <v>1</v>
          </cell>
          <cell r="K148">
            <v>1</v>
          </cell>
          <cell r="L148">
            <v>1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1</v>
          </cell>
          <cell r="S148">
            <v>1</v>
          </cell>
          <cell r="T148">
            <v>1</v>
          </cell>
          <cell r="U148">
            <v>1</v>
          </cell>
          <cell r="V148">
            <v>1</v>
          </cell>
          <cell r="W148"/>
          <cell r="X148"/>
          <cell r="Y148"/>
          <cell r="Z148">
            <v>1</v>
          </cell>
          <cell r="AA148">
            <v>1</v>
          </cell>
          <cell r="AB148">
            <v>1</v>
          </cell>
          <cell r="AC148">
            <v>1</v>
          </cell>
          <cell r="AD148">
            <v>1</v>
          </cell>
          <cell r="AE148"/>
          <cell r="AF148">
            <v>1</v>
          </cell>
          <cell r="AG148"/>
          <cell r="AH148">
            <v>1</v>
          </cell>
          <cell r="AI148">
            <v>1</v>
          </cell>
          <cell r="AJ148">
            <v>1</v>
          </cell>
          <cell r="AK148"/>
          <cell r="AL148"/>
          <cell r="AM148"/>
          <cell r="AN148">
            <v>1</v>
          </cell>
          <cell r="AO148"/>
          <cell r="AP148"/>
          <cell r="AQ148">
            <v>1</v>
          </cell>
          <cell r="AR148">
            <v>1</v>
          </cell>
          <cell r="AS148"/>
          <cell r="AT148"/>
          <cell r="AU148">
            <v>1</v>
          </cell>
          <cell r="AV148"/>
          <cell r="AW148">
            <v>1</v>
          </cell>
          <cell r="AX148"/>
          <cell r="AY148"/>
          <cell r="AZ148">
            <v>1</v>
          </cell>
          <cell r="BA148">
            <v>1</v>
          </cell>
          <cell r="BB148">
            <v>1</v>
          </cell>
          <cell r="BC148"/>
          <cell r="BD148"/>
          <cell r="BE148">
            <v>1</v>
          </cell>
          <cell r="BF148"/>
          <cell r="BG148">
            <v>1</v>
          </cell>
          <cell r="BH148"/>
          <cell r="BI148"/>
          <cell r="BJ148"/>
          <cell r="BK148">
            <v>39</v>
          </cell>
        </row>
        <row r="149">
          <cell r="B149" t="str">
            <v>충청북도 음성군</v>
          </cell>
          <cell r="C149">
            <v>1</v>
          </cell>
          <cell r="D149">
            <v>1</v>
          </cell>
          <cell r="E149"/>
          <cell r="F149">
            <v>1</v>
          </cell>
          <cell r="G149">
            <v>1</v>
          </cell>
          <cell r="H149">
            <v>1</v>
          </cell>
          <cell r="I149">
            <v>1</v>
          </cell>
          <cell r="J149">
            <v>1</v>
          </cell>
          <cell r="K149">
            <v>1</v>
          </cell>
          <cell r="L149"/>
          <cell r="M149">
            <v>1</v>
          </cell>
          <cell r="N149">
            <v>1</v>
          </cell>
          <cell r="O149"/>
          <cell r="P149">
            <v>1</v>
          </cell>
          <cell r="Q149">
            <v>1</v>
          </cell>
          <cell r="R149"/>
          <cell r="S149">
            <v>1</v>
          </cell>
          <cell r="T149">
            <v>1</v>
          </cell>
          <cell r="U149">
            <v>1</v>
          </cell>
          <cell r="V149">
            <v>1</v>
          </cell>
          <cell r="W149"/>
          <cell r="X149"/>
          <cell r="Y149"/>
          <cell r="Z149"/>
          <cell r="AA149">
            <v>1</v>
          </cell>
          <cell r="AB149">
            <v>1</v>
          </cell>
          <cell r="AC149">
            <v>1</v>
          </cell>
          <cell r="AD149">
            <v>1</v>
          </cell>
          <cell r="AE149">
            <v>1</v>
          </cell>
          <cell r="AF149"/>
          <cell r="AG149"/>
          <cell r="AH149">
            <v>1</v>
          </cell>
          <cell r="AI149"/>
          <cell r="AJ149">
            <v>1</v>
          </cell>
          <cell r="AK149"/>
          <cell r="AL149"/>
          <cell r="AM149"/>
          <cell r="AN149"/>
          <cell r="AO149"/>
          <cell r="AP149"/>
          <cell r="AQ149">
            <v>1</v>
          </cell>
          <cell r="AR149"/>
          <cell r="AS149"/>
          <cell r="AT149"/>
          <cell r="AU149">
            <v>1</v>
          </cell>
          <cell r="AV149"/>
          <cell r="AW149"/>
          <cell r="AX149"/>
          <cell r="AY149"/>
          <cell r="AZ149"/>
          <cell r="BA149">
            <v>1</v>
          </cell>
          <cell r="BB149">
            <v>1</v>
          </cell>
          <cell r="BC149"/>
          <cell r="BD149"/>
          <cell r="BE149"/>
          <cell r="BF149"/>
          <cell r="BG149"/>
          <cell r="BH149"/>
          <cell r="BI149"/>
          <cell r="BJ149"/>
          <cell r="BK149">
            <v>27</v>
          </cell>
        </row>
        <row r="150">
          <cell r="B150" t="str">
            <v>충청북도 단양군</v>
          </cell>
          <cell r="C150">
            <v>1</v>
          </cell>
          <cell r="D150">
            <v>1</v>
          </cell>
          <cell r="E150">
            <v>1</v>
          </cell>
          <cell r="F150">
            <v>1</v>
          </cell>
          <cell r="G150">
            <v>1</v>
          </cell>
          <cell r="H150">
            <v>1</v>
          </cell>
          <cell r="I150">
            <v>1</v>
          </cell>
          <cell r="J150">
            <v>1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/>
          <cell r="P150">
            <v>1</v>
          </cell>
          <cell r="Q150">
            <v>1</v>
          </cell>
          <cell r="R150">
            <v>1</v>
          </cell>
          <cell r="S150">
            <v>1</v>
          </cell>
          <cell r="T150">
            <v>1</v>
          </cell>
          <cell r="U150">
            <v>1</v>
          </cell>
          <cell r="V150"/>
          <cell r="W150"/>
          <cell r="X150">
            <v>1</v>
          </cell>
          <cell r="Y150"/>
          <cell r="Z150"/>
          <cell r="AA150">
            <v>1</v>
          </cell>
          <cell r="AB150">
            <v>1</v>
          </cell>
          <cell r="AC150">
            <v>1</v>
          </cell>
          <cell r="AD150"/>
          <cell r="AE150"/>
          <cell r="AF150"/>
          <cell r="AG150"/>
          <cell r="AH150">
            <v>1</v>
          </cell>
          <cell r="AI150"/>
          <cell r="AJ150">
            <v>1</v>
          </cell>
          <cell r="AK150"/>
          <cell r="AL150"/>
          <cell r="AM150">
            <v>1</v>
          </cell>
          <cell r="AN150"/>
          <cell r="AO150"/>
          <cell r="AP150"/>
          <cell r="AQ150"/>
          <cell r="AR150"/>
          <cell r="AS150"/>
          <cell r="AT150"/>
          <cell r="AU150">
            <v>1</v>
          </cell>
          <cell r="AV150"/>
          <cell r="AW150">
            <v>1</v>
          </cell>
          <cell r="AX150"/>
          <cell r="AY150">
            <v>1</v>
          </cell>
          <cell r="AZ150"/>
          <cell r="BA150">
            <v>1</v>
          </cell>
          <cell r="BB150">
            <v>1</v>
          </cell>
          <cell r="BC150"/>
          <cell r="BD150"/>
          <cell r="BE150"/>
          <cell r="BF150"/>
          <cell r="BG150">
            <v>1</v>
          </cell>
          <cell r="BH150"/>
          <cell r="BI150"/>
          <cell r="BJ150"/>
          <cell r="BK150">
            <v>31</v>
          </cell>
        </row>
        <row r="151">
          <cell r="B151" t="str">
            <v>충청남도</v>
          </cell>
          <cell r="C151"/>
          <cell r="D151">
            <v>1</v>
          </cell>
          <cell r="E151"/>
          <cell r="F151"/>
          <cell r="G151">
            <v>1</v>
          </cell>
          <cell r="H151"/>
          <cell r="I151">
            <v>1</v>
          </cell>
          <cell r="J151"/>
          <cell r="K151">
            <v>1</v>
          </cell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>
            <v>1</v>
          </cell>
          <cell r="AL151"/>
          <cell r="AM151">
            <v>1</v>
          </cell>
          <cell r="AN151"/>
          <cell r="AO151"/>
          <cell r="AP151"/>
          <cell r="AQ151"/>
          <cell r="AR151"/>
          <cell r="AS151"/>
          <cell r="AT151"/>
          <cell r="AU151"/>
          <cell r="AV151"/>
          <cell r="AW151">
            <v>1</v>
          </cell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/>
          <cell r="BK151">
            <v>7</v>
          </cell>
        </row>
        <row r="152">
          <cell r="B152" t="str">
            <v>충청남도 천안시</v>
          </cell>
          <cell r="C152">
            <v>1</v>
          </cell>
          <cell r="D152">
            <v>1</v>
          </cell>
          <cell r="E152">
            <v>1</v>
          </cell>
          <cell r="F152"/>
          <cell r="G152">
            <v>1</v>
          </cell>
          <cell r="H152">
            <v>1</v>
          </cell>
          <cell r="I152">
            <v>1</v>
          </cell>
          <cell r="J152">
            <v>1</v>
          </cell>
          <cell r="K152">
            <v>1</v>
          </cell>
          <cell r="L152">
            <v>1</v>
          </cell>
          <cell r="M152">
            <v>1</v>
          </cell>
          <cell r="N152">
            <v>1</v>
          </cell>
          <cell r="O152"/>
          <cell r="P152">
            <v>1</v>
          </cell>
          <cell r="Q152">
            <v>1</v>
          </cell>
          <cell r="R152">
            <v>1</v>
          </cell>
          <cell r="S152"/>
          <cell r="T152">
            <v>1</v>
          </cell>
          <cell r="U152">
            <v>1</v>
          </cell>
          <cell r="V152">
            <v>1</v>
          </cell>
          <cell r="W152"/>
          <cell r="X152">
            <v>1</v>
          </cell>
          <cell r="Y152"/>
          <cell r="Z152"/>
          <cell r="AA152">
            <v>1</v>
          </cell>
          <cell r="AB152">
            <v>1</v>
          </cell>
          <cell r="AC152">
            <v>1</v>
          </cell>
          <cell r="AD152">
            <v>1</v>
          </cell>
          <cell r="AE152">
            <v>1</v>
          </cell>
          <cell r="AF152"/>
          <cell r="AG152">
            <v>1</v>
          </cell>
          <cell r="AH152">
            <v>1</v>
          </cell>
          <cell r="AI152"/>
          <cell r="AJ152">
            <v>1</v>
          </cell>
          <cell r="AK152"/>
          <cell r="AL152"/>
          <cell r="AM152">
            <v>1</v>
          </cell>
          <cell r="AN152">
            <v>1</v>
          </cell>
          <cell r="AO152"/>
          <cell r="AP152">
            <v>1</v>
          </cell>
          <cell r="AQ152">
            <v>1</v>
          </cell>
          <cell r="AR152"/>
          <cell r="AS152">
            <v>1</v>
          </cell>
          <cell r="AT152"/>
          <cell r="AU152">
            <v>1</v>
          </cell>
          <cell r="AV152"/>
          <cell r="AW152">
            <v>1</v>
          </cell>
          <cell r="AX152">
            <v>1</v>
          </cell>
          <cell r="AY152"/>
          <cell r="AZ152"/>
          <cell r="BA152"/>
          <cell r="BB152"/>
          <cell r="BC152">
            <v>1</v>
          </cell>
          <cell r="BD152"/>
          <cell r="BE152"/>
          <cell r="BF152"/>
          <cell r="BG152">
            <v>1</v>
          </cell>
          <cell r="BH152"/>
          <cell r="BI152"/>
          <cell r="BJ152"/>
          <cell r="BK152">
            <v>36</v>
          </cell>
        </row>
        <row r="153">
          <cell r="B153" t="str">
            <v>충청남도 공주시</v>
          </cell>
          <cell r="C153">
            <v>1</v>
          </cell>
          <cell r="D153">
            <v>1</v>
          </cell>
          <cell r="E153">
            <v>1</v>
          </cell>
          <cell r="F153">
            <v>1</v>
          </cell>
          <cell r="G153">
            <v>1</v>
          </cell>
          <cell r="H153">
            <v>1</v>
          </cell>
          <cell r="I153">
            <v>1</v>
          </cell>
          <cell r="J153">
            <v>1</v>
          </cell>
          <cell r="K153">
            <v>1</v>
          </cell>
          <cell r="L153">
            <v>1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/>
          <cell r="S153">
            <v>1</v>
          </cell>
          <cell r="T153">
            <v>1</v>
          </cell>
          <cell r="U153">
            <v>1</v>
          </cell>
          <cell r="V153">
            <v>1</v>
          </cell>
          <cell r="W153"/>
          <cell r="X153"/>
          <cell r="Y153"/>
          <cell r="Z153">
            <v>1</v>
          </cell>
          <cell r="AA153"/>
          <cell r="AB153">
            <v>1</v>
          </cell>
          <cell r="AC153">
            <v>1</v>
          </cell>
          <cell r="AD153">
            <v>1</v>
          </cell>
          <cell r="AE153">
            <v>1</v>
          </cell>
          <cell r="AF153"/>
          <cell r="AG153"/>
          <cell r="AH153">
            <v>1</v>
          </cell>
          <cell r="AI153">
            <v>1</v>
          </cell>
          <cell r="AJ153">
            <v>1</v>
          </cell>
          <cell r="AK153"/>
          <cell r="AL153"/>
          <cell r="AM153">
            <v>1</v>
          </cell>
          <cell r="AN153"/>
          <cell r="AO153"/>
          <cell r="AP153">
            <v>1</v>
          </cell>
          <cell r="AQ153"/>
          <cell r="AR153"/>
          <cell r="AS153"/>
          <cell r="AT153"/>
          <cell r="AU153"/>
          <cell r="AV153">
            <v>1</v>
          </cell>
          <cell r="AW153"/>
          <cell r="AX153"/>
          <cell r="AY153"/>
          <cell r="AZ153"/>
          <cell r="BA153"/>
          <cell r="BB153">
            <v>1</v>
          </cell>
          <cell r="BC153"/>
          <cell r="BD153"/>
          <cell r="BE153"/>
          <cell r="BF153"/>
          <cell r="BG153"/>
          <cell r="BH153"/>
          <cell r="BI153"/>
          <cell r="BJ153"/>
          <cell r="BK153">
            <v>31</v>
          </cell>
        </row>
        <row r="154">
          <cell r="B154" t="str">
            <v>충청남도 보령시</v>
          </cell>
          <cell r="C154">
            <v>1</v>
          </cell>
          <cell r="D154">
            <v>1</v>
          </cell>
          <cell r="E154">
            <v>1</v>
          </cell>
          <cell r="F154">
            <v>1</v>
          </cell>
          <cell r="G154">
            <v>1</v>
          </cell>
          <cell r="H154">
            <v>1</v>
          </cell>
          <cell r="I154">
            <v>1</v>
          </cell>
          <cell r="J154">
            <v>1</v>
          </cell>
          <cell r="K154">
            <v>1</v>
          </cell>
          <cell r="L154">
            <v>1</v>
          </cell>
          <cell r="M154"/>
          <cell r="N154">
            <v>1</v>
          </cell>
          <cell r="O154"/>
          <cell r="P154">
            <v>1</v>
          </cell>
          <cell r="Q154"/>
          <cell r="R154"/>
          <cell r="S154">
            <v>1</v>
          </cell>
          <cell r="T154">
            <v>1</v>
          </cell>
          <cell r="U154">
            <v>1</v>
          </cell>
          <cell r="V154">
            <v>1</v>
          </cell>
          <cell r="W154"/>
          <cell r="X154"/>
          <cell r="Y154"/>
          <cell r="Z154">
            <v>1</v>
          </cell>
          <cell r="AA154">
            <v>1</v>
          </cell>
          <cell r="AB154">
            <v>1</v>
          </cell>
          <cell r="AC154"/>
          <cell r="AD154"/>
          <cell r="AE154">
            <v>1</v>
          </cell>
          <cell r="AF154"/>
          <cell r="AG154"/>
          <cell r="AH154">
            <v>1</v>
          </cell>
          <cell r="AI154">
            <v>1</v>
          </cell>
          <cell r="AJ154">
            <v>1</v>
          </cell>
          <cell r="AK154"/>
          <cell r="AL154"/>
          <cell r="AM154">
            <v>1</v>
          </cell>
          <cell r="AN154"/>
          <cell r="AO154"/>
          <cell r="AP154"/>
          <cell r="AQ154"/>
          <cell r="AR154">
            <v>1</v>
          </cell>
          <cell r="AS154"/>
          <cell r="AT154"/>
          <cell r="AU154">
            <v>1</v>
          </cell>
          <cell r="AV154"/>
          <cell r="AW154">
            <v>1</v>
          </cell>
          <cell r="AX154"/>
          <cell r="AY154"/>
          <cell r="AZ154"/>
          <cell r="BA154">
            <v>1</v>
          </cell>
          <cell r="BB154">
            <v>1</v>
          </cell>
          <cell r="BC154"/>
          <cell r="BD154"/>
          <cell r="BE154"/>
          <cell r="BF154"/>
          <cell r="BG154"/>
          <cell r="BH154"/>
          <cell r="BI154"/>
          <cell r="BJ154"/>
          <cell r="BK154">
            <v>29</v>
          </cell>
        </row>
        <row r="155">
          <cell r="B155" t="str">
            <v>충청남도 아산시</v>
          </cell>
          <cell r="C155">
            <v>1</v>
          </cell>
          <cell r="D155">
            <v>1</v>
          </cell>
          <cell r="E155">
            <v>1</v>
          </cell>
          <cell r="F155">
            <v>1</v>
          </cell>
          <cell r="G155">
            <v>1</v>
          </cell>
          <cell r="H155">
            <v>1</v>
          </cell>
          <cell r="I155">
            <v>1</v>
          </cell>
          <cell r="J155">
            <v>1</v>
          </cell>
          <cell r="K155">
            <v>1</v>
          </cell>
          <cell r="L155">
            <v>1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1</v>
          </cell>
          <cell r="S155">
            <v>1</v>
          </cell>
          <cell r="T155">
            <v>1</v>
          </cell>
          <cell r="U155">
            <v>1</v>
          </cell>
          <cell r="V155">
            <v>1</v>
          </cell>
          <cell r="W155"/>
          <cell r="X155">
            <v>1</v>
          </cell>
          <cell r="Y155"/>
          <cell r="Z155"/>
          <cell r="AA155"/>
          <cell r="AB155">
            <v>1</v>
          </cell>
          <cell r="AC155">
            <v>1</v>
          </cell>
          <cell r="AD155"/>
          <cell r="AE155">
            <v>1</v>
          </cell>
          <cell r="AF155"/>
          <cell r="AG155">
            <v>1</v>
          </cell>
          <cell r="AH155">
            <v>1</v>
          </cell>
          <cell r="AI155">
            <v>1</v>
          </cell>
          <cell r="AJ155">
            <v>1</v>
          </cell>
          <cell r="AK155"/>
          <cell r="AL155">
            <v>1</v>
          </cell>
          <cell r="AM155">
            <v>1</v>
          </cell>
          <cell r="AN155"/>
          <cell r="AO155"/>
          <cell r="AP155"/>
          <cell r="AQ155"/>
          <cell r="AR155">
            <v>1</v>
          </cell>
          <cell r="AS155"/>
          <cell r="AT155"/>
          <cell r="AU155">
            <v>1</v>
          </cell>
          <cell r="AV155">
            <v>1</v>
          </cell>
          <cell r="AW155">
            <v>1</v>
          </cell>
          <cell r="AX155">
            <v>1</v>
          </cell>
          <cell r="AY155"/>
          <cell r="AZ155"/>
          <cell r="BA155">
            <v>1</v>
          </cell>
          <cell r="BB155">
            <v>1</v>
          </cell>
          <cell r="BC155"/>
          <cell r="BD155"/>
          <cell r="BE155">
            <v>1</v>
          </cell>
          <cell r="BF155"/>
          <cell r="BG155">
            <v>1</v>
          </cell>
          <cell r="BH155"/>
          <cell r="BI155"/>
          <cell r="BJ155"/>
          <cell r="BK155">
            <v>39</v>
          </cell>
        </row>
        <row r="156">
          <cell r="B156" t="str">
            <v>충청남도 서산시</v>
          </cell>
          <cell r="C156">
            <v>1</v>
          </cell>
          <cell r="D156">
            <v>1</v>
          </cell>
          <cell r="E156">
            <v>1</v>
          </cell>
          <cell r="F156">
            <v>1</v>
          </cell>
          <cell r="G156">
            <v>1</v>
          </cell>
          <cell r="H156">
            <v>1</v>
          </cell>
          <cell r="I156">
            <v>1</v>
          </cell>
          <cell r="J156">
            <v>1</v>
          </cell>
          <cell r="K156"/>
          <cell r="L156">
            <v>1</v>
          </cell>
          <cell r="M156">
            <v>1</v>
          </cell>
          <cell r="N156">
            <v>1</v>
          </cell>
          <cell r="O156"/>
          <cell r="P156">
            <v>1</v>
          </cell>
          <cell r="Q156">
            <v>1</v>
          </cell>
          <cell r="R156"/>
          <cell r="S156">
            <v>1</v>
          </cell>
          <cell r="T156">
            <v>1</v>
          </cell>
          <cell r="U156">
            <v>1</v>
          </cell>
          <cell r="V156">
            <v>1</v>
          </cell>
          <cell r="W156"/>
          <cell r="X156">
            <v>1</v>
          </cell>
          <cell r="Y156">
            <v>1</v>
          </cell>
          <cell r="Z156">
            <v>1</v>
          </cell>
          <cell r="AA156">
            <v>1</v>
          </cell>
          <cell r="AB156">
            <v>1</v>
          </cell>
          <cell r="AC156">
            <v>1</v>
          </cell>
          <cell r="AD156"/>
          <cell r="AE156"/>
          <cell r="AF156"/>
          <cell r="AG156">
            <v>1</v>
          </cell>
          <cell r="AH156">
            <v>1</v>
          </cell>
          <cell r="AI156">
            <v>1</v>
          </cell>
          <cell r="AJ156">
            <v>1</v>
          </cell>
          <cell r="AK156"/>
          <cell r="AL156">
            <v>1</v>
          </cell>
          <cell r="AM156">
            <v>1</v>
          </cell>
          <cell r="AN156">
            <v>1</v>
          </cell>
          <cell r="AO156"/>
          <cell r="AP156">
            <v>1</v>
          </cell>
          <cell r="AQ156">
            <v>1</v>
          </cell>
          <cell r="AR156">
            <v>1</v>
          </cell>
          <cell r="AS156">
            <v>1</v>
          </cell>
          <cell r="AT156">
            <v>1</v>
          </cell>
          <cell r="AU156">
            <v>1</v>
          </cell>
          <cell r="AV156"/>
          <cell r="AW156">
            <v>1</v>
          </cell>
          <cell r="AX156"/>
          <cell r="AY156">
            <v>1</v>
          </cell>
          <cell r="AZ156"/>
          <cell r="BA156">
            <v>1</v>
          </cell>
          <cell r="BB156">
            <v>1</v>
          </cell>
          <cell r="BC156"/>
          <cell r="BD156"/>
          <cell r="BE156"/>
          <cell r="BF156"/>
          <cell r="BG156">
            <v>1</v>
          </cell>
          <cell r="BH156"/>
          <cell r="BI156"/>
          <cell r="BJ156"/>
          <cell r="BK156">
            <v>41</v>
          </cell>
        </row>
        <row r="157">
          <cell r="B157" t="str">
            <v>충청남도 논산시</v>
          </cell>
          <cell r="C157">
            <v>1</v>
          </cell>
          <cell r="D157">
            <v>1</v>
          </cell>
          <cell r="E157">
            <v>1</v>
          </cell>
          <cell r="F157">
            <v>1</v>
          </cell>
          <cell r="G157">
            <v>1</v>
          </cell>
          <cell r="H157">
            <v>1</v>
          </cell>
          <cell r="I157">
            <v>1</v>
          </cell>
          <cell r="J157">
            <v>1</v>
          </cell>
          <cell r="K157">
            <v>1</v>
          </cell>
          <cell r="L157">
            <v>1</v>
          </cell>
          <cell r="M157">
            <v>1</v>
          </cell>
          <cell r="N157">
            <v>1</v>
          </cell>
          <cell r="O157"/>
          <cell r="P157">
            <v>1</v>
          </cell>
          <cell r="Q157">
            <v>1</v>
          </cell>
          <cell r="R157"/>
          <cell r="S157">
            <v>1</v>
          </cell>
          <cell r="T157">
            <v>1</v>
          </cell>
          <cell r="U157">
            <v>1</v>
          </cell>
          <cell r="V157"/>
          <cell r="W157"/>
          <cell r="X157"/>
          <cell r="Y157"/>
          <cell r="Z157">
            <v>1</v>
          </cell>
          <cell r="AA157">
            <v>1</v>
          </cell>
          <cell r="AB157">
            <v>1</v>
          </cell>
          <cell r="AC157"/>
          <cell r="AD157"/>
          <cell r="AE157">
            <v>1</v>
          </cell>
          <cell r="AF157"/>
          <cell r="AG157">
            <v>1</v>
          </cell>
          <cell r="AH157">
            <v>1</v>
          </cell>
          <cell r="AI157">
            <v>1</v>
          </cell>
          <cell r="AJ157">
            <v>1</v>
          </cell>
          <cell r="AK157">
            <v>1</v>
          </cell>
          <cell r="AL157"/>
          <cell r="AM157"/>
          <cell r="AN157"/>
          <cell r="AO157"/>
          <cell r="AP157">
            <v>1</v>
          </cell>
          <cell r="AQ157">
            <v>1</v>
          </cell>
          <cell r="AR157"/>
          <cell r="AS157"/>
          <cell r="AT157"/>
          <cell r="AU157">
            <v>1</v>
          </cell>
          <cell r="AV157"/>
          <cell r="AW157">
            <v>1</v>
          </cell>
          <cell r="AX157"/>
          <cell r="AY157">
            <v>1</v>
          </cell>
          <cell r="AZ157"/>
          <cell r="BA157">
            <v>1</v>
          </cell>
          <cell r="BB157">
            <v>1</v>
          </cell>
          <cell r="BC157"/>
          <cell r="BD157"/>
          <cell r="BE157"/>
          <cell r="BF157"/>
          <cell r="BG157">
            <v>1</v>
          </cell>
          <cell r="BH157"/>
          <cell r="BI157"/>
          <cell r="BJ157"/>
          <cell r="BK157">
            <v>34</v>
          </cell>
        </row>
        <row r="158">
          <cell r="B158" t="str">
            <v>충청남도 계룡시</v>
          </cell>
          <cell r="C158">
            <v>1</v>
          </cell>
          <cell r="D158">
            <v>1</v>
          </cell>
          <cell r="E158">
            <v>1</v>
          </cell>
          <cell r="F158">
            <v>1</v>
          </cell>
          <cell r="G158">
            <v>1</v>
          </cell>
          <cell r="H158">
            <v>1</v>
          </cell>
          <cell r="I158">
            <v>1</v>
          </cell>
          <cell r="J158">
            <v>1</v>
          </cell>
          <cell r="K158"/>
          <cell r="L158"/>
          <cell r="M158">
            <v>1</v>
          </cell>
          <cell r="N158">
            <v>1</v>
          </cell>
          <cell r="O158"/>
          <cell r="P158">
            <v>1</v>
          </cell>
          <cell r="Q158"/>
          <cell r="R158"/>
          <cell r="S158"/>
          <cell r="T158">
            <v>1</v>
          </cell>
          <cell r="U158">
            <v>1</v>
          </cell>
          <cell r="V158">
            <v>1</v>
          </cell>
          <cell r="W158"/>
          <cell r="X158"/>
          <cell r="Y158"/>
          <cell r="Z158"/>
          <cell r="AA158">
            <v>1</v>
          </cell>
          <cell r="AB158">
            <v>1</v>
          </cell>
          <cell r="AC158">
            <v>1</v>
          </cell>
          <cell r="AD158"/>
          <cell r="AE158"/>
          <cell r="AF158"/>
          <cell r="AG158">
            <v>1</v>
          </cell>
          <cell r="AH158"/>
          <cell r="AI158">
            <v>1</v>
          </cell>
          <cell r="AJ158">
            <v>1</v>
          </cell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>
            <v>1</v>
          </cell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>
            <v>21</v>
          </cell>
        </row>
        <row r="159">
          <cell r="B159" t="str">
            <v>충청남도 당진시</v>
          </cell>
          <cell r="C159">
            <v>1</v>
          </cell>
          <cell r="D159">
            <v>1</v>
          </cell>
          <cell r="E159">
            <v>1</v>
          </cell>
          <cell r="F159">
            <v>1</v>
          </cell>
          <cell r="G159">
            <v>1</v>
          </cell>
          <cell r="H159">
            <v>1</v>
          </cell>
          <cell r="I159">
            <v>1</v>
          </cell>
          <cell r="J159">
            <v>1</v>
          </cell>
          <cell r="K159"/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/>
          <cell r="S159"/>
          <cell r="T159">
            <v>1</v>
          </cell>
          <cell r="U159">
            <v>1</v>
          </cell>
          <cell r="V159">
            <v>1</v>
          </cell>
          <cell r="W159"/>
          <cell r="X159"/>
          <cell r="Y159"/>
          <cell r="Z159"/>
          <cell r="AA159">
            <v>1</v>
          </cell>
          <cell r="AB159">
            <v>1</v>
          </cell>
          <cell r="AC159">
            <v>1</v>
          </cell>
          <cell r="AD159">
            <v>1</v>
          </cell>
          <cell r="AE159">
            <v>1</v>
          </cell>
          <cell r="AF159"/>
          <cell r="AG159"/>
          <cell r="AH159">
            <v>1</v>
          </cell>
          <cell r="AI159">
            <v>1</v>
          </cell>
          <cell r="AJ159">
            <v>1</v>
          </cell>
          <cell r="AK159"/>
          <cell r="AL159"/>
          <cell r="AM159"/>
          <cell r="AN159"/>
          <cell r="AO159"/>
          <cell r="AP159"/>
          <cell r="AQ159"/>
          <cell r="AR159"/>
          <cell r="AS159"/>
          <cell r="AT159"/>
          <cell r="AU159">
            <v>1</v>
          </cell>
          <cell r="AV159">
            <v>1</v>
          </cell>
          <cell r="AW159"/>
          <cell r="AX159">
            <v>1</v>
          </cell>
          <cell r="AY159">
            <v>1</v>
          </cell>
          <cell r="AZ159"/>
          <cell r="BA159"/>
          <cell r="BB159"/>
          <cell r="BC159"/>
          <cell r="BD159"/>
          <cell r="BE159"/>
          <cell r="BF159"/>
          <cell r="BG159"/>
          <cell r="BH159"/>
          <cell r="BI159"/>
          <cell r="BJ159"/>
          <cell r="BK159">
            <v>29</v>
          </cell>
        </row>
        <row r="160">
          <cell r="B160" t="str">
            <v>충청남도 금산군</v>
          </cell>
          <cell r="C160">
            <v>1</v>
          </cell>
          <cell r="D160">
            <v>1</v>
          </cell>
          <cell r="E160">
            <v>1</v>
          </cell>
          <cell r="F160">
            <v>1</v>
          </cell>
          <cell r="G160">
            <v>1</v>
          </cell>
          <cell r="H160">
            <v>1</v>
          </cell>
          <cell r="I160">
            <v>1</v>
          </cell>
          <cell r="J160">
            <v>1</v>
          </cell>
          <cell r="K160">
            <v>1</v>
          </cell>
          <cell r="L160">
            <v>1</v>
          </cell>
          <cell r="M160">
            <v>1</v>
          </cell>
          <cell r="N160">
            <v>1</v>
          </cell>
          <cell r="O160"/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1</v>
          </cell>
          <cell r="U160">
            <v>1</v>
          </cell>
          <cell r="V160">
            <v>1</v>
          </cell>
          <cell r="W160"/>
          <cell r="X160"/>
          <cell r="Y160"/>
          <cell r="Z160">
            <v>1</v>
          </cell>
          <cell r="AA160">
            <v>1</v>
          </cell>
          <cell r="AB160">
            <v>1</v>
          </cell>
          <cell r="AC160"/>
          <cell r="AD160">
            <v>1</v>
          </cell>
          <cell r="AE160">
            <v>1</v>
          </cell>
          <cell r="AF160"/>
          <cell r="AG160"/>
          <cell r="AH160">
            <v>1</v>
          </cell>
          <cell r="AI160"/>
          <cell r="AJ160">
            <v>1</v>
          </cell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>
            <v>1</v>
          </cell>
          <cell r="AV160"/>
          <cell r="AW160">
            <v>1</v>
          </cell>
          <cell r="AX160">
            <v>1</v>
          </cell>
          <cell r="AY160">
            <v>1</v>
          </cell>
          <cell r="AZ160"/>
          <cell r="BA160">
            <v>1</v>
          </cell>
          <cell r="BB160">
            <v>1</v>
          </cell>
          <cell r="BC160"/>
          <cell r="BD160"/>
          <cell r="BE160"/>
          <cell r="BF160"/>
          <cell r="BG160">
            <v>1</v>
          </cell>
          <cell r="BH160"/>
          <cell r="BI160"/>
          <cell r="BJ160"/>
          <cell r="BK160">
            <v>33</v>
          </cell>
        </row>
        <row r="161">
          <cell r="B161" t="str">
            <v>충청남도 부여군</v>
          </cell>
          <cell r="C161">
            <v>1</v>
          </cell>
          <cell r="D161">
            <v>1</v>
          </cell>
          <cell r="E161">
            <v>1</v>
          </cell>
          <cell r="F161">
            <v>1</v>
          </cell>
          <cell r="G161">
            <v>1</v>
          </cell>
          <cell r="H161">
            <v>1</v>
          </cell>
          <cell r="I161">
            <v>1</v>
          </cell>
          <cell r="J161">
            <v>1</v>
          </cell>
          <cell r="K161">
            <v>1</v>
          </cell>
          <cell r="L161">
            <v>1</v>
          </cell>
          <cell r="M161">
            <v>1</v>
          </cell>
          <cell r="N161">
            <v>1</v>
          </cell>
          <cell r="O161"/>
          <cell r="P161">
            <v>1</v>
          </cell>
          <cell r="Q161">
            <v>1</v>
          </cell>
          <cell r="R161">
            <v>1</v>
          </cell>
          <cell r="S161">
            <v>1</v>
          </cell>
          <cell r="T161">
            <v>1</v>
          </cell>
          <cell r="U161">
            <v>1</v>
          </cell>
          <cell r="V161">
            <v>1</v>
          </cell>
          <cell r="W161"/>
          <cell r="X161"/>
          <cell r="Y161"/>
          <cell r="Z161"/>
          <cell r="AA161">
            <v>1</v>
          </cell>
          <cell r="AB161">
            <v>1</v>
          </cell>
          <cell r="AC161">
            <v>1</v>
          </cell>
          <cell r="AD161">
            <v>1</v>
          </cell>
          <cell r="AE161">
            <v>1</v>
          </cell>
          <cell r="AF161"/>
          <cell r="AG161">
            <v>1</v>
          </cell>
          <cell r="AH161">
            <v>1</v>
          </cell>
          <cell r="AI161"/>
          <cell r="AJ161">
            <v>1</v>
          </cell>
          <cell r="AK161"/>
          <cell r="AL161"/>
          <cell r="AM161">
            <v>1</v>
          </cell>
          <cell r="AN161"/>
          <cell r="AO161"/>
          <cell r="AP161">
            <v>1</v>
          </cell>
          <cell r="AQ161"/>
          <cell r="AR161"/>
          <cell r="AS161"/>
          <cell r="AT161"/>
          <cell r="AU161">
            <v>1</v>
          </cell>
          <cell r="AV161">
            <v>1</v>
          </cell>
          <cell r="AW161">
            <v>1</v>
          </cell>
          <cell r="AX161"/>
          <cell r="AY161">
            <v>1</v>
          </cell>
          <cell r="AZ161"/>
          <cell r="BA161">
            <v>1</v>
          </cell>
          <cell r="BB161">
            <v>1</v>
          </cell>
          <cell r="BC161"/>
          <cell r="BD161"/>
          <cell r="BE161"/>
          <cell r="BF161"/>
          <cell r="BG161">
            <v>1</v>
          </cell>
          <cell r="BH161"/>
          <cell r="BI161"/>
          <cell r="BJ161"/>
          <cell r="BK161">
            <v>36</v>
          </cell>
        </row>
        <row r="162">
          <cell r="B162" t="str">
            <v>충청남도 서천군</v>
          </cell>
          <cell r="C162">
            <v>1</v>
          </cell>
          <cell r="D162">
            <v>1</v>
          </cell>
          <cell r="E162">
            <v>1</v>
          </cell>
          <cell r="F162">
            <v>1</v>
          </cell>
          <cell r="G162">
            <v>1</v>
          </cell>
          <cell r="H162">
            <v>1</v>
          </cell>
          <cell r="I162">
            <v>1</v>
          </cell>
          <cell r="J162">
            <v>1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1</v>
          </cell>
          <cell r="S162">
            <v>1</v>
          </cell>
          <cell r="T162">
            <v>1</v>
          </cell>
          <cell r="U162">
            <v>1</v>
          </cell>
          <cell r="V162">
            <v>1</v>
          </cell>
          <cell r="W162"/>
          <cell r="X162"/>
          <cell r="Y162"/>
          <cell r="Z162">
            <v>1</v>
          </cell>
          <cell r="AA162">
            <v>1</v>
          </cell>
          <cell r="AB162">
            <v>1</v>
          </cell>
          <cell r="AC162">
            <v>1</v>
          </cell>
          <cell r="AD162">
            <v>1</v>
          </cell>
          <cell r="AE162">
            <v>1</v>
          </cell>
          <cell r="AF162"/>
          <cell r="AG162">
            <v>1</v>
          </cell>
          <cell r="AH162"/>
          <cell r="AI162">
            <v>1</v>
          </cell>
          <cell r="AJ162">
            <v>1</v>
          </cell>
          <cell r="AK162"/>
          <cell r="AL162"/>
          <cell r="AM162">
            <v>1</v>
          </cell>
          <cell r="AN162"/>
          <cell r="AO162"/>
          <cell r="AP162">
            <v>1</v>
          </cell>
          <cell r="AQ162"/>
          <cell r="AR162">
            <v>1</v>
          </cell>
          <cell r="AS162">
            <v>1</v>
          </cell>
          <cell r="AT162"/>
          <cell r="AU162">
            <v>1</v>
          </cell>
          <cell r="AV162"/>
          <cell r="AW162">
            <v>1</v>
          </cell>
          <cell r="AX162"/>
          <cell r="AY162">
            <v>1</v>
          </cell>
          <cell r="AZ162"/>
          <cell r="BA162"/>
          <cell r="BB162">
            <v>1</v>
          </cell>
          <cell r="BC162"/>
          <cell r="BD162"/>
          <cell r="BE162"/>
          <cell r="BF162"/>
          <cell r="BG162">
            <v>1</v>
          </cell>
          <cell r="BH162"/>
          <cell r="BI162"/>
          <cell r="BJ162"/>
          <cell r="BK162">
            <v>38</v>
          </cell>
        </row>
        <row r="163">
          <cell r="B163" t="str">
            <v>충청남도 청양군</v>
          </cell>
          <cell r="C163">
            <v>1</v>
          </cell>
          <cell r="D163">
            <v>1</v>
          </cell>
          <cell r="E163">
            <v>1</v>
          </cell>
          <cell r="F163">
            <v>1</v>
          </cell>
          <cell r="G163">
            <v>1</v>
          </cell>
          <cell r="H163">
            <v>1</v>
          </cell>
          <cell r="I163">
            <v>1</v>
          </cell>
          <cell r="J163">
            <v>1</v>
          </cell>
          <cell r="K163">
            <v>1</v>
          </cell>
          <cell r="L163"/>
          <cell r="M163">
            <v>1</v>
          </cell>
          <cell r="N163">
            <v>1</v>
          </cell>
          <cell r="O163"/>
          <cell r="P163">
            <v>1</v>
          </cell>
          <cell r="Q163">
            <v>1</v>
          </cell>
          <cell r="R163"/>
          <cell r="S163">
            <v>1</v>
          </cell>
          <cell r="T163">
            <v>1</v>
          </cell>
          <cell r="U163">
            <v>1</v>
          </cell>
          <cell r="V163">
            <v>1</v>
          </cell>
          <cell r="W163"/>
          <cell r="X163"/>
          <cell r="Y163"/>
          <cell r="Z163"/>
          <cell r="AA163">
            <v>1</v>
          </cell>
          <cell r="AB163">
            <v>1</v>
          </cell>
          <cell r="AC163"/>
          <cell r="AD163"/>
          <cell r="AE163">
            <v>1</v>
          </cell>
          <cell r="AF163"/>
          <cell r="AG163">
            <v>1</v>
          </cell>
          <cell r="AH163">
            <v>1</v>
          </cell>
          <cell r="AI163">
            <v>1</v>
          </cell>
          <cell r="AJ163">
            <v>1</v>
          </cell>
          <cell r="AK163"/>
          <cell r="AL163"/>
          <cell r="AM163"/>
          <cell r="AN163"/>
          <cell r="AO163"/>
          <cell r="AP163">
            <v>1</v>
          </cell>
          <cell r="AQ163"/>
          <cell r="AR163">
            <v>1</v>
          </cell>
          <cell r="AS163"/>
          <cell r="AT163"/>
          <cell r="AU163">
            <v>1</v>
          </cell>
          <cell r="AV163"/>
          <cell r="AW163">
            <v>1</v>
          </cell>
          <cell r="AX163">
            <v>1</v>
          </cell>
          <cell r="AY163">
            <v>1</v>
          </cell>
          <cell r="AZ163"/>
          <cell r="BA163">
            <v>1</v>
          </cell>
          <cell r="BB163">
            <v>1</v>
          </cell>
          <cell r="BC163"/>
          <cell r="BD163"/>
          <cell r="BE163"/>
          <cell r="BF163"/>
          <cell r="BG163">
            <v>1</v>
          </cell>
          <cell r="BH163"/>
          <cell r="BI163"/>
          <cell r="BJ163"/>
          <cell r="BK163">
            <v>33</v>
          </cell>
        </row>
        <row r="164">
          <cell r="B164" t="str">
            <v>충청남도 홍성군</v>
          </cell>
          <cell r="C164">
            <v>1</v>
          </cell>
          <cell r="D164">
            <v>1</v>
          </cell>
          <cell r="E164">
            <v>1</v>
          </cell>
          <cell r="F164">
            <v>1</v>
          </cell>
          <cell r="G164">
            <v>1</v>
          </cell>
          <cell r="H164">
            <v>1</v>
          </cell>
          <cell r="I164">
            <v>1</v>
          </cell>
          <cell r="J164">
            <v>1</v>
          </cell>
          <cell r="K164">
            <v>1</v>
          </cell>
          <cell r="L164">
            <v>1</v>
          </cell>
          <cell r="M164">
            <v>1</v>
          </cell>
          <cell r="N164">
            <v>1</v>
          </cell>
          <cell r="O164"/>
          <cell r="P164">
            <v>1</v>
          </cell>
          <cell r="Q164">
            <v>1</v>
          </cell>
          <cell r="R164">
            <v>1</v>
          </cell>
          <cell r="S164">
            <v>1</v>
          </cell>
          <cell r="T164">
            <v>1</v>
          </cell>
          <cell r="U164">
            <v>1</v>
          </cell>
          <cell r="V164">
            <v>1</v>
          </cell>
          <cell r="W164"/>
          <cell r="X164"/>
          <cell r="Y164"/>
          <cell r="Z164">
            <v>1</v>
          </cell>
          <cell r="AA164"/>
          <cell r="AB164">
            <v>1</v>
          </cell>
          <cell r="AC164">
            <v>1</v>
          </cell>
          <cell r="AD164">
            <v>1</v>
          </cell>
          <cell r="AE164">
            <v>1</v>
          </cell>
          <cell r="AF164"/>
          <cell r="AG164"/>
          <cell r="AH164"/>
          <cell r="AI164">
            <v>1</v>
          </cell>
          <cell r="AJ164">
            <v>1</v>
          </cell>
          <cell r="AK164"/>
          <cell r="AL164"/>
          <cell r="AM164">
            <v>1</v>
          </cell>
          <cell r="AN164"/>
          <cell r="AO164"/>
          <cell r="AP164"/>
          <cell r="AQ164">
            <v>1</v>
          </cell>
          <cell r="AR164"/>
          <cell r="AS164"/>
          <cell r="AT164"/>
          <cell r="AU164"/>
          <cell r="AV164">
            <v>1</v>
          </cell>
          <cell r="AW164">
            <v>1</v>
          </cell>
          <cell r="AX164"/>
          <cell r="AY164">
            <v>1</v>
          </cell>
          <cell r="AZ164"/>
          <cell r="BA164">
            <v>1</v>
          </cell>
          <cell r="BB164">
            <v>1</v>
          </cell>
          <cell r="BC164">
            <v>1</v>
          </cell>
          <cell r="BD164">
            <v>1</v>
          </cell>
          <cell r="BE164"/>
          <cell r="BF164"/>
          <cell r="BG164">
            <v>1</v>
          </cell>
          <cell r="BH164"/>
          <cell r="BI164"/>
          <cell r="BJ164"/>
          <cell r="BK164">
            <v>36</v>
          </cell>
        </row>
        <row r="165">
          <cell r="B165" t="str">
            <v>충청남도 예산군</v>
          </cell>
          <cell r="C165">
            <v>1</v>
          </cell>
          <cell r="D165">
            <v>1</v>
          </cell>
          <cell r="E165">
            <v>1</v>
          </cell>
          <cell r="F165">
            <v>1</v>
          </cell>
          <cell r="G165">
            <v>1</v>
          </cell>
          <cell r="H165">
            <v>1</v>
          </cell>
          <cell r="I165">
            <v>1</v>
          </cell>
          <cell r="J165">
            <v>1</v>
          </cell>
          <cell r="K165">
            <v>1</v>
          </cell>
          <cell r="L165">
            <v>1</v>
          </cell>
          <cell r="M165">
            <v>1</v>
          </cell>
          <cell r="N165">
            <v>1</v>
          </cell>
          <cell r="O165"/>
          <cell r="P165">
            <v>1</v>
          </cell>
          <cell r="Q165">
            <v>1</v>
          </cell>
          <cell r="R165"/>
          <cell r="S165">
            <v>1</v>
          </cell>
          <cell r="T165">
            <v>1</v>
          </cell>
          <cell r="U165">
            <v>1</v>
          </cell>
          <cell r="V165">
            <v>1</v>
          </cell>
          <cell r="W165"/>
          <cell r="X165"/>
          <cell r="Y165"/>
          <cell r="Z165">
            <v>1</v>
          </cell>
          <cell r="AA165">
            <v>1</v>
          </cell>
          <cell r="AB165">
            <v>1</v>
          </cell>
          <cell r="AC165">
            <v>1</v>
          </cell>
          <cell r="AD165">
            <v>1</v>
          </cell>
          <cell r="AE165"/>
          <cell r="AF165"/>
          <cell r="AG165">
            <v>1</v>
          </cell>
          <cell r="AH165">
            <v>1</v>
          </cell>
          <cell r="AI165">
            <v>1</v>
          </cell>
          <cell r="AJ165">
            <v>1</v>
          </cell>
          <cell r="AK165">
            <v>1</v>
          </cell>
          <cell r="AL165"/>
          <cell r="AM165">
            <v>1</v>
          </cell>
          <cell r="AN165">
            <v>1</v>
          </cell>
          <cell r="AO165"/>
          <cell r="AP165">
            <v>1</v>
          </cell>
          <cell r="AQ165"/>
          <cell r="AR165">
            <v>1</v>
          </cell>
          <cell r="AS165">
            <v>1</v>
          </cell>
          <cell r="AT165"/>
          <cell r="AU165">
            <v>1</v>
          </cell>
          <cell r="AV165"/>
          <cell r="AW165">
            <v>1</v>
          </cell>
          <cell r="AX165">
            <v>1</v>
          </cell>
          <cell r="AY165">
            <v>1</v>
          </cell>
          <cell r="AZ165"/>
          <cell r="BA165"/>
          <cell r="BB165">
            <v>1</v>
          </cell>
          <cell r="BC165"/>
          <cell r="BD165"/>
          <cell r="BE165">
            <v>1</v>
          </cell>
          <cell r="BF165"/>
          <cell r="BG165">
            <v>1</v>
          </cell>
          <cell r="BH165"/>
          <cell r="BI165"/>
          <cell r="BJ165"/>
          <cell r="BK165">
            <v>40</v>
          </cell>
        </row>
        <row r="166">
          <cell r="B166" t="str">
            <v>충청남도 태안군</v>
          </cell>
          <cell r="C166">
            <v>1</v>
          </cell>
          <cell r="D166">
            <v>1</v>
          </cell>
          <cell r="E166">
            <v>1</v>
          </cell>
          <cell r="F166">
            <v>1</v>
          </cell>
          <cell r="G166">
            <v>1</v>
          </cell>
          <cell r="H166">
            <v>1</v>
          </cell>
          <cell r="I166">
            <v>1</v>
          </cell>
          <cell r="J166">
            <v>1</v>
          </cell>
          <cell r="K166">
            <v>1</v>
          </cell>
          <cell r="L166">
            <v>1</v>
          </cell>
          <cell r="M166">
            <v>1</v>
          </cell>
          <cell r="N166">
            <v>1</v>
          </cell>
          <cell r="O166"/>
          <cell r="P166">
            <v>1</v>
          </cell>
          <cell r="Q166">
            <v>1</v>
          </cell>
          <cell r="R166">
            <v>1</v>
          </cell>
          <cell r="S166">
            <v>1</v>
          </cell>
          <cell r="T166">
            <v>1</v>
          </cell>
          <cell r="U166">
            <v>1</v>
          </cell>
          <cell r="V166">
            <v>1</v>
          </cell>
          <cell r="W166"/>
          <cell r="X166"/>
          <cell r="Y166">
            <v>1</v>
          </cell>
          <cell r="Z166"/>
          <cell r="AA166">
            <v>1</v>
          </cell>
          <cell r="AB166">
            <v>1</v>
          </cell>
          <cell r="AC166">
            <v>1</v>
          </cell>
          <cell r="AD166"/>
          <cell r="AE166">
            <v>1</v>
          </cell>
          <cell r="AF166"/>
          <cell r="AG166"/>
          <cell r="AH166"/>
          <cell r="AI166">
            <v>1</v>
          </cell>
          <cell r="AJ166">
            <v>1</v>
          </cell>
          <cell r="AK166"/>
          <cell r="AL166"/>
          <cell r="AM166">
            <v>1</v>
          </cell>
          <cell r="AN166">
            <v>1</v>
          </cell>
          <cell r="AO166"/>
          <cell r="AP166">
            <v>1</v>
          </cell>
          <cell r="AQ166"/>
          <cell r="AR166">
            <v>1</v>
          </cell>
          <cell r="AS166">
            <v>1</v>
          </cell>
          <cell r="AT166"/>
          <cell r="AU166">
            <v>1</v>
          </cell>
          <cell r="AV166"/>
          <cell r="AW166">
            <v>1</v>
          </cell>
          <cell r="AX166"/>
          <cell r="AY166">
            <v>1</v>
          </cell>
          <cell r="AZ166"/>
          <cell r="BA166">
            <v>1</v>
          </cell>
          <cell r="BB166">
            <v>1</v>
          </cell>
          <cell r="BC166"/>
          <cell r="BD166"/>
          <cell r="BE166"/>
          <cell r="BF166"/>
          <cell r="BG166">
            <v>1</v>
          </cell>
          <cell r="BH166"/>
          <cell r="BI166"/>
          <cell r="BJ166"/>
          <cell r="BK166">
            <v>37</v>
          </cell>
        </row>
        <row r="167">
          <cell r="B167" t="str">
            <v>전라북도</v>
          </cell>
          <cell r="C167"/>
          <cell r="D167"/>
          <cell r="E167"/>
          <cell r="F167"/>
          <cell r="G167">
            <v>1</v>
          </cell>
          <cell r="H167"/>
          <cell r="I167">
            <v>1</v>
          </cell>
          <cell r="J167"/>
          <cell r="K167">
            <v>1</v>
          </cell>
          <cell r="L167"/>
          <cell r="M167">
            <v>1</v>
          </cell>
          <cell r="N167"/>
          <cell r="O167"/>
          <cell r="P167"/>
          <cell r="Q167"/>
          <cell r="R167"/>
          <cell r="S167">
            <v>1</v>
          </cell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/>
          <cell r="AS167"/>
          <cell r="AT167"/>
          <cell r="AU167"/>
          <cell r="AV167"/>
          <cell r="AW167"/>
          <cell r="AX167"/>
          <cell r="AY167"/>
          <cell r="AZ167"/>
          <cell r="BA167"/>
          <cell r="BB167"/>
          <cell r="BC167"/>
          <cell r="BD167"/>
          <cell r="BE167"/>
          <cell r="BF167"/>
          <cell r="BG167"/>
          <cell r="BH167"/>
          <cell r="BI167"/>
          <cell r="BJ167"/>
          <cell r="BK167">
            <v>5</v>
          </cell>
        </row>
        <row r="168">
          <cell r="B168" t="str">
            <v>전라북도 전주시</v>
          </cell>
          <cell r="C168">
            <v>1</v>
          </cell>
          <cell r="D168">
            <v>1</v>
          </cell>
          <cell r="E168">
            <v>1</v>
          </cell>
          <cell r="F168">
            <v>1</v>
          </cell>
          <cell r="G168"/>
          <cell r="H168">
            <v>1</v>
          </cell>
          <cell r="I168">
            <v>1</v>
          </cell>
          <cell r="J168">
            <v>1</v>
          </cell>
          <cell r="K168"/>
          <cell r="L168">
            <v>1</v>
          </cell>
          <cell r="M168"/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1</v>
          </cell>
          <cell r="S168">
            <v>1</v>
          </cell>
          <cell r="T168">
            <v>1</v>
          </cell>
          <cell r="U168">
            <v>1</v>
          </cell>
          <cell r="V168">
            <v>1</v>
          </cell>
          <cell r="W168"/>
          <cell r="X168">
            <v>1</v>
          </cell>
          <cell r="Y168">
            <v>1</v>
          </cell>
          <cell r="Z168">
            <v>1</v>
          </cell>
          <cell r="AA168">
            <v>1</v>
          </cell>
          <cell r="AB168">
            <v>1</v>
          </cell>
          <cell r="AC168"/>
          <cell r="AD168">
            <v>1</v>
          </cell>
          <cell r="AE168">
            <v>1</v>
          </cell>
          <cell r="AF168"/>
          <cell r="AG168"/>
          <cell r="AH168"/>
          <cell r="AI168">
            <v>1</v>
          </cell>
          <cell r="AJ168">
            <v>1</v>
          </cell>
          <cell r="AK168"/>
          <cell r="AL168"/>
          <cell r="AM168"/>
          <cell r="AN168"/>
          <cell r="AO168"/>
          <cell r="AP168"/>
          <cell r="AQ168"/>
          <cell r="AR168"/>
          <cell r="AS168"/>
          <cell r="AT168"/>
          <cell r="AU168">
            <v>1</v>
          </cell>
          <cell r="AV168"/>
          <cell r="AW168">
            <v>1</v>
          </cell>
          <cell r="AX168"/>
          <cell r="AY168"/>
          <cell r="AZ168"/>
          <cell r="BA168"/>
          <cell r="BB168">
            <v>1</v>
          </cell>
          <cell r="BC168"/>
          <cell r="BD168"/>
          <cell r="BE168">
            <v>1</v>
          </cell>
          <cell r="BF168"/>
          <cell r="BG168"/>
          <cell r="BH168"/>
          <cell r="BI168"/>
          <cell r="BJ168"/>
          <cell r="BK168">
            <v>30</v>
          </cell>
        </row>
        <row r="169">
          <cell r="B169" t="str">
            <v>전라북도 군산시</v>
          </cell>
          <cell r="C169">
            <v>1</v>
          </cell>
          <cell r="D169">
            <v>1</v>
          </cell>
          <cell r="E169">
            <v>1</v>
          </cell>
          <cell r="F169">
            <v>1</v>
          </cell>
          <cell r="G169">
            <v>1</v>
          </cell>
          <cell r="H169">
            <v>1</v>
          </cell>
          <cell r="I169">
            <v>1</v>
          </cell>
          <cell r="J169">
            <v>1</v>
          </cell>
          <cell r="K169"/>
          <cell r="L169">
            <v>1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1</v>
          </cell>
          <cell r="S169">
            <v>1</v>
          </cell>
          <cell r="T169">
            <v>1</v>
          </cell>
          <cell r="U169">
            <v>1</v>
          </cell>
          <cell r="V169">
            <v>1</v>
          </cell>
          <cell r="W169"/>
          <cell r="X169"/>
          <cell r="Y169"/>
          <cell r="Z169">
            <v>1</v>
          </cell>
          <cell r="AA169">
            <v>1</v>
          </cell>
          <cell r="AB169">
            <v>1</v>
          </cell>
          <cell r="AC169">
            <v>1</v>
          </cell>
          <cell r="AD169"/>
          <cell r="AE169">
            <v>1</v>
          </cell>
          <cell r="AF169"/>
          <cell r="AG169">
            <v>1</v>
          </cell>
          <cell r="AH169">
            <v>1</v>
          </cell>
          <cell r="AI169">
            <v>1</v>
          </cell>
          <cell r="AJ169">
            <v>1</v>
          </cell>
          <cell r="AK169"/>
          <cell r="AL169">
            <v>1</v>
          </cell>
          <cell r="AM169">
            <v>1</v>
          </cell>
          <cell r="AN169"/>
          <cell r="AO169"/>
          <cell r="AP169">
            <v>1</v>
          </cell>
          <cell r="AQ169">
            <v>1</v>
          </cell>
          <cell r="AR169"/>
          <cell r="AS169"/>
          <cell r="AT169"/>
          <cell r="AU169">
            <v>1</v>
          </cell>
          <cell r="AV169"/>
          <cell r="AW169">
            <v>1</v>
          </cell>
          <cell r="AX169">
            <v>1</v>
          </cell>
          <cell r="AY169"/>
          <cell r="AZ169"/>
          <cell r="BA169">
            <v>1</v>
          </cell>
          <cell r="BB169">
            <v>1</v>
          </cell>
          <cell r="BC169"/>
          <cell r="BD169"/>
          <cell r="BE169"/>
          <cell r="BF169"/>
          <cell r="BG169">
            <v>1</v>
          </cell>
          <cell r="BH169"/>
          <cell r="BI169"/>
          <cell r="BJ169"/>
          <cell r="BK169">
            <v>38</v>
          </cell>
        </row>
        <row r="170">
          <cell r="B170" t="str">
            <v>전라북도 익산시</v>
          </cell>
          <cell r="C170">
            <v>1</v>
          </cell>
          <cell r="D170">
            <v>1</v>
          </cell>
          <cell r="E170">
            <v>1</v>
          </cell>
          <cell r="F170">
            <v>1</v>
          </cell>
          <cell r="G170">
            <v>1</v>
          </cell>
          <cell r="H170">
            <v>1</v>
          </cell>
          <cell r="I170">
            <v>1</v>
          </cell>
          <cell r="J170">
            <v>1</v>
          </cell>
          <cell r="K170"/>
          <cell r="L170">
            <v>1</v>
          </cell>
          <cell r="M170">
            <v>1</v>
          </cell>
          <cell r="N170">
            <v>1</v>
          </cell>
          <cell r="O170"/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  <cell r="V170">
            <v>1</v>
          </cell>
          <cell r="W170"/>
          <cell r="X170">
            <v>1</v>
          </cell>
          <cell r="Y170">
            <v>1</v>
          </cell>
          <cell r="Z170">
            <v>1</v>
          </cell>
          <cell r="AA170">
            <v>1</v>
          </cell>
          <cell r="AB170">
            <v>1</v>
          </cell>
          <cell r="AC170">
            <v>1</v>
          </cell>
          <cell r="AD170">
            <v>1</v>
          </cell>
          <cell r="AE170">
            <v>1</v>
          </cell>
          <cell r="AF170"/>
          <cell r="AG170">
            <v>1</v>
          </cell>
          <cell r="AH170">
            <v>1</v>
          </cell>
          <cell r="AI170">
            <v>1</v>
          </cell>
          <cell r="AJ170">
            <v>1</v>
          </cell>
          <cell r="AK170">
            <v>1</v>
          </cell>
          <cell r="AL170"/>
          <cell r="AM170">
            <v>1</v>
          </cell>
          <cell r="AN170"/>
          <cell r="AO170"/>
          <cell r="AP170"/>
          <cell r="AQ170"/>
          <cell r="AR170">
            <v>1</v>
          </cell>
          <cell r="AS170"/>
          <cell r="AT170"/>
          <cell r="AU170">
            <v>1</v>
          </cell>
          <cell r="AV170"/>
          <cell r="AW170">
            <v>1</v>
          </cell>
          <cell r="AX170">
            <v>1</v>
          </cell>
          <cell r="AY170"/>
          <cell r="AZ170"/>
          <cell r="BA170">
            <v>1</v>
          </cell>
          <cell r="BB170">
            <v>1</v>
          </cell>
          <cell r="BC170">
            <v>1</v>
          </cell>
          <cell r="BD170">
            <v>1</v>
          </cell>
          <cell r="BE170"/>
          <cell r="BF170">
            <v>1</v>
          </cell>
          <cell r="BG170">
            <v>1</v>
          </cell>
          <cell r="BH170"/>
          <cell r="BI170"/>
          <cell r="BJ170"/>
          <cell r="BK170">
            <v>42</v>
          </cell>
        </row>
        <row r="171">
          <cell r="B171" t="str">
            <v>전라북도 정읍시</v>
          </cell>
          <cell r="C171">
            <v>1</v>
          </cell>
          <cell r="D171">
            <v>1</v>
          </cell>
          <cell r="E171">
            <v>1</v>
          </cell>
          <cell r="F171">
            <v>1</v>
          </cell>
          <cell r="G171">
            <v>1</v>
          </cell>
          <cell r="H171">
            <v>1</v>
          </cell>
          <cell r="I171">
            <v>1</v>
          </cell>
          <cell r="J171">
            <v>1</v>
          </cell>
          <cell r="K171"/>
          <cell r="L171">
            <v>1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1</v>
          </cell>
          <cell r="S171">
            <v>1</v>
          </cell>
          <cell r="T171">
            <v>1</v>
          </cell>
          <cell r="U171">
            <v>1</v>
          </cell>
          <cell r="V171"/>
          <cell r="W171"/>
          <cell r="X171"/>
          <cell r="Y171"/>
          <cell r="Z171">
            <v>1</v>
          </cell>
          <cell r="AA171">
            <v>1</v>
          </cell>
          <cell r="AB171">
            <v>1</v>
          </cell>
          <cell r="AC171"/>
          <cell r="AD171">
            <v>1</v>
          </cell>
          <cell r="AE171">
            <v>1</v>
          </cell>
          <cell r="AF171"/>
          <cell r="AG171"/>
          <cell r="AH171">
            <v>1</v>
          </cell>
          <cell r="AI171">
            <v>1</v>
          </cell>
          <cell r="AJ171">
            <v>1</v>
          </cell>
          <cell r="AK171"/>
          <cell r="AL171"/>
          <cell r="AM171"/>
          <cell r="AN171"/>
          <cell r="AO171"/>
          <cell r="AP171">
            <v>1</v>
          </cell>
          <cell r="AQ171">
            <v>1</v>
          </cell>
          <cell r="AR171"/>
          <cell r="AS171"/>
          <cell r="AT171"/>
          <cell r="AU171">
            <v>1</v>
          </cell>
          <cell r="AV171">
            <v>1</v>
          </cell>
          <cell r="AW171">
            <v>1</v>
          </cell>
          <cell r="AX171"/>
          <cell r="AY171">
            <v>1</v>
          </cell>
          <cell r="AZ171"/>
          <cell r="BA171">
            <v>1</v>
          </cell>
          <cell r="BB171"/>
          <cell r="BC171"/>
          <cell r="BD171"/>
          <cell r="BE171"/>
          <cell r="BF171"/>
          <cell r="BG171">
            <v>1</v>
          </cell>
          <cell r="BH171"/>
          <cell r="BI171"/>
          <cell r="BJ171"/>
          <cell r="BK171">
            <v>34</v>
          </cell>
        </row>
        <row r="172">
          <cell r="B172" t="str">
            <v>전라북도 남원시</v>
          </cell>
          <cell r="C172">
            <v>1</v>
          </cell>
          <cell r="D172">
            <v>1</v>
          </cell>
          <cell r="E172">
            <v>1</v>
          </cell>
          <cell r="F172">
            <v>1</v>
          </cell>
          <cell r="G172">
            <v>1</v>
          </cell>
          <cell r="H172">
            <v>1</v>
          </cell>
          <cell r="I172">
            <v>1</v>
          </cell>
          <cell r="J172">
            <v>1</v>
          </cell>
          <cell r="K172">
            <v>1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/>
          <cell r="S172">
            <v>1</v>
          </cell>
          <cell r="T172">
            <v>1</v>
          </cell>
          <cell r="U172">
            <v>1</v>
          </cell>
          <cell r="V172">
            <v>1</v>
          </cell>
          <cell r="W172"/>
          <cell r="X172"/>
          <cell r="Y172"/>
          <cell r="Z172">
            <v>1</v>
          </cell>
          <cell r="AA172">
            <v>1</v>
          </cell>
          <cell r="AB172">
            <v>1</v>
          </cell>
          <cell r="AC172">
            <v>1</v>
          </cell>
          <cell r="AD172"/>
          <cell r="AE172"/>
          <cell r="AF172"/>
          <cell r="AG172"/>
          <cell r="AH172">
            <v>1</v>
          </cell>
          <cell r="AI172">
            <v>1</v>
          </cell>
          <cell r="AJ172">
            <v>1</v>
          </cell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>
            <v>1</v>
          </cell>
          <cell r="AV172"/>
          <cell r="AW172"/>
          <cell r="AX172">
            <v>1</v>
          </cell>
          <cell r="AY172">
            <v>1</v>
          </cell>
          <cell r="AZ172"/>
          <cell r="BA172">
            <v>1</v>
          </cell>
          <cell r="BB172">
            <v>1</v>
          </cell>
          <cell r="BC172"/>
          <cell r="BD172"/>
          <cell r="BE172"/>
          <cell r="BF172"/>
          <cell r="BG172">
            <v>1</v>
          </cell>
          <cell r="BH172"/>
          <cell r="BI172"/>
          <cell r="BJ172"/>
          <cell r="BK172">
            <v>32</v>
          </cell>
        </row>
        <row r="173">
          <cell r="B173" t="str">
            <v>전라북도 김제시</v>
          </cell>
          <cell r="C173">
            <v>1</v>
          </cell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/>
          <cell r="S173">
            <v>1</v>
          </cell>
          <cell r="T173">
            <v>1</v>
          </cell>
          <cell r="U173"/>
          <cell r="V173"/>
          <cell r="W173"/>
          <cell r="X173"/>
          <cell r="Y173"/>
          <cell r="Z173">
            <v>1</v>
          </cell>
          <cell r="AA173"/>
          <cell r="AB173">
            <v>1</v>
          </cell>
          <cell r="AC173"/>
          <cell r="AD173"/>
          <cell r="AE173"/>
          <cell r="AF173"/>
          <cell r="AG173">
            <v>1</v>
          </cell>
          <cell r="AH173">
            <v>1</v>
          </cell>
          <cell r="AI173">
            <v>1</v>
          </cell>
          <cell r="AJ173">
            <v>1</v>
          </cell>
          <cell r="AK173"/>
          <cell r="AL173"/>
          <cell r="AM173"/>
          <cell r="AN173"/>
          <cell r="AO173"/>
          <cell r="AP173"/>
          <cell r="AQ173"/>
          <cell r="AR173"/>
          <cell r="AS173"/>
          <cell r="AT173"/>
          <cell r="AU173"/>
          <cell r="AV173"/>
          <cell r="AW173"/>
          <cell r="AX173"/>
          <cell r="AY173"/>
          <cell r="AZ173"/>
          <cell r="BA173"/>
          <cell r="BB173"/>
          <cell r="BC173"/>
          <cell r="BD173"/>
          <cell r="BE173">
            <v>1</v>
          </cell>
          <cell r="BF173"/>
          <cell r="BG173"/>
          <cell r="BH173"/>
          <cell r="BI173"/>
          <cell r="BJ173"/>
          <cell r="BK173">
            <v>14</v>
          </cell>
        </row>
        <row r="174">
          <cell r="B174" t="str">
            <v>전라북도 완주군</v>
          </cell>
          <cell r="C174">
            <v>1</v>
          </cell>
          <cell r="D174">
            <v>1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>
            <v>1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/>
          <cell r="P174">
            <v>1</v>
          </cell>
          <cell r="Q174">
            <v>1</v>
          </cell>
          <cell r="R174"/>
          <cell r="S174">
            <v>1</v>
          </cell>
          <cell r="T174">
            <v>1</v>
          </cell>
          <cell r="U174">
            <v>1</v>
          </cell>
          <cell r="V174">
            <v>1</v>
          </cell>
          <cell r="W174"/>
          <cell r="X174"/>
          <cell r="Y174"/>
          <cell r="Z174"/>
          <cell r="AA174"/>
          <cell r="AB174">
            <v>1</v>
          </cell>
          <cell r="AC174">
            <v>1</v>
          </cell>
          <cell r="AD174">
            <v>1</v>
          </cell>
          <cell r="AE174">
            <v>1</v>
          </cell>
          <cell r="AF174">
            <v>1</v>
          </cell>
          <cell r="AG174">
            <v>1</v>
          </cell>
          <cell r="AH174">
            <v>1</v>
          </cell>
          <cell r="AI174">
            <v>1</v>
          </cell>
          <cell r="AJ174">
            <v>1</v>
          </cell>
          <cell r="AK174">
            <v>1</v>
          </cell>
          <cell r="AL174">
            <v>1</v>
          </cell>
          <cell r="AM174">
            <v>1</v>
          </cell>
          <cell r="AN174"/>
          <cell r="AO174"/>
          <cell r="AP174"/>
          <cell r="AQ174"/>
          <cell r="AR174">
            <v>1</v>
          </cell>
          <cell r="AS174"/>
          <cell r="AT174"/>
          <cell r="AU174">
            <v>1</v>
          </cell>
          <cell r="AV174"/>
          <cell r="AW174">
            <v>1</v>
          </cell>
          <cell r="AX174"/>
          <cell r="AY174">
            <v>1</v>
          </cell>
          <cell r="AZ174"/>
          <cell r="BA174"/>
          <cell r="BB174">
            <v>1</v>
          </cell>
          <cell r="BC174"/>
          <cell r="BD174"/>
          <cell r="BE174"/>
          <cell r="BF174"/>
          <cell r="BG174"/>
          <cell r="BH174"/>
          <cell r="BI174"/>
          <cell r="BJ174"/>
          <cell r="BK174">
            <v>35</v>
          </cell>
        </row>
        <row r="175">
          <cell r="B175" t="str">
            <v>전라북도 진안군</v>
          </cell>
          <cell r="C175">
            <v>1</v>
          </cell>
          <cell r="D175">
            <v>1</v>
          </cell>
          <cell r="E175">
            <v>1</v>
          </cell>
          <cell r="F175">
            <v>1</v>
          </cell>
          <cell r="G175">
            <v>1</v>
          </cell>
          <cell r="H175">
            <v>1</v>
          </cell>
          <cell r="I175">
            <v>1</v>
          </cell>
          <cell r="J175">
            <v>1</v>
          </cell>
          <cell r="K175">
            <v>1</v>
          </cell>
          <cell r="L175"/>
          <cell r="M175">
            <v>1</v>
          </cell>
          <cell r="N175">
            <v>1</v>
          </cell>
          <cell r="O175"/>
          <cell r="P175">
            <v>1</v>
          </cell>
          <cell r="Q175">
            <v>1</v>
          </cell>
          <cell r="R175"/>
          <cell r="S175">
            <v>1</v>
          </cell>
          <cell r="T175">
            <v>1</v>
          </cell>
          <cell r="U175">
            <v>1</v>
          </cell>
          <cell r="V175">
            <v>1</v>
          </cell>
          <cell r="W175"/>
          <cell r="X175"/>
          <cell r="Y175">
            <v>1</v>
          </cell>
          <cell r="Z175"/>
          <cell r="AA175"/>
          <cell r="AB175">
            <v>1</v>
          </cell>
          <cell r="AC175">
            <v>1</v>
          </cell>
          <cell r="AD175">
            <v>1</v>
          </cell>
          <cell r="AE175">
            <v>1</v>
          </cell>
          <cell r="AF175"/>
          <cell r="AG175">
            <v>1</v>
          </cell>
          <cell r="AH175"/>
          <cell r="AI175">
            <v>1</v>
          </cell>
          <cell r="AJ175">
            <v>1</v>
          </cell>
          <cell r="AK175"/>
          <cell r="AL175"/>
          <cell r="AM175">
            <v>1</v>
          </cell>
          <cell r="AN175">
            <v>1</v>
          </cell>
          <cell r="AO175"/>
          <cell r="AP175">
            <v>1</v>
          </cell>
          <cell r="AQ175"/>
          <cell r="AR175">
            <v>1</v>
          </cell>
          <cell r="AS175">
            <v>1</v>
          </cell>
          <cell r="AT175"/>
          <cell r="AU175">
            <v>1</v>
          </cell>
          <cell r="AV175"/>
          <cell r="AW175">
            <v>1</v>
          </cell>
          <cell r="AX175"/>
          <cell r="AY175"/>
          <cell r="AZ175"/>
          <cell r="BA175">
            <v>1</v>
          </cell>
          <cell r="BB175">
            <v>1</v>
          </cell>
          <cell r="BC175"/>
          <cell r="BD175"/>
          <cell r="BE175">
            <v>1</v>
          </cell>
          <cell r="BF175"/>
          <cell r="BG175">
            <v>1</v>
          </cell>
          <cell r="BH175"/>
          <cell r="BI175"/>
          <cell r="BJ175"/>
          <cell r="BK175">
            <v>36</v>
          </cell>
        </row>
        <row r="176">
          <cell r="B176" t="str">
            <v>전라북도 무주군</v>
          </cell>
          <cell r="C176">
            <v>1</v>
          </cell>
          <cell r="D176">
            <v>1</v>
          </cell>
          <cell r="E176">
            <v>1</v>
          </cell>
          <cell r="F176">
            <v>1</v>
          </cell>
          <cell r="G176">
            <v>1</v>
          </cell>
          <cell r="H176">
            <v>1</v>
          </cell>
          <cell r="I176">
            <v>1</v>
          </cell>
          <cell r="J176">
            <v>1</v>
          </cell>
          <cell r="K176">
            <v>1</v>
          </cell>
          <cell r="L176">
            <v>1</v>
          </cell>
          <cell r="M176">
            <v>1</v>
          </cell>
          <cell r="N176">
            <v>1</v>
          </cell>
          <cell r="O176"/>
          <cell r="P176">
            <v>1</v>
          </cell>
          <cell r="Q176">
            <v>1</v>
          </cell>
          <cell r="R176"/>
          <cell r="S176">
            <v>1</v>
          </cell>
          <cell r="T176">
            <v>1</v>
          </cell>
          <cell r="U176">
            <v>1</v>
          </cell>
          <cell r="V176">
            <v>1</v>
          </cell>
          <cell r="W176"/>
          <cell r="X176"/>
          <cell r="Y176"/>
          <cell r="Z176"/>
          <cell r="AA176">
            <v>1</v>
          </cell>
          <cell r="AB176">
            <v>1</v>
          </cell>
          <cell r="AC176">
            <v>1</v>
          </cell>
          <cell r="AD176">
            <v>1</v>
          </cell>
          <cell r="AE176">
            <v>1</v>
          </cell>
          <cell r="AF176"/>
          <cell r="AG176"/>
          <cell r="AH176"/>
          <cell r="AI176"/>
          <cell r="AJ176">
            <v>1</v>
          </cell>
          <cell r="AK176"/>
          <cell r="AL176"/>
          <cell r="AM176"/>
          <cell r="AN176"/>
          <cell r="AO176"/>
          <cell r="AP176"/>
          <cell r="AQ176">
            <v>1</v>
          </cell>
          <cell r="AR176"/>
          <cell r="AS176">
            <v>1</v>
          </cell>
          <cell r="AT176"/>
          <cell r="AU176">
            <v>1</v>
          </cell>
          <cell r="AV176">
            <v>1</v>
          </cell>
          <cell r="AW176">
            <v>1</v>
          </cell>
          <cell r="AX176"/>
          <cell r="AY176"/>
          <cell r="AZ176"/>
          <cell r="BA176"/>
          <cell r="BB176">
            <v>1</v>
          </cell>
          <cell r="BC176"/>
          <cell r="BD176"/>
          <cell r="BE176"/>
          <cell r="BF176"/>
          <cell r="BG176">
            <v>1</v>
          </cell>
          <cell r="BH176"/>
          <cell r="BI176"/>
          <cell r="BJ176"/>
          <cell r="BK176">
            <v>31</v>
          </cell>
        </row>
        <row r="177">
          <cell r="B177" t="str">
            <v>전라북도 장수군</v>
          </cell>
          <cell r="C177">
            <v>1</v>
          </cell>
          <cell r="D177">
            <v>1</v>
          </cell>
          <cell r="E177">
            <v>1</v>
          </cell>
          <cell r="F177">
            <v>1</v>
          </cell>
          <cell r="G177">
            <v>1</v>
          </cell>
          <cell r="H177">
            <v>1</v>
          </cell>
          <cell r="I177">
            <v>1</v>
          </cell>
          <cell r="J177">
            <v>1</v>
          </cell>
          <cell r="K177">
            <v>1</v>
          </cell>
          <cell r="L177">
            <v>1</v>
          </cell>
          <cell r="M177">
            <v>1</v>
          </cell>
          <cell r="N177">
            <v>1</v>
          </cell>
          <cell r="O177"/>
          <cell r="P177">
            <v>1</v>
          </cell>
          <cell r="Q177">
            <v>1</v>
          </cell>
          <cell r="R177"/>
          <cell r="S177">
            <v>1</v>
          </cell>
          <cell r="T177">
            <v>1</v>
          </cell>
          <cell r="U177">
            <v>1</v>
          </cell>
          <cell r="V177">
            <v>1</v>
          </cell>
          <cell r="W177"/>
          <cell r="X177"/>
          <cell r="Y177"/>
          <cell r="Z177"/>
          <cell r="AA177">
            <v>1</v>
          </cell>
          <cell r="AB177">
            <v>1</v>
          </cell>
          <cell r="AC177">
            <v>1</v>
          </cell>
          <cell r="AD177">
            <v>1</v>
          </cell>
          <cell r="AE177">
            <v>1</v>
          </cell>
          <cell r="AF177"/>
          <cell r="AG177"/>
          <cell r="AH177"/>
          <cell r="AI177">
            <v>1</v>
          </cell>
          <cell r="AJ177">
            <v>1</v>
          </cell>
          <cell r="AK177"/>
          <cell r="AL177"/>
          <cell r="AM177"/>
          <cell r="AN177"/>
          <cell r="AO177"/>
          <cell r="AP177"/>
          <cell r="AQ177">
            <v>1</v>
          </cell>
          <cell r="AR177">
            <v>1</v>
          </cell>
          <cell r="AS177"/>
          <cell r="AT177"/>
          <cell r="AU177">
            <v>1</v>
          </cell>
          <cell r="AV177"/>
          <cell r="AW177">
            <v>1</v>
          </cell>
          <cell r="AX177"/>
          <cell r="AY177"/>
          <cell r="AZ177"/>
          <cell r="BA177">
            <v>1</v>
          </cell>
          <cell r="BB177">
            <v>1</v>
          </cell>
          <cell r="BC177"/>
          <cell r="BD177"/>
          <cell r="BE177"/>
          <cell r="BF177"/>
          <cell r="BG177"/>
          <cell r="BH177"/>
          <cell r="BI177"/>
          <cell r="BJ177"/>
          <cell r="BK177">
            <v>31</v>
          </cell>
        </row>
        <row r="178">
          <cell r="B178" t="str">
            <v>전라북도 임실군</v>
          </cell>
          <cell r="C178">
            <v>1</v>
          </cell>
          <cell r="D178">
            <v>1</v>
          </cell>
          <cell r="E178">
            <v>1</v>
          </cell>
          <cell r="F178">
            <v>1</v>
          </cell>
          <cell r="G178"/>
          <cell r="H178">
            <v>1</v>
          </cell>
          <cell r="I178">
            <v>1</v>
          </cell>
          <cell r="J178">
            <v>1</v>
          </cell>
          <cell r="K178">
            <v>1</v>
          </cell>
          <cell r="L178"/>
          <cell r="M178"/>
          <cell r="N178">
            <v>1</v>
          </cell>
          <cell r="O178"/>
          <cell r="P178">
            <v>1</v>
          </cell>
          <cell r="Q178"/>
          <cell r="R178"/>
          <cell r="S178">
            <v>1</v>
          </cell>
          <cell r="T178">
            <v>1</v>
          </cell>
          <cell r="U178">
            <v>1</v>
          </cell>
          <cell r="V178">
            <v>1</v>
          </cell>
          <cell r="W178"/>
          <cell r="X178"/>
          <cell r="Y178">
            <v>1</v>
          </cell>
          <cell r="Z178"/>
          <cell r="AA178"/>
          <cell r="AB178">
            <v>1</v>
          </cell>
          <cell r="AC178">
            <v>1</v>
          </cell>
          <cell r="AD178">
            <v>1</v>
          </cell>
          <cell r="AE178">
            <v>1</v>
          </cell>
          <cell r="AF178"/>
          <cell r="AG178"/>
          <cell r="AH178"/>
          <cell r="AI178">
            <v>1</v>
          </cell>
          <cell r="AJ178">
            <v>1</v>
          </cell>
          <cell r="AK178"/>
          <cell r="AL178"/>
          <cell r="AM178">
            <v>1</v>
          </cell>
          <cell r="AN178"/>
          <cell r="AO178"/>
          <cell r="AP178"/>
          <cell r="AQ178"/>
          <cell r="AR178"/>
          <cell r="AS178"/>
          <cell r="AT178"/>
          <cell r="AU178">
            <v>1</v>
          </cell>
          <cell r="AV178"/>
          <cell r="AW178">
            <v>1</v>
          </cell>
          <cell r="AX178"/>
          <cell r="AY178"/>
          <cell r="AZ178"/>
          <cell r="BA178"/>
          <cell r="BB178"/>
          <cell r="BC178"/>
          <cell r="BD178"/>
          <cell r="BE178"/>
          <cell r="BF178"/>
          <cell r="BG178"/>
          <cell r="BH178"/>
          <cell r="BI178"/>
          <cell r="BJ178"/>
          <cell r="BK178">
            <v>24</v>
          </cell>
        </row>
        <row r="179">
          <cell r="B179" t="str">
            <v>전라북도 순창군</v>
          </cell>
          <cell r="C179">
            <v>1</v>
          </cell>
          <cell r="D179">
            <v>1</v>
          </cell>
          <cell r="E179">
            <v>1</v>
          </cell>
          <cell r="F179">
            <v>1</v>
          </cell>
          <cell r="G179">
            <v>1</v>
          </cell>
          <cell r="H179">
            <v>1</v>
          </cell>
          <cell r="I179">
            <v>1</v>
          </cell>
          <cell r="J179">
            <v>1</v>
          </cell>
          <cell r="K179">
            <v>1</v>
          </cell>
          <cell r="L179">
            <v>1</v>
          </cell>
          <cell r="M179">
            <v>1</v>
          </cell>
          <cell r="N179">
            <v>1</v>
          </cell>
          <cell r="O179"/>
          <cell r="P179">
            <v>1</v>
          </cell>
          <cell r="Q179"/>
          <cell r="R179"/>
          <cell r="S179">
            <v>1</v>
          </cell>
          <cell r="T179">
            <v>1</v>
          </cell>
          <cell r="U179">
            <v>1</v>
          </cell>
          <cell r="V179">
            <v>1</v>
          </cell>
          <cell r="W179"/>
          <cell r="X179"/>
          <cell r="Y179"/>
          <cell r="Z179"/>
          <cell r="AA179">
            <v>1</v>
          </cell>
          <cell r="AB179">
            <v>1</v>
          </cell>
          <cell r="AC179"/>
          <cell r="AD179">
            <v>1</v>
          </cell>
          <cell r="AE179"/>
          <cell r="AF179"/>
          <cell r="AG179"/>
          <cell r="AH179">
            <v>1</v>
          </cell>
          <cell r="AI179">
            <v>1</v>
          </cell>
          <cell r="AJ179">
            <v>1</v>
          </cell>
          <cell r="AK179"/>
          <cell r="AL179"/>
          <cell r="AM179"/>
          <cell r="AN179"/>
          <cell r="AO179"/>
          <cell r="AP179"/>
          <cell r="AQ179"/>
          <cell r="AR179"/>
          <cell r="AS179"/>
          <cell r="AT179"/>
          <cell r="AU179">
            <v>1</v>
          </cell>
          <cell r="AV179"/>
          <cell r="AW179"/>
          <cell r="AX179"/>
          <cell r="AY179"/>
          <cell r="AZ179">
            <v>1</v>
          </cell>
          <cell r="BA179">
            <v>1</v>
          </cell>
          <cell r="BB179">
            <v>1</v>
          </cell>
          <cell r="BC179"/>
          <cell r="BD179"/>
          <cell r="BE179"/>
          <cell r="BF179"/>
          <cell r="BG179"/>
          <cell r="BH179"/>
          <cell r="BI179"/>
          <cell r="BJ179"/>
          <cell r="BK179">
            <v>27</v>
          </cell>
        </row>
        <row r="180">
          <cell r="B180" t="str">
            <v>전라북도 고창군</v>
          </cell>
          <cell r="C180">
            <v>1</v>
          </cell>
          <cell r="D180">
            <v>1</v>
          </cell>
          <cell r="E180">
            <v>1</v>
          </cell>
          <cell r="F180">
            <v>1</v>
          </cell>
          <cell r="G180">
            <v>1</v>
          </cell>
          <cell r="H180">
            <v>1</v>
          </cell>
          <cell r="I180">
            <v>1</v>
          </cell>
          <cell r="J180">
            <v>1</v>
          </cell>
          <cell r="K180"/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/>
          <cell r="R180"/>
          <cell r="S180">
            <v>1</v>
          </cell>
          <cell r="T180">
            <v>1</v>
          </cell>
          <cell r="U180">
            <v>1</v>
          </cell>
          <cell r="V180">
            <v>1</v>
          </cell>
          <cell r="W180"/>
          <cell r="X180"/>
          <cell r="Y180"/>
          <cell r="Z180">
            <v>1</v>
          </cell>
          <cell r="AA180">
            <v>1</v>
          </cell>
          <cell r="AB180">
            <v>1</v>
          </cell>
          <cell r="AC180">
            <v>1</v>
          </cell>
          <cell r="AD180">
            <v>1</v>
          </cell>
          <cell r="AE180">
            <v>1</v>
          </cell>
          <cell r="AF180"/>
          <cell r="AG180"/>
          <cell r="AH180">
            <v>1</v>
          </cell>
          <cell r="AI180">
            <v>1</v>
          </cell>
          <cell r="AJ180">
            <v>1</v>
          </cell>
          <cell r="AK180"/>
          <cell r="AL180"/>
          <cell r="AM180">
            <v>1</v>
          </cell>
          <cell r="AN180"/>
          <cell r="AO180"/>
          <cell r="AP180"/>
          <cell r="AQ180"/>
          <cell r="AR180"/>
          <cell r="AS180"/>
          <cell r="AT180">
            <v>1</v>
          </cell>
          <cell r="AU180">
            <v>1</v>
          </cell>
          <cell r="AV180">
            <v>1</v>
          </cell>
          <cell r="AW180">
            <v>1</v>
          </cell>
          <cell r="AX180"/>
          <cell r="AY180"/>
          <cell r="AZ180"/>
          <cell r="BA180"/>
          <cell r="BB180">
            <v>1</v>
          </cell>
          <cell r="BC180"/>
          <cell r="BD180"/>
          <cell r="BE180"/>
          <cell r="BF180"/>
          <cell r="BG180">
            <v>1</v>
          </cell>
          <cell r="BH180"/>
          <cell r="BI180"/>
          <cell r="BJ180"/>
          <cell r="BK180">
            <v>33</v>
          </cell>
        </row>
        <row r="181">
          <cell r="B181" t="str">
            <v>전라북도 부안군</v>
          </cell>
          <cell r="C181">
            <v>1</v>
          </cell>
          <cell r="D181">
            <v>1</v>
          </cell>
          <cell r="E181">
            <v>1</v>
          </cell>
          <cell r="F181">
            <v>1</v>
          </cell>
          <cell r="G181">
            <v>1</v>
          </cell>
          <cell r="H181">
            <v>1</v>
          </cell>
          <cell r="I181">
            <v>1</v>
          </cell>
          <cell r="J181">
            <v>1</v>
          </cell>
          <cell r="K181">
            <v>1</v>
          </cell>
          <cell r="L181">
            <v>1</v>
          </cell>
          <cell r="M181">
            <v>1</v>
          </cell>
          <cell r="N181">
            <v>1</v>
          </cell>
          <cell r="O181"/>
          <cell r="P181">
            <v>1</v>
          </cell>
          <cell r="Q181">
            <v>1</v>
          </cell>
          <cell r="R181"/>
          <cell r="S181">
            <v>1</v>
          </cell>
          <cell r="T181">
            <v>1</v>
          </cell>
          <cell r="U181">
            <v>1</v>
          </cell>
          <cell r="V181">
            <v>1</v>
          </cell>
          <cell r="W181"/>
          <cell r="X181"/>
          <cell r="Y181"/>
          <cell r="Z181">
            <v>1</v>
          </cell>
          <cell r="AA181">
            <v>1</v>
          </cell>
          <cell r="AB181">
            <v>1</v>
          </cell>
          <cell r="AC181">
            <v>1</v>
          </cell>
          <cell r="AD181">
            <v>1</v>
          </cell>
          <cell r="AE181"/>
          <cell r="AF181"/>
          <cell r="AG181"/>
          <cell r="AH181">
            <v>1</v>
          </cell>
          <cell r="AI181">
            <v>1</v>
          </cell>
          <cell r="AJ181">
            <v>1</v>
          </cell>
          <cell r="AK181"/>
          <cell r="AL181"/>
          <cell r="AM181">
            <v>1</v>
          </cell>
          <cell r="AN181"/>
          <cell r="AO181"/>
          <cell r="AP181"/>
          <cell r="AQ181"/>
          <cell r="AR181">
            <v>1</v>
          </cell>
          <cell r="AS181"/>
          <cell r="AT181"/>
          <cell r="AU181">
            <v>1</v>
          </cell>
          <cell r="AV181"/>
          <cell r="AW181">
            <v>1</v>
          </cell>
          <cell r="AX181"/>
          <cell r="AY181"/>
          <cell r="AZ181"/>
          <cell r="BA181"/>
          <cell r="BB181">
            <v>1</v>
          </cell>
          <cell r="BC181"/>
          <cell r="BD181"/>
          <cell r="BE181"/>
          <cell r="BF181"/>
          <cell r="BG181">
            <v>1</v>
          </cell>
          <cell r="BH181"/>
          <cell r="BI181"/>
          <cell r="BJ181"/>
          <cell r="BK181">
            <v>32</v>
          </cell>
        </row>
        <row r="182">
          <cell r="B182" t="str">
            <v>전라남도</v>
          </cell>
          <cell r="C182"/>
          <cell r="D182">
            <v>1</v>
          </cell>
          <cell r="E182"/>
          <cell r="F182">
            <v>1</v>
          </cell>
          <cell r="G182">
            <v>1</v>
          </cell>
          <cell r="H182"/>
          <cell r="I182">
            <v>1</v>
          </cell>
          <cell r="J182"/>
          <cell r="K182"/>
          <cell r="L182"/>
          <cell r="M182"/>
          <cell r="N182"/>
          <cell r="O182"/>
          <cell r="P182"/>
          <cell r="Q182"/>
          <cell r="R182"/>
          <cell r="S182">
            <v>1</v>
          </cell>
          <cell r="T182"/>
          <cell r="U182">
            <v>1</v>
          </cell>
          <cell r="V182">
            <v>1</v>
          </cell>
          <cell r="W182"/>
          <cell r="X182"/>
          <cell r="Y182"/>
          <cell r="Z182"/>
          <cell r="AA182"/>
          <cell r="AB182">
            <v>1</v>
          </cell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  <cell r="BE182"/>
          <cell r="BF182"/>
          <cell r="BG182"/>
          <cell r="BH182"/>
          <cell r="BI182"/>
          <cell r="BJ182"/>
          <cell r="BK182">
            <v>8</v>
          </cell>
        </row>
        <row r="183">
          <cell r="B183" t="str">
            <v>전라남도 목포시</v>
          </cell>
          <cell r="C183">
            <v>1</v>
          </cell>
          <cell r="D183">
            <v>1</v>
          </cell>
          <cell r="E183">
            <v>1</v>
          </cell>
          <cell r="F183">
            <v>1</v>
          </cell>
          <cell r="G183">
            <v>1</v>
          </cell>
          <cell r="H183">
            <v>1</v>
          </cell>
          <cell r="I183">
            <v>1</v>
          </cell>
          <cell r="J183">
            <v>1</v>
          </cell>
          <cell r="K183">
            <v>1</v>
          </cell>
          <cell r="L183">
            <v>1</v>
          </cell>
          <cell r="M183">
            <v>1</v>
          </cell>
          <cell r="N183">
            <v>1</v>
          </cell>
          <cell r="O183"/>
          <cell r="P183">
            <v>1</v>
          </cell>
          <cell r="Q183">
            <v>1</v>
          </cell>
          <cell r="R183">
            <v>1</v>
          </cell>
          <cell r="S183">
            <v>1</v>
          </cell>
          <cell r="T183"/>
          <cell r="U183">
            <v>1</v>
          </cell>
          <cell r="V183">
            <v>1</v>
          </cell>
          <cell r="W183"/>
          <cell r="X183">
            <v>1</v>
          </cell>
          <cell r="Y183"/>
          <cell r="Z183">
            <v>1</v>
          </cell>
          <cell r="AA183">
            <v>1</v>
          </cell>
          <cell r="AB183">
            <v>1</v>
          </cell>
          <cell r="AC183"/>
          <cell r="AD183">
            <v>1</v>
          </cell>
          <cell r="AE183">
            <v>1</v>
          </cell>
          <cell r="AF183"/>
          <cell r="AG183">
            <v>1</v>
          </cell>
          <cell r="AH183">
            <v>1</v>
          </cell>
          <cell r="AI183">
            <v>1</v>
          </cell>
          <cell r="AJ183">
            <v>1</v>
          </cell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>
            <v>1</v>
          </cell>
          <cell r="AV183"/>
          <cell r="AW183">
            <v>1</v>
          </cell>
          <cell r="AX183"/>
          <cell r="AY183"/>
          <cell r="AZ183"/>
          <cell r="BA183">
            <v>1</v>
          </cell>
          <cell r="BB183">
            <v>1</v>
          </cell>
          <cell r="BC183"/>
          <cell r="BD183"/>
          <cell r="BE183">
            <v>1</v>
          </cell>
          <cell r="BF183"/>
          <cell r="BG183">
            <v>1</v>
          </cell>
          <cell r="BH183"/>
          <cell r="BI183"/>
          <cell r="BJ183"/>
          <cell r="BK183">
            <v>34</v>
          </cell>
        </row>
        <row r="184">
          <cell r="B184" t="str">
            <v>전라남도 여수시</v>
          </cell>
          <cell r="C184">
            <v>1</v>
          </cell>
          <cell r="D184">
            <v>1</v>
          </cell>
          <cell r="E184">
            <v>1</v>
          </cell>
          <cell r="F184">
            <v>1</v>
          </cell>
          <cell r="G184">
            <v>1</v>
          </cell>
          <cell r="H184">
            <v>1</v>
          </cell>
          <cell r="I184">
            <v>1</v>
          </cell>
          <cell r="J184">
            <v>1</v>
          </cell>
          <cell r="K184">
            <v>1</v>
          </cell>
          <cell r="L184">
            <v>1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1</v>
          </cell>
          <cell r="U184">
            <v>1</v>
          </cell>
          <cell r="V184">
            <v>1</v>
          </cell>
          <cell r="W184">
            <v>1</v>
          </cell>
          <cell r="X184">
            <v>1</v>
          </cell>
          <cell r="Y184"/>
          <cell r="Z184">
            <v>1</v>
          </cell>
          <cell r="AA184">
            <v>1</v>
          </cell>
          <cell r="AB184">
            <v>1</v>
          </cell>
          <cell r="AC184">
            <v>1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1</v>
          </cell>
          <cell r="AI184">
            <v>1</v>
          </cell>
          <cell r="AJ184">
            <v>1</v>
          </cell>
          <cell r="AK184"/>
          <cell r="AL184"/>
          <cell r="AM184">
            <v>1</v>
          </cell>
          <cell r="AN184">
            <v>1</v>
          </cell>
          <cell r="AO184"/>
          <cell r="AP184"/>
          <cell r="AQ184">
            <v>1</v>
          </cell>
          <cell r="AR184"/>
          <cell r="AS184">
            <v>1</v>
          </cell>
          <cell r="AT184"/>
          <cell r="AU184"/>
          <cell r="AV184"/>
          <cell r="AW184">
            <v>1</v>
          </cell>
          <cell r="AX184">
            <v>1</v>
          </cell>
          <cell r="AY184">
            <v>1</v>
          </cell>
          <cell r="AZ184"/>
          <cell r="BA184">
            <v>1</v>
          </cell>
          <cell r="BB184">
            <v>1</v>
          </cell>
          <cell r="BC184">
            <v>1</v>
          </cell>
          <cell r="BD184">
            <v>1</v>
          </cell>
          <cell r="BE184">
            <v>1</v>
          </cell>
          <cell r="BF184"/>
          <cell r="BG184"/>
          <cell r="BH184"/>
          <cell r="BI184"/>
          <cell r="BJ184"/>
          <cell r="BK184">
            <v>45</v>
          </cell>
        </row>
        <row r="185">
          <cell r="B185" t="str">
            <v>전라남도 순천시</v>
          </cell>
          <cell r="C185">
            <v>1</v>
          </cell>
          <cell r="D185">
            <v>1</v>
          </cell>
          <cell r="E185">
            <v>1</v>
          </cell>
          <cell r="F185">
            <v>1</v>
          </cell>
          <cell r="G185">
            <v>1</v>
          </cell>
          <cell r="H185">
            <v>1</v>
          </cell>
          <cell r="I185">
            <v>1</v>
          </cell>
          <cell r="J185">
            <v>1</v>
          </cell>
          <cell r="K185">
            <v>1</v>
          </cell>
          <cell r="L185">
            <v>1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1</v>
          </cell>
          <cell r="S185">
            <v>1</v>
          </cell>
          <cell r="T185">
            <v>1</v>
          </cell>
          <cell r="U185">
            <v>1</v>
          </cell>
          <cell r="V185">
            <v>1</v>
          </cell>
          <cell r="W185"/>
          <cell r="X185"/>
          <cell r="Y185"/>
          <cell r="Z185">
            <v>1</v>
          </cell>
          <cell r="AA185">
            <v>1</v>
          </cell>
          <cell r="AB185">
            <v>1</v>
          </cell>
          <cell r="AC185">
            <v>1</v>
          </cell>
          <cell r="AD185">
            <v>1</v>
          </cell>
          <cell r="AE185">
            <v>1</v>
          </cell>
          <cell r="AF185"/>
          <cell r="AG185">
            <v>1</v>
          </cell>
          <cell r="AH185">
            <v>1</v>
          </cell>
          <cell r="AI185">
            <v>1</v>
          </cell>
          <cell r="AJ185">
            <v>1</v>
          </cell>
          <cell r="AK185">
            <v>1</v>
          </cell>
          <cell r="AL185"/>
          <cell r="AM185"/>
          <cell r="AN185">
            <v>1</v>
          </cell>
          <cell r="AO185"/>
          <cell r="AP185">
            <v>1</v>
          </cell>
          <cell r="AQ185">
            <v>1</v>
          </cell>
          <cell r="AR185"/>
          <cell r="AS185">
            <v>1</v>
          </cell>
          <cell r="AT185"/>
          <cell r="AU185">
            <v>1</v>
          </cell>
          <cell r="AV185">
            <v>1</v>
          </cell>
          <cell r="AW185">
            <v>1</v>
          </cell>
          <cell r="AX185">
            <v>1</v>
          </cell>
          <cell r="AY185">
            <v>1</v>
          </cell>
          <cell r="AZ185"/>
          <cell r="BA185">
            <v>1</v>
          </cell>
          <cell r="BB185">
            <v>1</v>
          </cell>
          <cell r="BC185">
            <v>1</v>
          </cell>
          <cell r="BD185"/>
          <cell r="BE185"/>
          <cell r="BF185"/>
          <cell r="BG185">
            <v>1</v>
          </cell>
          <cell r="BH185"/>
          <cell r="BI185"/>
          <cell r="BJ185"/>
          <cell r="BK185">
            <v>44</v>
          </cell>
        </row>
        <row r="186">
          <cell r="B186" t="str">
            <v>전라남도 나주시</v>
          </cell>
          <cell r="C186">
            <v>1</v>
          </cell>
          <cell r="D186">
            <v>1</v>
          </cell>
          <cell r="E186">
            <v>1</v>
          </cell>
          <cell r="F186">
            <v>1</v>
          </cell>
          <cell r="G186"/>
          <cell r="H186">
            <v>1</v>
          </cell>
          <cell r="I186">
            <v>1</v>
          </cell>
          <cell r="J186">
            <v>1</v>
          </cell>
          <cell r="K186"/>
          <cell r="L186">
            <v>1</v>
          </cell>
          <cell r="M186">
            <v>1</v>
          </cell>
          <cell r="N186"/>
          <cell r="O186">
            <v>1</v>
          </cell>
          <cell r="P186">
            <v>1</v>
          </cell>
          <cell r="Q186"/>
          <cell r="R186"/>
          <cell r="S186">
            <v>1</v>
          </cell>
          <cell r="T186">
            <v>1</v>
          </cell>
          <cell r="U186"/>
          <cell r="V186"/>
          <cell r="W186"/>
          <cell r="X186"/>
          <cell r="Y186"/>
          <cell r="Z186"/>
          <cell r="AA186">
            <v>1</v>
          </cell>
          <cell r="AB186">
            <v>1</v>
          </cell>
          <cell r="AC186">
            <v>1</v>
          </cell>
          <cell r="AD186"/>
          <cell r="AE186"/>
          <cell r="AF186"/>
          <cell r="AG186"/>
          <cell r="AH186"/>
          <cell r="AI186">
            <v>1</v>
          </cell>
          <cell r="AJ186">
            <v>1</v>
          </cell>
          <cell r="AK186"/>
          <cell r="AL186"/>
          <cell r="AM186">
            <v>1</v>
          </cell>
          <cell r="AN186"/>
          <cell r="AO186"/>
          <cell r="AP186"/>
          <cell r="AQ186"/>
          <cell r="AR186"/>
          <cell r="AS186"/>
          <cell r="AT186"/>
          <cell r="AU186">
            <v>1</v>
          </cell>
          <cell r="AV186"/>
          <cell r="AW186">
            <v>1</v>
          </cell>
          <cell r="AX186"/>
          <cell r="AY186"/>
          <cell r="AZ186"/>
          <cell r="BA186">
            <v>1</v>
          </cell>
          <cell r="BB186"/>
          <cell r="BC186"/>
          <cell r="BD186"/>
          <cell r="BE186"/>
          <cell r="BF186"/>
          <cell r="BG186"/>
          <cell r="BH186"/>
          <cell r="BI186"/>
          <cell r="BJ186"/>
          <cell r="BK186">
            <v>22</v>
          </cell>
        </row>
        <row r="187">
          <cell r="B187" t="str">
            <v>전라남도 광양시</v>
          </cell>
          <cell r="C187">
            <v>1</v>
          </cell>
          <cell r="D187">
            <v>1</v>
          </cell>
          <cell r="E187">
            <v>1</v>
          </cell>
          <cell r="F187">
            <v>1</v>
          </cell>
          <cell r="G187">
            <v>1</v>
          </cell>
          <cell r="H187">
            <v>1</v>
          </cell>
          <cell r="I187">
            <v>1</v>
          </cell>
          <cell r="J187">
            <v>1</v>
          </cell>
          <cell r="K187">
            <v>1</v>
          </cell>
          <cell r="L187">
            <v>1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1</v>
          </cell>
          <cell r="S187"/>
          <cell r="T187">
            <v>1</v>
          </cell>
          <cell r="U187">
            <v>1</v>
          </cell>
          <cell r="V187">
            <v>1</v>
          </cell>
          <cell r="W187"/>
          <cell r="X187">
            <v>1</v>
          </cell>
          <cell r="Y187"/>
          <cell r="Z187">
            <v>1</v>
          </cell>
          <cell r="AA187">
            <v>1</v>
          </cell>
          <cell r="AB187">
            <v>1</v>
          </cell>
          <cell r="AC187">
            <v>1</v>
          </cell>
          <cell r="AD187">
            <v>1</v>
          </cell>
          <cell r="AE187">
            <v>1</v>
          </cell>
          <cell r="AF187"/>
          <cell r="AG187">
            <v>1</v>
          </cell>
          <cell r="AH187">
            <v>1</v>
          </cell>
          <cell r="AI187">
            <v>1</v>
          </cell>
          <cell r="AJ187">
            <v>1</v>
          </cell>
          <cell r="AK187"/>
          <cell r="AL187"/>
          <cell r="AM187">
            <v>1</v>
          </cell>
          <cell r="AN187"/>
          <cell r="AO187"/>
          <cell r="AP187">
            <v>1</v>
          </cell>
          <cell r="AQ187"/>
          <cell r="AR187"/>
          <cell r="AS187"/>
          <cell r="AT187"/>
          <cell r="AU187">
            <v>1</v>
          </cell>
          <cell r="AV187"/>
          <cell r="AW187">
            <v>1</v>
          </cell>
          <cell r="AX187">
            <v>1</v>
          </cell>
          <cell r="AY187">
            <v>1</v>
          </cell>
          <cell r="AZ187"/>
          <cell r="BA187">
            <v>1</v>
          </cell>
          <cell r="BB187">
            <v>1</v>
          </cell>
          <cell r="BC187">
            <v>1</v>
          </cell>
          <cell r="BD187"/>
          <cell r="BE187"/>
          <cell r="BF187"/>
          <cell r="BG187">
            <v>1</v>
          </cell>
          <cell r="BH187"/>
          <cell r="BI187"/>
          <cell r="BJ187"/>
          <cell r="BK187">
            <v>40</v>
          </cell>
        </row>
        <row r="188">
          <cell r="B188" t="str">
            <v>전라남도 담양군</v>
          </cell>
          <cell r="C188">
            <v>1</v>
          </cell>
          <cell r="D188">
            <v>1</v>
          </cell>
          <cell r="E188">
            <v>1</v>
          </cell>
          <cell r="F188">
            <v>1</v>
          </cell>
          <cell r="G188">
            <v>1</v>
          </cell>
          <cell r="H188">
            <v>1</v>
          </cell>
          <cell r="I188">
            <v>1</v>
          </cell>
          <cell r="J188">
            <v>1</v>
          </cell>
          <cell r="K188"/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1</v>
          </cell>
          <cell r="S188">
            <v>1</v>
          </cell>
          <cell r="T188">
            <v>1</v>
          </cell>
          <cell r="U188">
            <v>1</v>
          </cell>
          <cell r="V188">
            <v>1</v>
          </cell>
          <cell r="W188"/>
          <cell r="X188"/>
          <cell r="Y188"/>
          <cell r="Z188">
            <v>1</v>
          </cell>
          <cell r="AA188"/>
          <cell r="AB188">
            <v>1</v>
          </cell>
          <cell r="AC188">
            <v>1</v>
          </cell>
          <cell r="AD188">
            <v>1</v>
          </cell>
          <cell r="AE188">
            <v>1</v>
          </cell>
          <cell r="AF188"/>
          <cell r="AG188"/>
          <cell r="AH188">
            <v>1</v>
          </cell>
          <cell r="AI188">
            <v>1</v>
          </cell>
          <cell r="AJ188">
            <v>1</v>
          </cell>
          <cell r="AK188"/>
          <cell r="AL188"/>
          <cell r="AM188">
            <v>1</v>
          </cell>
          <cell r="AN188">
            <v>1</v>
          </cell>
          <cell r="AO188"/>
          <cell r="AP188">
            <v>1</v>
          </cell>
          <cell r="AQ188"/>
          <cell r="AR188"/>
          <cell r="AS188">
            <v>1</v>
          </cell>
          <cell r="AT188"/>
          <cell r="AU188">
            <v>1</v>
          </cell>
          <cell r="AV188"/>
          <cell r="AW188">
            <v>1</v>
          </cell>
          <cell r="AX188">
            <v>1</v>
          </cell>
          <cell r="AY188"/>
          <cell r="AZ188"/>
          <cell r="BA188"/>
          <cell r="BB188">
            <v>1</v>
          </cell>
          <cell r="BC188"/>
          <cell r="BD188"/>
          <cell r="BE188"/>
          <cell r="BF188"/>
          <cell r="BG188">
            <v>1</v>
          </cell>
          <cell r="BH188"/>
          <cell r="BI188"/>
          <cell r="BJ188"/>
          <cell r="BK188">
            <v>36</v>
          </cell>
        </row>
        <row r="189">
          <cell r="B189" t="str">
            <v>전라남도 곡성군</v>
          </cell>
          <cell r="C189">
            <v>1</v>
          </cell>
          <cell r="D189">
            <v>1</v>
          </cell>
          <cell r="E189">
            <v>1</v>
          </cell>
          <cell r="F189">
            <v>1</v>
          </cell>
          <cell r="G189">
            <v>1</v>
          </cell>
          <cell r="H189">
            <v>1</v>
          </cell>
          <cell r="I189">
            <v>1</v>
          </cell>
          <cell r="J189">
            <v>1</v>
          </cell>
          <cell r="K189"/>
          <cell r="L189">
            <v>1</v>
          </cell>
          <cell r="M189">
            <v>1</v>
          </cell>
          <cell r="N189">
            <v>1</v>
          </cell>
          <cell r="O189"/>
          <cell r="P189">
            <v>1</v>
          </cell>
          <cell r="Q189">
            <v>1</v>
          </cell>
          <cell r="R189"/>
          <cell r="S189">
            <v>1</v>
          </cell>
          <cell r="T189">
            <v>1</v>
          </cell>
          <cell r="U189">
            <v>1</v>
          </cell>
          <cell r="V189">
            <v>1</v>
          </cell>
          <cell r="W189"/>
          <cell r="X189"/>
          <cell r="Y189"/>
          <cell r="Z189">
            <v>1</v>
          </cell>
          <cell r="AA189"/>
          <cell r="AB189">
            <v>1</v>
          </cell>
          <cell r="AC189">
            <v>1</v>
          </cell>
          <cell r="AD189">
            <v>1</v>
          </cell>
          <cell r="AE189"/>
          <cell r="AF189"/>
          <cell r="AG189"/>
          <cell r="AH189">
            <v>1</v>
          </cell>
          <cell r="AI189">
            <v>1</v>
          </cell>
          <cell r="AJ189">
            <v>1</v>
          </cell>
          <cell r="AK189"/>
          <cell r="AL189"/>
          <cell r="AM189"/>
          <cell r="AN189">
            <v>1</v>
          </cell>
          <cell r="AO189"/>
          <cell r="AP189">
            <v>1</v>
          </cell>
          <cell r="AQ189"/>
          <cell r="AR189">
            <v>1</v>
          </cell>
          <cell r="AS189">
            <v>1</v>
          </cell>
          <cell r="AT189"/>
          <cell r="AU189">
            <v>1</v>
          </cell>
          <cell r="AV189"/>
          <cell r="AW189">
            <v>1</v>
          </cell>
          <cell r="AX189">
            <v>1</v>
          </cell>
          <cell r="AY189"/>
          <cell r="AZ189"/>
          <cell r="BA189">
            <v>1</v>
          </cell>
          <cell r="BB189">
            <v>1</v>
          </cell>
          <cell r="BC189"/>
          <cell r="BD189"/>
          <cell r="BE189"/>
          <cell r="BF189"/>
          <cell r="BG189"/>
          <cell r="BH189"/>
          <cell r="BI189"/>
          <cell r="BJ189"/>
          <cell r="BK189">
            <v>33</v>
          </cell>
        </row>
        <row r="190">
          <cell r="B190" t="str">
            <v>전라남도 구례군</v>
          </cell>
          <cell r="C190">
            <v>1</v>
          </cell>
          <cell r="D190">
            <v>1</v>
          </cell>
          <cell r="E190"/>
          <cell r="F190">
            <v>1</v>
          </cell>
          <cell r="G190">
            <v>1</v>
          </cell>
          <cell r="H190">
            <v>1</v>
          </cell>
          <cell r="I190">
            <v>1</v>
          </cell>
          <cell r="J190">
            <v>1</v>
          </cell>
          <cell r="K190">
            <v>1</v>
          </cell>
          <cell r="L190">
            <v>1</v>
          </cell>
          <cell r="M190">
            <v>1</v>
          </cell>
          <cell r="N190">
            <v>1</v>
          </cell>
          <cell r="O190"/>
          <cell r="P190">
            <v>1</v>
          </cell>
          <cell r="Q190">
            <v>1</v>
          </cell>
          <cell r="R190"/>
          <cell r="S190">
            <v>1</v>
          </cell>
          <cell r="T190">
            <v>1</v>
          </cell>
          <cell r="U190">
            <v>1</v>
          </cell>
          <cell r="V190">
            <v>1</v>
          </cell>
          <cell r="W190"/>
          <cell r="X190"/>
          <cell r="Y190"/>
          <cell r="Z190"/>
          <cell r="AA190">
            <v>1</v>
          </cell>
          <cell r="AB190">
            <v>1</v>
          </cell>
          <cell r="AC190">
            <v>1</v>
          </cell>
          <cell r="AD190">
            <v>1</v>
          </cell>
          <cell r="AE190">
            <v>1</v>
          </cell>
          <cell r="AF190"/>
          <cell r="AG190"/>
          <cell r="AH190">
            <v>1</v>
          </cell>
          <cell r="AI190">
            <v>1</v>
          </cell>
          <cell r="AJ190">
            <v>1</v>
          </cell>
          <cell r="AK190"/>
          <cell r="AL190"/>
          <cell r="AM190"/>
          <cell r="AN190">
            <v>1</v>
          </cell>
          <cell r="AO190"/>
          <cell r="AP190">
            <v>1</v>
          </cell>
          <cell r="AQ190"/>
          <cell r="AR190"/>
          <cell r="AS190"/>
          <cell r="AT190"/>
          <cell r="AU190">
            <v>1</v>
          </cell>
          <cell r="AV190"/>
          <cell r="AW190">
            <v>1</v>
          </cell>
          <cell r="AX190"/>
          <cell r="AY190">
            <v>1</v>
          </cell>
          <cell r="AZ190"/>
          <cell r="BA190"/>
          <cell r="BB190"/>
          <cell r="BC190"/>
          <cell r="BD190"/>
          <cell r="BE190"/>
          <cell r="BF190"/>
          <cell r="BG190">
            <v>1</v>
          </cell>
          <cell r="BH190"/>
          <cell r="BI190"/>
          <cell r="BJ190"/>
          <cell r="BK190">
            <v>31</v>
          </cell>
        </row>
        <row r="191">
          <cell r="B191" t="str">
            <v>전라남도 고흥군</v>
          </cell>
          <cell r="C191">
            <v>1</v>
          </cell>
          <cell r="D191">
            <v>1</v>
          </cell>
          <cell r="E191">
            <v>1</v>
          </cell>
          <cell r="F191">
            <v>1</v>
          </cell>
          <cell r="G191">
            <v>1</v>
          </cell>
          <cell r="H191">
            <v>1</v>
          </cell>
          <cell r="I191">
            <v>1</v>
          </cell>
          <cell r="J191">
            <v>1</v>
          </cell>
          <cell r="K191">
            <v>1</v>
          </cell>
          <cell r="L191">
            <v>1</v>
          </cell>
          <cell r="M191"/>
          <cell r="N191"/>
          <cell r="O191">
            <v>1</v>
          </cell>
          <cell r="P191"/>
          <cell r="Q191">
            <v>1</v>
          </cell>
          <cell r="R191">
            <v>1</v>
          </cell>
          <cell r="S191">
            <v>1</v>
          </cell>
          <cell r="T191">
            <v>1</v>
          </cell>
          <cell r="U191">
            <v>1</v>
          </cell>
          <cell r="V191">
            <v>1</v>
          </cell>
          <cell r="W191"/>
          <cell r="X191"/>
          <cell r="Y191"/>
          <cell r="Z191">
            <v>1</v>
          </cell>
          <cell r="AA191">
            <v>1</v>
          </cell>
          <cell r="AB191">
            <v>1</v>
          </cell>
          <cell r="AC191"/>
          <cell r="AD191">
            <v>1</v>
          </cell>
          <cell r="AE191"/>
          <cell r="AF191"/>
          <cell r="AG191"/>
          <cell r="AH191"/>
          <cell r="AI191">
            <v>1</v>
          </cell>
          <cell r="AJ191">
            <v>1</v>
          </cell>
          <cell r="AK191"/>
          <cell r="AL191"/>
          <cell r="AM191"/>
          <cell r="AN191"/>
          <cell r="AO191"/>
          <cell r="AP191"/>
          <cell r="AQ191"/>
          <cell r="AR191">
            <v>1</v>
          </cell>
          <cell r="AS191"/>
          <cell r="AT191"/>
          <cell r="AU191">
            <v>1</v>
          </cell>
          <cell r="AV191"/>
          <cell r="AW191">
            <v>1</v>
          </cell>
          <cell r="AX191"/>
          <cell r="AY191"/>
          <cell r="AZ191"/>
          <cell r="BA191"/>
          <cell r="BB191"/>
          <cell r="BC191"/>
          <cell r="BD191"/>
          <cell r="BE191"/>
          <cell r="BF191"/>
          <cell r="BG191">
            <v>1</v>
          </cell>
          <cell r="BH191"/>
          <cell r="BI191"/>
          <cell r="BJ191"/>
          <cell r="BK191">
            <v>27</v>
          </cell>
        </row>
        <row r="192">
          <cell r="B192" t="str">
            <v>전라남도 보성군</v>
          </cell>
          <cell r="C192">
            <v>1</v>
          </cell>
          <cell r="D192">
            <v>1</v>
          </cell>
          <cell r="E192">
            <v>1</v>
          </cell>
          <cell r="F192"/>
          <cell r="G192"/>
          <cell r="H192"/>
          <cell r="I192">
            <v>1</v>
          </cell>
          <cell r="J192">
            <v>1</v>
          </cell>
          <cell r="K192">
            <v>1</v>
          </cell>
          <cell r="L192">
            <v>1</v>
          </cell>
          <cell r="M192">
            <v>1</v>
          </cell>
          <cell r="N192">
            <v>1</v>
          </cell>
          <cell r="O192"/>
          <cell r="P192"/>
          <cell r="Q192">
            <v>1</v>
          </cell>
          <cell r="R192">
            <v>1</v>
          </cell>
          <cell r="S192">
            <v>1</v>
          </cell>
          <cell r="T192">
            <v>1</v>
          </cell>
          <cell r="U192">
            <v>1</v>
          </cell>
          <cell r="V192"/>
          <cell r="W192"/>
          <cell r="X192"/>
          <cell r="Y192"/>
          <cell r="Z192">
            <v>1</v>
          </cell>
          <cell r="AA192"/>
          <cell r="AB192">
            <v>1</v>
          </cell>
          <cell r="AC192">
            <v>1</v>
          </cell>
          <cell r="AD192">
            <v>1</v>
          </cell>
          <cell r="AE192">
            <v>1</v>
          </cell>
          <cell r="AF192"/>
          <cell r="AG192"/>
          <cell r="AH192">
            <v>1</v>
          </cell>
          <cell r="AI192">
            <v>1</v>
          </cell>
          <cell r="AJ192">
            <v>1</v>
          </cell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>
            <v>1</v>
          </cell>
          <cell r="AV192"/>
          <cell r="AW192">
            <v>1</v>
          </cell>
          <cell r="AX192"/>
          <cell r="AY192"/>
          <cell r="AZ192"/>
          <cell r="BA192"/>
          <cell r="BB192">
            <v>1</v>
          </cell>
          <cell r="BC192"/>
          <cell r="BD192"/>
          <cell r="BE192"/>
          <cell r="BF192"/>
          <cell r="BG192">
            <v>1</v>
          </cell>
          <cell r="BH192"/>
          <cell r="BI192"/>
          <cell r="BJ192"/>
          <cell r="BK192">
            <v>26</v>
          </cell>
        </row>
        <row r="193">
          <cell r="B193" t="str">
            <v>전라남도 화순군</v>
          </cell>
          <cell r="C193">
            <v>1</v>
          </cell>
          <cell r="D193">
            <v>1</v>
          </cell>
          <cell r="E193">
            <v>1</v>
          </cell>
          <cell r="F193">
            <v>1</v>
          </cell>
          <cell r="G193">
            <v>1</v>
          </cell>
          <cell r="H193">
            <v>1</v>
          </cell>
          <cell r="I193">
            <v>1</v>
          </cell>
          <cell r="J193">
            <v>1</v>
          </cell>
          <cell r="K193">
            <v>1</v>
          </cell>
          <cell r="L193">
            <v>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1</v>
          </cell>
          <cell r="S193">
            <v>1</v>
          </cell>
          <cell r="T193">
            <v>1</v>
          </cell>
          <cell r="U193">
            <v>1</v>
          </cell>
          <cell r="V193">
            <v>1</v>
          </cell>
          <cell r="W193"/>
          <cell r="X193"/>
          <cell r="Y193"/>
          <cell r="Z193">
            <v>1</v>
          </cell>
          <cell r="AA193"/>
          <cell r="AB193">
            <v>1</v>
          </cell>
          <cell r="AC193">
            <v>1</v>
          </cell>
          <cell r="AD193">
            <v>1</v>
          </cell>
          <cell r="AE193">
            <v>1</v>
          </cell>
          <cell r="AF193"/>
          <cell r="AG193"/>
          <cell r="AH193">
            <v>1</v>
          </cell>
          <cell r="AI193">
            <v>1</v>
          </cell>
          <cell r="AJ193">
            <v>1</v>
          </cell>
          <cell r="AK193"/>
          <cell r="AL193"/>
          <cell r="AM193">
            <v>1</v>
          </cell>
          <cell r="AN193"/>
          <cell r="AO193"/>
          <cell r="AP193"/>
          <cell r="AQ193"/>
          <cell r="AR193">
            <v>1</v>
          </cell>
          <cell r="AS193"/>
          <cell r="AT193"/>
          <cell r="AU193">
            <v>1</v>
          </cell>
          <cell r="AV193">
            <v>1</v>
          </cell>
          <cell r="AW193">
            <v>1</v>
          </cell>
          <cell r="AX193"/>
          <cell r="AY193"/>
          <cell r="AZ193"/>
          <cell r="BA193"/>
          <cell r="BB193">
            <v>1</v>
          </cell>
          <cell r="BC193"/>
          <cell r="BD193"/>
          <cell r="BE193"/>
          <cell r="BF193"/>
          <cell r="BG193">
            <v>1</v>
          </cell>
          <cell r="BH193"/>
          <cell r="BI193"/>
          <cell r="BJ193"/>
          <cell r="BK193">
            <v>35</v>
          </cell>
        </row>
        <row r="194">
          <cell r="B194" t="str">
            <v>전라남도 장흥군</v>
          </cell>
          <cell r="C194">
            <v>1</v>
          </cell>
          <cell r="D194">
            <v>1</v>
          </cell>
          <cell r="E194">
            <v>1</v>
          </cell>
          <cell r="F194"/>
          <cell r="G194">
            <v>1</v>
          </cell>
          <cell r="H194"/>
          <cell r="I194">
            <v>1</v>
          </cell>
          <cell r="J194">
            <v>1</v>
          </cell>
          <cell r="K194">
            <v>1</v>
          </cell>
          <cell r="L194"/>
          <cell r="M194">
            <v>1</v>
          </cell>
          <cell r="N194"/>
          <cell r="O194"/>
          <cell r="P194">
            <v>1</v>
          </cell>
          <cell r="Q194"/>
          <cell r="R194"/>
          <cell r="S194"/>
          <cell r="T194">
            <v>1</v>
          </cell>
          <cell r="U194">
            <v>1</v>
          </cell>
          <cell r="V194">
            <v>1</v>
          </cell>
          <cell r="W194"/>
          <cell r="X194"/>
          <cell r="Y194"/>
          <cell r="Z194"/>
          <cell r="AA194">
            <v>1</v>
          </cell>
          <cell r="AB194">
            <v>1</v>
          </cell>
          <cell r="AC194"/>
          <cell r="AD194"/>
          <cell r="AE194"/>
          <cell r="AF194"/>
          <cell r="AG194"/>
          <cell r="AH194">
            <v>1</v>
          </cell>
          <cell r="AI194">
            <v>1</v>
          </cell>
          <cell r="AJ194">
            <v>1</v>
          </cell>
          <cell r="AK194"/>
          <cell r="AL194"/>
          <cell r="AM194"/>
          <cell r="AN194"/>
          <cell r="AO194"/>
          <cell r="AP194"/>
          <cell r="AQ194"/>
          <cell r="AR194"/>
          <cell r="AS194"/>
          <cell r="AT194"/>
          <cell r="AU194"/>
          <cell r="AV194"/>
          <cell r="AW194"/>
          <cell r="AX194">
            <v>1</v>
          </cell>
          <cell r="AY194"/>
          <cell r="AZ194"/>
          <cell r="BA194"/>
          <cell r="BB194">
            <v>1</v>
          </cell>
          <cell r="BC194"/>
          <cell r="BD194"/>
          <cell r="BE194"/>
          <cell r="BF194"/>
          <cell r="BG194"/>
          <cell r="BH194"/>
          <cell r="BI194"/>
          <cell r="BJ194"/>
          <cell r="BK194">
            <v>19</v>
          </cell>
        </row>
        <row r="195">
          <cell r="B195" t="str">
            <v>전라남도 강진군</v>
          </cell>
          <cell r="C195">
            <v>1</v>
          </cell>
          <cell r="D195">
            <v>1</v>
          </cell>
          <cell r="E195">
            <v>1</v>
          </cell>
          <cell r="F195">
            <v>1</v>
          </cell>
          <cell r="G195">
            <v>1</v>
          </cell>
          <cell r="H195">
            <v>1</v>
          </cell>
          <cell r="I195">
            <v>1</v>
          </cell>
          <cell r="J195">
            <v>1</v>
          </cell>
          <cell r="K195">
            <v>1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/>
          <cell r="S195"/>
          <cell r="T195">
            <v>1</v>
          </cell>
          <cell r="U195">
            <v>1</v>
          </cell>
          <cell r="V195">
            <v>1</v>
          </cell>
          <cell r="W195"/>
          <cell r="X195"/>
          <cell r="Y195"/>
          <cell r="Z195">
            <v>1</v>
          </cell>
          <cell r="AA195"/>
          <cell r="AB195">
            <v>1</v>
          </cell>
          <cell r="AC195">
            <v>1</v>
          </cell>
          <cell r="AD195"/>
          <cell r="AE195">
            <v>1</v>
          </cell>
          <cell r="AF195"/>
          <cell r="AG195"/>
          <cell r="AH195">
            <v>1</v>
          </cell>
          <cell r="AI195">
            <v>1</v>
          </cell>
          <cell r="AJ195">
            <v>1</v>
          </cell>
          <cell r="AK195"/>
          <cell r="AL195"/>
          <cell r="AM195"/>
          <cell r="AN195"/>
          <cell r="AO195"/>
          <cell r="AP195">
            <v>1</v>
          </cell>
          <cell r="AQ195">
            <v>1</v>
          </cell>
          <cell r="AR195">
            <v>1</v>
          </cell>
          <cell r="AS195"/>
          <cell r="AT195"/>
          <cell r="AU195">
            <v>1</v>
          </cell>
          <cell r="AV195"/>
          <cell r="AW195">
            <v>1</v>
          </cell>
          <cell r="AX195">
            <v>1</v>
          </cell>
          <cell r="AY195">
            <v>1</v>
          </cell>
          <cell r="AZ195"/>
          <cell r="BA195"/>
          <cell r="BB195">
            <v>1</v>
          </cell>
          <cell r="BC195"/>
          <cell r="BD195"/>
          <cell r="BE195"/>
          <cell r="BF195"/>
          <cell r="BG195"/>
          <cell r="BH195"/>
          <cell r="BI195"/>
          <cell r="BJ195"/>
          <cell r="BK195">
            <v>33</v>
          </cell>
        </row>
        <row r="196">
          <cell r="B196" t="str">
            <v>전라남도 해남군</v>
          </cell>
          <cell r="C196">
            <v>1</v>
          </cell>
          <cell r="D196">
            <v>1</v>
          </cell>
          <cell r="E196">
            <v>1</v>
          </cell>
          <cell r="F196">
            <v>1</v>
          </cell>
          <cell r="G196">
            <v>1</v>
          </cell>
          <cell r="H196">
            <v>1</v>
          </cell>
          <cell r="I196">
            <v>1</v>
          </cell>
          <cell r="J196">
            <v>1</v>
          </cell>
          <cell r="K196">
            <v>1</v>
          </cell>
          <cell r="L196">
            <v>1</v>
          </cell>
          <cell r="M196">
            <v>1</v>
          </cell>
          <cell r="N196">
            <v>1</v>
          </cell>
          <cell r="O196"/>
          <cell r="P196">
            <v>1</v>
          </cell>
          <cell r="Q196">
            <v>1</v>
          </cell>
          <cell r="R196"/>
          <cell r="S196">
            <v>1</v>
          </cell>
          <cell r="T196">
            <v>1</v>
          </cell>
          <cell r="U196">
            <v>1</v>
          </cell>
          <cell r="V196">
            <v>1</v>
          </cell>
          <cell r="W196"/>
          <cell r="X196"/>
          <cell r="Y196"/>
          <cell r="Z196">
            <v>1</v>
          </cell>
          <cell r="AA196">
            <v>1</v>
          </cell>
          <cell r="AB196">
            <v>1</v>
          </cell>
          <cell r="AC196">
            <v>1</v>
          </cell>
          <cell r="AD196">
            <v>1</v>
          </cell>
          <cell r="AE196">
            <v>1</v>
          </cell>
          <cell r="AF196"/>
          <cell r="AG196"/>
          <cell r="AH196">
            <v>1</v>
          </cell>
          <cell r="AI196">
            <v>1</v>
          </cell>
          <cell r="AJ196">
            <v>1</v>
          </cell>
          <cell r="AK196"/>
          <cell r="AL196"/>
          <cell r="AM196">
            <v>1</v>
          </cell>
          <cell r="AN196"/>
          <cell r="AO196"/>
          <cell r="AP196">
            <v>1</v>
          </cell>
          <cell r="AQ196"/>
          <cell r="AR196">
            <v>1</v>
          </cell>
          <cell r="AS196">
            <v>1</v>
          </cell>
          <cell r="AT196"/>
          <cell r="AU196">
            <v>1</v>
          </cell>
          <cell r="AV196"/>
          <cell r="AW196">
            <v>1</v>
          </cell>
          <cell r="AX196"/>
          <cell r="AY196"/>
          <cell r="AZ196"/>
          <cell r="BA196"/>
          <cell r="BB196">
            <v>1</v>
          </cell>
          <cell r="BC196">
            <v>1</v>
          </cell>
          <cell r="BD196"/>
          <cell r="BE196"/>
          <cell r="BF196"/>
          <cell r="BG196">
            <v>1</v>
          </cell>
          <cell r="BH196"/>
          <cell r="BI196"/>
          <cell r="BJ196"/>
          <cell r="BK196">
            <v>36</v>
          </cell>
        </row>
        <row r="197">
          <cell r="B197" t="str">
            <v>전라남도 영암군</v>
          </cell>
          <cell r="C197">
            <v>1</v>
          </cell>
          <cell r="D197">
            <v>1</v>
          </cell>
          <cell r="E197">
            <v>1</v>
          </cell>
          <cell r="F197">
            <v>1</v>
          </cell>
          <cell r="G197">
            <v>1</v>
          </cell>
          <cell r="H197">
            <v>1</v>
          </cell>
          <cell r="I197">
            <v>1</v>
          </cell>
          <cell r="J197">
            <v>1</v>
          </cell>
          <cell r="K197"/>
          <cell r="L197">
            <v>1</v>
          </cell>
          <cell r="M197">
            <v>1</v>
          </cell>
          <cell r="N197">
            <v>1</v>
          </cell>
          <cell r="O197"/>
          <cell r="P197">
            <v>1</v>
          </cell>
          <cell r="Q197">
            <v>1</v>
          </cell>
          <cell r="R197"/>
          <cell r="S197">
            <v>1</v>
          </cell>
          <cell r="T197">
            <v>1</v>
          </cell>
          <cell r="U197">
            <v>1</v>
          </cell>
          <cell r="V197">
            <v>1</v>
          </cell>
          <cell r="W197"/>
          <cell r="X197"/>
          <cell r="Y197"/>
          <cell r="Z197">
            <v>1</v>
          </cell>
          <cell r="AA197"/>
          <cell r="AB197">
            <v>1</v>
          </cell>
          <cell r="AC197">
            <v>1</v>
          </cell>
          <cell r="AD197">
            <v>1</v>
          </cell>
          <cell r="AE197">
            <v>1</v>
          </cell>
          <cell r="AF197"/>
          <cell r="AG197">
            <v>1</v>
          </cell>
          <cell r="AH197">
            <v>1</v>
          </cell>
          <cell r="AI197">
            <v>1</v>
          </cell>
          <cell r="AJ197">
            <v>1</v>
          </cell>
          <cell r="AK197"/>
          <cell r="AL197"/>
          <cell r="AM197">
            <v>1</v>
          </cell>
          <cell r="AN197">
            <v>1</v>
          </cell>
          <cell r="AO197"/>
          <cell r="AP197"/>
          <cell r="AQ197"/>
          <cell r="AR197"/>
          <cell r="AS197"/>
          <cell r="AT197"/>
          <cell r="AU197">
            <v>1</v>
          </cell>
          <cell r="AV197"/>
          <cell r="AW197">
            <v>1</v>
          </cell>
          <cell r="AX197"/>
          <cell r="AY197"/>
          <cell r="AZ197"/>
          <cell r="BA197">
            <v>1</v>
          </cell>
          <cell r="BB197"/>
          <cell r="BC197"/>
          <cell r="BD197"/>
          <cell r="BE197"/>
          <cell r="BF197"/>
          <cell r="BG197">
            <v>1</v>
          </cell>
          <cell r="BH197"/>
          <cell r="BI197"/>
          <cell r="BJ197"/>
          <cell r="BK197">
            <v>32</v>
          </cell>
        </row>
        <row r="198">
          <cell r="B198" t="str">
            <v>전라남도 무안군</v>
          </cell>
          <cell r="C198">
            <v>1</v>
          </cell>
          <cell r="D198">
            <v>1</v>
          </cell>
          <cell r="E198">
            <v>1</v>
          </cell>
          <cell r="F198">
            <v>1</v>
          </cell>
          <cell r="G198">
            <v>1</v>
          </cell>
          <cell r="H198">
            <v>1</v>
          </cell>
          <cell r="I198">
            <v>1</v>
          </cell>
          <cell r="J198">
            <v>1</v>
          </cell>
          <cell r="K198"/>
          <cell r="L198">
            <v>1</v>
          </cell>
          <cell r="M198">
            <v>1</v>
          </cell>
          <cell r="N198"/>
          <cell r="O198"/>
          <cell r="P198">
            <v>1</v>
          </cell>
          <cell r="Q198"/>
          <cell r="R198">
            <v>1</v>
          </cell>
          <cell r="S198">
            <v>1</v>
          </cell>
          <cell r="T198">
            <v>1</v>
          </cell>
          <cell r="U198">
            <v>1</v>
          </cell>
          <cell r="V198">
            <v>1</v>
          </cell>
          <cell r="W198"/>
          <cell r="X198"/>
          <cell r="Y198"/>
          <cell r="Z198"/>
          <cell r="AA198">
            <v>1</v>
          </cell>
          <cell r="AB198">
            <v>1</v>
          </cell>
          <cell r="AC198">
            <v>1</v>
          </cell>
          <cell r="AD198"/>
          <cell r="AE198">
            <v>1</v>
          </cell>
          <cell r="AF198">
            <v>1</v>
          </cell>
          <cell r="AG198"/>
          <cell r="AH198">
            <v>1</v>
          </cell>
          <cell r="AI198">
            <v>1</v>
          </cell>
          <cell r="AJ198">
            <v>1</v>
          </cell>
          <cell r="AK198"/>
          <cell r="AL198"/>
          <cell r="AM198"/>
          <cell r="AN198"/>
          <cell r="AO198"/>
          <cell r="AP198"/>
          <cell r="AQ198"/>
          <cell r="AR198"/>
          <cell r="AS198">
            <v>1</v>
          </cell>
          <cell r="AT198"/>
          <cell r="AU198">
            <v>1</v>
          </cell>
          <cell r="AV198"/>
          <cell r="AW198">
            <v>1</v>
          </cell>
          <cell r="AX198"/>
          <cell r="AY198"/>
          <cell r="AZ198"/>
          <cell r="BA198"/>
          <cell r="BB198">
            <v>1</v>
          </cell>
          <cell r="BC198"/>
          <cell r="BD198">
            <v>1</v>
          </cell>
          <cell r="BE198">
            <v>1</v>
          </cell>
          <cell r="BF198"/>
          <cell r="BG198">
            <v>1</v>
          </cell>
          <cell r="BH198"/>
          <cell r="BI198"/>
          <cell r="BJ198"/>
          <cell r="BK198">
            <v>31</v>
          </cell>
        </row>
        <row r="199">
          <cell r="B199" t="str">
            <v>전라남도 함평군</v>
          </cell>
          <cell r="C199">
            <v>1</v>
          </cell>
          <cell r="D199">
            <v>1</v>
          </cell>
          <cell r="E199">
            <v>1</v>
          </cell>
          <cell r="F199">
            <v>1</v>
          </cell>
          <cell r="G199">
            <v>1</v>
          </cell>
          <cell r="H199">
            <v>1</v>
          </cell>
          <cell r="I199">
            <v>1</v>
          </cell>
          <cell r="J199">
            <v>1</v>
          </cell>
          <cell r="K199">
            <v>1</v>
          </cell>
          <cell r="L199">
            <v>1</v>
          </cell>
          <cell r="M199">
            <v>1</v>
          </cell>
          <cell r="N199">
            <v>1</v>
          </cell>
          <cell r="O199"/>
          <cell r="P199">
            <v>1</v>
          </cell>
          <cell r="Q199">
            <v>1</v>
          </cell>
          <cell r="R199">
            <v>1</v>
          </cell>
          <cell r="S199">
            <v>1</v>
          </cell>
          <cell r="T199">
            <v>1</v>
          </cell>
          <cell r="U199"/>
          <cell r="V199">
            <v>1</v>
          </cell>
          <cell r="W199"/>
          <cell r="X199">
            <v>1</v>
          </cell>
          <cell r="Y199"/>
          <cell r="Z199">
            <v>1</v>
          </cell>
          <cell r="AA199">
            <v>1</v>
          </cell>
          <cell r="AB199">
            <v>1</v>
          </cell>
          <cell r="AC199">
            <v>1</v>
          </cell>
          <cell r="AD199">
            <v>1</v>
          </cell>
          <cell r="AE199">
            <v>1</v>
          </cell>
          <cell r="AF199">
            <v>1</v>
          </cell>
          <cell r="AG199"/>
          <cell r="AH199">
            <v>1</v>
          </cell>
          <cell r="AI199">
            <v>1</v>
          </cell>
          <cell r="AJ199">
            <v>1</v>
          </cell>
          <cell r="AK199"/>
          <cell r="AL199"/>
          <cell r="AM199"/>
          <cell r="AN199">
            <v>1</v>
          </cell>
          <cell r="AO199"/>
          <cell r="AP199">
            <v>1</v>
          </cell>
          <cell r="AQ199">
            <v>1</v>
          </cell>
          <cell r="AR199"/>
          <cell r="AS199">
            <v>1</v>
          </cell>
          <cell r="AT199"/>
          <cell r="AU199">
            <v>1</v>
          </cell>
          <cell r="AV199"/>
          <cell r="AW199">
            <v>1</v>
          </cell>
          <cell r="AX199">
            <v>1</v>
          </cell>
          <cell r="AY199"/>
          <cell r="AZ199"/>
          <cell r="BA199">
            <v>1</v>
          </cell>
          <cell r="BB199">
            <v>1</v>
          </cell>
          <cell r="BC199"/>
          <cell r="BD199"/>
          <cell r="BE199"/>
          <cell r="BF199"/>
          <cell r="BG199">
            <v>1</v>
          </cell>
          <cell r="BH199"/>
          <cell r="BI199"/>
          <cell r="BJ199"/>
          <cell r="BK199">
            <v>39</v>
          </cell>
        </row>
        <row r="200">
          <cell r="B200" t="str">
            <v>전라남도 영광군</v>
          </cell>
          <cell r="C200">
            <v>1</v>
          </cell>
          <cell r="D200">
            <v>1</v>
          </cell>
          <cell r="E200">
            <v>1</v>
          </cell>
          <cell r="F200">
            <v>1</v>
          </cell>
          <cell r="G200">
            <v>1</v>
          </cell>
          <cell r="H200">
            <v>1</v>
          </cell>
          <cell r="I200">
            <v>1</v>
          </cell>
          <cell r="J200">
            <v>1</v>
          </cell>
          <cell r="K200">
            <v>1</v>
          </cell>
          <cell r="L200">
            <v>1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1</v>
          </cell>
          <cell r="S200">
            <v>1</v>
          </cell>
          <cell r="T200">
            <v>1</v>
          </cell>
          <cell r="U200">
            <v>1</v>
          </cell>
          <cell r="V200">
            <v>1</v>
          </cell>
          <cell r="W200"/>
          <cell r="X200"/>
          <cell r="Y200">
            <v>1</v>
          </cell>
          <cell r="Z200">
            <v>1</v>
          </cell>
          <cell r="AA200">
            <v>1</v>
          </cell>
          <cell r="AB200">
            <v>1</v>
          </cell>
          <cell r="AC200">
            <v>1</v>
          </cell>
          <cell r="AD200">
            <v>1</v>
          </cell>
          <cell r="AE200">
            <v>1</v>
          </cell>
          <cell r="AF200"/>
          <cell r="AG200">
            <v>1</v>
          </cell>
          <cell r="AH200">
            <v>1</v>
          </cell>
          <cell r="AI200">
            <v>1</v>
          </cell>
          <cell r="AJ200">
            <v>1</v>
          </cell>
          <cell r="AK200"/>
          <cell r="AL200"/>
          <cell r="AM200"/>
          <cell r="AN200">
            <v>1</v>
          </cell>
          <cell r="AO200"/>
          <cell r="AP200"/>
          <cell r="AQ200"/>
          <cell r="AR200">
            <v>1</v>
          </cell>
          <cell r="AS200"/>
          <cell r="AT200"/>
          <cell r="AU200">
            <v>1</v>
          </cell>
          <cell r="AV200">
            <v>1</v>
          </cell>
          <cell r="AW200">
            <v>1</v>
          </cell>
          <cell r="AX200"/>
          <cell r="AY200"/>
          <cell r="AZ200"/>
          <cell r="BA200">
            <v>1</v>
          </cell>
          <cell r="BB200">
            <v>1</v>
          </cell>
          <cell r="BC200"/>
          <cell r="BD200"/>
          <cell r="BE200"/>
          <cell r="BF200"/>
          <cell r="BG200"/>
          <cell r="BH200"/>
          <cell r="BI200"/>
          <cell r="BJ200"/>
          <cell r="BK200">
            <v>38</v>
          </cell>
        </row>
        <row r="201">
          <cell r="B201" t="str">
            <v>전라남도 장성군</v>
          </cell>
          <cell r="C201">
            <v>1</v>
          </cell>
          <cell r="D201">
            <v>1</v>
          </cell>
          <cell r="E201">
            <v>1</v>
          </cell>
          <cell r="F201">
            <v>1</v>
          </cell>
          <cell r="G201">
            <v>1</v>
          </cell>
          <cell r="H201">
            <v>1</v>
          </cell>
          <cell r="I201">
            <v>1</v>
          </cell>
          <cell r="J201">
            <v>1</v>
          </cell>
          <cell r="K201">
            <v>1</v>
          </cell>
          <cell r="L201">
            <v>1</v>
          </cell>
          <cell r="M201">
            <v>1</v>
          </cell>
          <cell r="N201">
            <v>1</v>
          </cell>
          <cell r="O201"/>
          <cell r="P201">
            <v>1</v>
          </cell>
          <cell r="Q201">
            <v>1</v>
          </cell>
          <cell r="R201">
            <v>1</v>
          </cell>
          <cell r="S201">
            <v>1</v>
          </cell>
          <cell r="T201">
            <v>1</v>
          </cell>
          <cell r="U201">
            <v>1</v>
          </cell>
          <cell r="V201">
            <v>1</v>
          </cell>
          <cell r="W201"/>
          <cell r="X201"/>
          <cell r="Y201"/>
          <cell r="Z201"/>
          <cell r="AA201">
            <v>1</v>
          </cell>
          <cell r="AB201">
            <v>1</v>
          </cell>
          <cell r="AC201">
            <v>1</v>
          </cell>
          <cell r="AD201">
            <v>1</v>
          </cell>
          <cell r="AE201">
            <v>1</v>
          </cell>
          <cell r="AF201"/>
          <cell r="AG201"/>
          <cell r="AH201">
            <v>1</v>
          </cell>
          <cell r="AI201">
            <v>1</v>
          </cell>
          <cell r="AJ201">
            <v>1</v>
          </cell>
          <cell r="AK201"/>
          <cell r="AL201"/>
          <cell r="AM201"/>
          <cell r="AN201"/>
          <cell r="AO201"/>
          <cell r="AP201">
            <v>1</v>
          </cell>
          <cell r="AQ201"/>
          <cell r="AR201"/>
          <cell r="AS201"/>
          <cell r="AT201"/>
          <cell r="AU201">
            <v>1</v>
          </cell>
          <cell r="AV201">
            <v>1</v>
          </cell>
          <cell r="AW201">
            <v>1</v>
          </cell>
          <cell r="AX201"/>
          <cell r="AY201"/>
          <cell r="AZ201"/>
          <cell r="BA201"/>
          <cell r="BB201">
            <v>1</v>
          </cell>
          <cell r="BC201"/>
          <cell r="BD201"/>
          <cell r="BE201"/>
          <cell r="BF201"/>
          <cell r="BG201">
            <v>1</v>
          </cell>
          <cell r="BH201"/>
          <cell r="BI201"/>
          <cell r="BJ201"/>
          <cell r="BK201">
            <v>33</v>
          </cell>
        </row>
        <row r="202">
          <cell r="B202" t="str">
            <v>전라남도 완도군</v>
          </cell>
          <cell r="C202">
            <v>1</v>
          </cell>
          <cell r="D202">
            <v>1</v>
          </cell>
          <cell r="E202">
            <v>1</v>
          </cell>
          <cell r="F202">
            <v>1</v>
          </cell>
          <cell r="G202">
            <v>1</v>
          </cell>
          <cell r="H202">
            <v>1</v>
          </cell>
          <cell r="I202">
            <v>1</v>
          </cell>
          <cell r="J202">
            <v>1</v>
          </cell>
          <cell r="K202"/>
          <cell r="L202">
            <v>1</v>
          </cell>
          <cell r="M202"/>
          <cell r="N202">
            <v>1</v>
          </cell>
          <cell r="O202"/>
          <cell r="P202">
            <v>1</v>
          </cell>
          <cell r="Q202">
            <v>1</v>
          </cell>
          <cell r="R202">
            <v>1</v>
          </cell>
          <cell r="S202">
            <v>1</v>
          </cell>
          <cell r="T202">
            <v>1</v>
          </cell>
          <cell r="U202">
            <v>1</v>
          </cell>
          <cell r="V202"/>
          <cell r="W202"/>
          <cell r="X202"/>
          <cell r="Y202"/>
          <cell r="Z202">
            <v>1</v>
          </cell>
          <cell r="AA202">
            <v>1</v>
          </cell>
          <cell r="AB202">
            <v>1</v>
          </cell>
          <cell r="AC202">
            <v>1</v>
          </cell>
          <cell r="AD202">
            <v>1</v>
          </cell>
          <cell r="AE202">
            <v>1</v>
          </cell>
          <cell r="AF202"/>
          <cell r="AG202"/>
          <cell r="AH202">
            <v>1</v>
          </cell>
          <cell r="AI202">
            <v>1</v>
          </cell>
          <cell r="AJ202">
            <v>1</v>
          </cell>
          <cell r="AK202"/>
          <cell r="AL202"/>
          <cell r="AM202">
            <v>1</v>
          </cell>
          <cell r="AN202"/>
          <cell r="AO202"/>
          <cell r="AP202"/>
          <cell r="AQ202"/>
          <cell r="AR202"/>
          <cell r="AS202"/>
          <cell r="AT202"/>
          <cell r="AU202">
            <v>1</v>
          </cell>
          <cell r="AV202"/>
          <cell r="AW202">
            <v>1</v>
          </cell>
          <cell r="AX202">
            <v>1</v>
          </cell>
          <cell r="AY202"/>
          <cell r="AZ202"/>
          <cell r="BA202">
            <v>1</v>
          </cell>
          <cell r="BB202">
            <v>1</v>
          </cell>
          <cell r="BC202"/>
          <cell r="BD202"/>
          <cell r="BE202">
            <v>1</v>
          </cell>
          <cell r="BF202"/>
          <cell r="BG202">
            <v>1</v>
          </cell>
          <cell r="BH202"/>
          <cell r="BI202"/>
          <cell r="BJ202"/>
          <cell r="BK202">
            <v>33</v>
          </cell>
        </row>
        <row r="203">
          <cell r="B203" t="str">
            <v>전라남도 진도군</v>
          </cell>
          <cell r="C203">
            <v>1</v>
          </cell>
          <cell r="D203">
            <v>1</v>
          </cell>
          <cell r="E203">
            <v>1</v>
          </cell>
          <cell r="F203">
            <v>1</v>
          </cell>
          <cell r="G203">
            <v>1</v>
          </cell>
          <cell r="H203">
            <v>1</v>
          </cell>
          <cell r="I203">
            <v>1</v>
          </cell>
          <cell r="J203">
            <v>1</v>
          </cell>
          <cell r="K203"/>
          <cell r="L203">
            <v>1</v>
          </cell>
          <cell r="M203"/>
          <cell r="N203">
            <v>1</v>
          </cell>
          <cell r="O203"/>
          <cell r="P203">
            <v>1</v>
          </cell>
          <cell r="Q203"/>
          <cell r="R203"/>
          <cell r="S203">
            <v>1</v>
          </cell>
          <cell r="T203">
            <v>1</v>
          </cell>
          <cell r="U203"/>
          <cell r="V203">
            <v>1</v>
          </cell>
          <cell r="W203"/>
          <cell r="X203"/>
          <cell r="Y203"/>
          <cell r="Z203">
            <v>1</v>
          </cell>
          <cell r="AA203"/>
          <cell r="AB203">
            <v>1</v>
          </cell>
          <cell r="AC203">
            <v>1</v>
          </cell>
          <cell r="AD203"/>
          <cell r="AE203">
            <v>1</v>
          </cell>
          <cell r="AF203"/>
          <cell r="AG203"/>
          <cell r="AH203"/>
          <cell r="AI203"/>
          <cell r="AJ203">
            <v>1</v>
          </cell>
          <cell r="AK203"/>
          <cell r="AL203"/>
          <cell r="AM203">
            <v>1</v>
          </cell>
          <cell r="AN203"/>
          <cell r="AO203"/>
          <cell r="AP203"/>
          <cell r="AQ203"/>
          <cell r="AR203"/>
          <cell r="AS203"/>
          <cell r="AT203"/>
          <cell r="AU203">
            <v>1</v>
          </cell>
          <cell r="AV203"/>
          <cell r="AW203"/>
          <cell r="AX203"/>
          <cell r="AY203"/>
          <cell r="AZ203"/>
          <cell r="BA203"/>
          <cell r="BB203"/>
          <cell r="BC203"/>
          <cell r="BD203"/>
          <cell r="BE203">
            <v>1</v>
          </cell>
          <cell r="BF203"/>
          <cell r="BG203">
            <v>1</v>
          </cell>
          <cell r="BH203"/>
          <cell r="BI203"/>
          <cell r="BJ203"/>
          <cell r="BK203">
            <v>23</v>
          </cell>
        </row>
        <row r="204">
          <cell r="B204" t="str">
            <v>전라남도 신안군</v>
          </cell>
          <cell r="C204"/>
          <cell r="D204">
            <v>1</v>
          </cell>
          <cell r="E204">
            <v>1</v>
          </cell>
          <cell r="F204">
            <v>1</v>
          </cell>
          <cell r="G204"/>
          <cell r="H204">
            <v>1</v>
          </cell>
          <cell r="I204">
            <v>1</v>
          </cell>
          <cell r="J204"/>
          <cell r="K204">
            <v>1</v>
          </cell>
          <cell r="L204">
            <v>1</v>
          </cell>
          <cell r="M204"/>
          <cell r="N204">
            <v>1</v>
          </cell>
          <cell r="O204">
            <v>1</v>
          </cell>
          <cell r="P204">
            <v>1</v>
          </cell>
          <cell r="Q204"/>
          <cell r="R204"/>
          <cell r="S204">
            <v>1</v>
          </cell>
          <cell r="T204">
            <v>1</v>
          </cell>
          <cell r="U204">
            <v>1</v>
          </cell>
          <cell r="V204">
            <v>1</v>
          </cell>
          <cell r="W204"/>
          <cell r="X204"/>
          <cell r="Y204"/>
          <cell r="Z204"/>
          <cell r="AA204">
            <v>1</v>
          </cell>
          <cell r="AB204">
            <v>1</v>
          </cell>
          <cell r="AC204">
            <v>1</v>
          </cell>
          <cell r="AD204">
            <v>1</v>
          </cell>
          <cell r="AE204">
            <v>1</v>
          </cell>
          <cell r="AF204"/>
          <cell r="AG204"/>
          <cell r="AH204">
            <v>1</v>
          </cell>
          <cell r="AI204"/>
          <cell r="AJ204">
            <v>1</v>
          </cell>
          <cell r="AK204"/>
          <cell r="AL204"/>
          <cell r="AM204"/>
          <cell r="AN204"/>
          <cell r="AO204"/>
          <cell r="AP204"/>
          <cell r="AQ204"/>
          <cell r="AR204"/>
          <cell r="AS204">
            <v>1</v>
          </cell>
          <cell r="AT204"/>
          <cell r="AU204">
            <v>1</v>
          </cell>
          <cell r="AV204"/>
          <cell r="AW204"/>
          <cell r="AX204"/>
          <cell r="AY204"/>
          <cell r="AZ204"/>
          <cell r="BA204"/>
          <cell r="BB204"/>
          <cell r="BC204"/>
          <cell r="BD204"/>
          <cell r="BE204"/>
          <cell r="BF204"/>
          <cell r="BG204"/>
          <cell r="BH204"/>
          <cell r="BI204"/>
          <cell r="BJ204"/>
          <cell r="BK204">
            <v>23</v>
          </cell>
        </row>
        <row r="205">
          <cell r="B205" t="str">
            <v>경상북도</v>
          </cell>
          <cell r="C205"/>
          <cell r="D205"/>
          <cell r="E205"/>
          <cell r="F205"/>
          <cell r="G205"/>
          <cell r="H205"/>
          <cell r="I205">
            <v>1</v>
          </cell>
          <cell r="J205"/>
          <cell r="K205">
            <v>1</v>
          </cell>
          <cell r="L205">
            <v>1</v>
          </cell>
          <cell r="M205">
            <v>1</v>
          </cell>
          <cell r="N205"/>
          <cell r="O205">
            <v>1</v>
          </cell>
          <cell r="P205"/>
          <cell r="Q205"/>
          <cell r="R205"/>
          <cell r="S205">
            <v>1</v>
          </cell>
          <cell r="T205"/>
          <cell r="U205"/>
          <cell r="V205"/>
          <cell r="W205"/>
          <cell r="X205"/>
          <cell r="Y205"/>
          <cell r="Z205"/>
          <cell r="AA205"/>
          <cell r="AB205">
            <v>1</v>
          </cell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/>
          <cell r="AO205"/>
          <cell r="AP205"/>
          <cell r="AQ205"/>
          <cell r="AR205"/>
          <cell r="AS205"/>
          <cell r="AT205"/>
          <cell r="AU205"/>
          <cell r="AV205"/>
          <cell r="AW205"/>
          <cell r="AX205"/>
          <cell r="AY205"/>
          <cell r="AZ205"/>
          <cell r="BA205"/>
          <cell r="BB205"/>
          <cell r="BC205"/>
          <cell r="BD205"/>
          <cell r="BE205"/>
          <cell r="BF205"/>
          <cell r="BG205"/>
          <cell r="BH205"/>
          <cell r="BI205"/>
          <cell r="BJ205"/>
          <cell r="BK205">
            <v>7</v>
          </cell>
        </row>
        <row r="206">
          <cell r="B206" t="str">
            <v>경상북도 포항시</v>
          </cell>
          <cell r="C206">
            <v>1</v>
          </cell>
          <cell r="D206">
            <v>1</v>
          </cell>
          <cell r="E206">
            <v>1</v>
          </cell>
          <cell r="F206">
            <v>1</v>
          </cell>
          <cell r="G206">
            <v>1</v>
          </cell>
          <cell r="H206">
            <v>1</v>
          </cell>
          <cell r="I206">
            <v>1</v>
          </cell>
          <cell r="J206">
            <v>1</v>
          </cell>
          <cell r="K206">
            <v>1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1</v>
          </cell>
          <cell r="S206">
            <v>1</v>
          </cell>
          <cell r="T206">
            <v>1</v>
          </cell>
          <cell r="U206">
            <v>1</v>
          </cell>
          <cell r="V206">
            <v>1</v>
          </cell>
          <cell r="W206"/>
          <cell r="X206"/>
          <cell r="Y206">
            <v>1</v>
          </cell>
          <cell r="Z206">
            <v>1</v>
          </cell>
          <cell r="AA206">
            <v>1</v>
          </cell>
          <cell r="AB206">
            <v>1</v>
          </cell>
          <cell r="AC206">
            <v>1</v>
          </cell>
          <cell r="AD206"/>
          <cell r="AE206">
            <v>1</v>
          </cell>
          <cell r="AF206"/>
          <cell r="AG206">
            <v>1</v>
          </cell>
          <cell r="AH206">
            <v>1</v>
          </cell>
          <cell r="AI206">
            <v>1</v>
          </cell>
          <cell r="AJ206">
            <v>1</v>
          </cell>
          <cell r="AK206"/>
          <cell r="AL206"/>
          <cell r="AM206">
            <v>1</v>
          </cell>
          <cell r="AN206">
            <v>1</v>
          </cell>
          <cell r="AO206"/>
          <cell r="AP206">
            <v>1</v>
          </cell>
          <cell r="AQ206">
            <v>1</v>
          </cell>
          <cell r="AR206">
            <v>1</v>
          </cell>
          <cell r="AS206">
            <v>1</v>
          </cell>
          <cell r="AT206"/>
          <cell r="AU206">
            <v>1</v>
          </cell>
          <cell r="AV206"/>
          <cell r="AW206">
            <v>1</v>
          </cell>
          <cell r="AX206"/>
          <cell r="AY206">
            <v>1</v>
          </cell>
          <cell r="AZ206"/>
          <cell r="BA206">
            <v>1</v>
          </cell>
          <cell r="BB206">
            <v>1</v>
          </cell>
          <cell r="BC206"/>
          <cell r="BD206"/>
          <cell r="BE206">
            <v>1</v>
          </cell>
          <cell r="BF206"/>
          <cell r="BG206">
            <v>1</v>
          </cell>
          <cell r="BH206"/>
          <cell r="BI206"/>
          <cell r="BJ206"/>
          <cell r="BK206">
            <v>43</v>
          </cell>
        </row>
        <row r="207">
          <cell r="B207" t="str">
            <v>경상북도 경주시</v>
          </cell>
          <cell r="C207">
            <v>1</v>
          </cell>
          <cell r="D207">
            <v>1</v>
          </cell>
          <cell r="E207">
            <v>1</v>
          </cell>
          <cell r="F207">
            <v>1</v>
          </cell>
          <cell r="G207">
            <v>1</v>
          </cell>
          <cell r="H207">
            <v>1</v>
          </cell>
          <cell r="I207">
            <v>1</v>
          </cell>
          <cell r="J207">
            <v>1</v>
          </cell>
          <cell r="K207">
            <v>1</v>
          </cell>
          <cell r="L207">
            <v>1</v>
          </cell>
          <cell r="M207">
            <v>1</v>
          </cell>
          <cell r="N207">
            <v>1</v>
          </cell>
          <cell r="O207"/>
          <cell r="P207">
            <v>1</v>
          </cell>
          <cell r="Q207"/>
          <cell r="R207">
            <v>1</v>
          </cell>
          <cell r="S207">
            <v>1</v>
          </cell>
          <cell r="T207">
            <v>1</v>
          </cell>
          <cell r="U207">
            <v>1</v>
          </cell>
          <cell r="V207">
            <v>1</v>
          </cell>
          <cell r="W207"/>
          <cell r="X207">
            <v>1</v>
          </cell>
          <cell r="Y207"/>
          <cell r="Z207"/>
          <cell r="AA207">
            <v>1</v>
          </cell>
          <cell r="AB207">
            <v>1</v>
          </cell>
          <cell r="AC207">
            <v>1</v>
          </cell>
          <cell r="AD207">
            <v>1</v>
          </cell>
          <cell r="AE207"/>
          <cell r="AF207"/>
          <cell r="AG207">
            <v>1</v>
          </cell>
          <cell r="AH207">
            <v>1</v>
          </cell>
          <cell r="AI207">
            <v>1</v>
          </cell>
          <cell r="AJ207">
            <v>1</v>
          </cell>
          <cell r="AK207"/>
          <cell r="AL207"/>
          <cell r="AM207">
            <v>1</v>
          </cell>
          <cell r="AN207"/>
          <cell r="AO207"/>
          <cell r="AP207"/>
          <cell r="AQ207"/>
          <cell r="AR207"/>
          <cell r="AS207"/>
          <cell r="AT207"/>
          <cell r="AU207">
            <v>1</v>
          </cell>
          <cell r="AV207"/>
          <cell r="AW207"/>
          <cell r="AX207">
            <v>1</v>
          </cell>
          <cell r="AY207">
            <v>1</v>
          </cell>
          <cell r="AZ207"/>
          <cell r="BA207"/>
          <cell r="BB207">
            <v>1</v>
          </cell>
          <cell r="BC207">
            <v>1</v>
          </cell>
          <cell r="BD207"/>
          <cell r="BE207"/>
          <cell r="BF207"/>
          <cell r="BG207"/>
          <cell r="BH207"/>
          <cell r="BI207"/>
          <cell r="BJ207"/>
          <cell r="BK207">
            <v>33</v>
          </cell>
        </row>
        <row r="208">
          <cell r="B208" t="str">
            <v>경상북도 김천시</v>
          </cell>
          <cell r="C208"/>
          <cell r="D208">
            <v>1</v>
          </cell>
          <cell r="E208">
            <v>1</v>
          </cell>
          <cell r="F208">
            <v>1</v>
          </cell>
          <cell r="G208">
            <v>1</v>
          </cell>
          <cell r="H208">
            <v>1</v>
          </cell>
          <cell r="I208">
            <v>1</v>
          </cell>
          <cell r="J208">
            <v>1</v>
          </cell>
          <cell r="K208">
            <v>1</v>
          </cell>
          <cell r="L208">
            <v>1</v>
          </cell>
          <cell r="M208">
            <v>1</v>
          </cell>
          <cell r="N208">
            <v>1</v>
          </cell>
          <cell r="O208"/>
          <cell r="P208">
            <v>1</v>
          </cell>
          <cell r="Q208">
            <v>1</v>
          </cell>
          <cell r="R208"/>
          <cell r="S208">
            <v>1</v>
          </cell>
          <cell r="T208">
            <v>1</v>
          </cell>
          <cell r="U208">
            <v>1</v>
          </cell>
          <cell r="V208">
            <v>1</v>
          </cell>
          <cell r="W208"/>
          <cell r="X208"/>
          <cell r="Y208">
            <v>1</v>
          </cell>
          <cell r="Z208">
            <v>1</v>
          </cell>
          <cell r="AA208">
            <v>1</v>
          </cell>
          <cell r="AB208">
            <v>1</v>
          </cell>
          <cell r="AC208"/>
          <cell r="AD208"/>
          <cell r="AE208"/>
          <cell r="AF208"/>
          <cell r="AG208">
            <v>1</v>
          </cell>
          <cell r="AH208">
            <v>1</v>
          </cell>
          <cell r="AI208">
            <v>1</v>
          </cell>
          <cell r="AJ208">
            <v>1</v>
          </cell>
          <cell r="AK208"/>
          <cell r="AL208"/>
          <cell r="AM208">
            <v>1</v>
          </cell>
          <cell r="AN208"/>
          <cell r="AO208"/>
          <cell r="AP208"/>
          <cell r="AQ208">
            <v>1</v>
          </cell>
          <cell r="AR208">
            <v>1</v>
          </cell>
          <cell r="AS208"/>
          <cell r="AT208"/>
          <cell r="AU208">
            <v>1</v>
          </cell>
          <cell r="AV208"/>
          <cell r="AW208">
            <v>1</v>
          </cell>
          <cell r="AX208"/>
          <cell r="AY208"/>
          <cell r="AZ208"/>
          <cell r="BA208"/>
          <cell r="BB208">
            <v>1</v>
          </cell>
          <cell r="BC208"/>
          <cell r="BD208"/>
          <cell r="BE208"/>
          <cell r="BF208"/>
          <cell r="BG208">
            <v>1</v>
          </cell>
          <cell r="BH208"/>
          <cell r="BI208"/>
          <cell r="BJ208"/>
          <cell r="BK208">
            <v>32</v>
          </cell>
        </row>
        <row r="209">
          <cell r="B209" t="str">
            <v>경상북도 안동시</v>
          </cell>
          <cell r="C209">
            <v>1</v>
          </cell>
          <cell r="D209">
            <v>1</v>
          </cell>
          <cell r="E209">
            <v>1</v>
          </cell>
          <cell r="F209">
            <v>1</v>
          </cell>
          <cell r="G209">
            <v>1</v>
          </cell>
          <cell r="H209">
            <v>1</v>
          </cell>
          <cell r="I209">
            <v>1</v>
          </cell>
          <cell r="J209">
            <v>1</v>
          </cell>
          <cell r="K209">
            <v>1</v>
          </cell>
          <cell r="L209">
            <v>1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/>
          <cell r="R209"/>
          <cell r="S209">
            <v>1</v>
          </cell>
          <cell r="T209">
            <v>1</v>
          </cell>
          <cell r="U209">
            <v>1</v>
          </cell>
          <cell r="V209"/>
          <cell r="W209"/>
          <cell r="X209">
            <v>1</v>
          </cell>
          <cell r="Y209"/>
          <cell r="Z209">
            <v>1</v>
          </cell>
          <cell r="AA209">
            <v>1</v>
          </cell>
          <cell r="AB209">
            <v>1</v>
          </cell>
          <cell r="AC209">
            <v>1</v>
          </cell>
          <cell r="AD209"/>
          <cell r="AE209">
            <v>1</v>
          </cell>
          <cell r="AF209"/>
          <cell r="AG209"/>
          <cell r="AH209">
            <v>1</v>
          </cell>
          <cell r="AI209"/>
          <cell r="AJ209">
            <v>1</v>
          </cell>
          <cell r="AK209"/>
          <cell r="AL209"/>
          <cell r="AM209">
            <v>1</v>
          </cell>
          <cell r="AN209"/>
          <cell r="AO209"/>
          <cell r="AP209"/>
          <cell r="AQ209"/>
          <cell r="AR209"/>
          <cell r="AS209"/>
          <cell r="AT209"/>
          <cell r="AU209">
            <v>1</v>
          </cell>
          <cell r="AV209"/>
          <cell r="AW209"/>
          <cell r="AX209"/>
          <cell r="AY209"/>
          <cell r="AZ209"/>
          <cell r="BA209">
            <v>1</v>
          </cell>
          <cell r="BB209">
            <v>1</v>
          </cell>
          <cell r="BC209"/>
          <cell r="BD209"/>
          <cell r="BE209"/>
          <cell r="BF209"/>
          <cell r="BG209">
            <v>1</v>
          </cell>
          <cell r="BH209"/>
          <cell r="BI209"/>
          <cell r="BJ209"/>
          <cell r="BK209">
            <v>30</v>
          </cell>
        </row>
        <row r="210">
          <cell r="B210" t="str">
            <v>경상북도 구미시</v>
          </cell>
          <cell r="C210">
            <v>1</v>
          </cell>
          <cell r="D210">
            <v>1</v>
          </cell>
          <cell r="E210">
            <v>1</v>
          </cell>
          <cell r="F210">
            <v>1</v>
          </cell>
          <cell r="G210">
            <v>1</v>
          </cell>
          <cell r="H210">
            <v>1</v>
          </cell>
          <cell r="I210">
            <v>1</v>
          </cell>
          <cell r="J210">
            <v>1</v>
          </cell>
          <cell r="K210">
            <v>1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1</v>
          </cell>
          <cell r="U210">
            <v>1</v>
          </cell>
          <cell r="V210">
            <v>1</v>
          </cell>
          <cell r="W210"/>
          <cell r="X210"/>
          <cell r="Y210"/>
          <cell r="Z210">
            <v>1</v>
          </cell>
          <cell r="AA210">
            <v>1</v>
          </cell>
          <cell r="AB210">
            <v>1</v>
          </cell>
          <cell r="AC210"/>
          <cell r="AD210">
            <v>1</v>
          </cell>
          <cell r="AE210"/>
          <cell r="AF210"/>
          <cell r="AG210">
            <v>1</v>
          </cell>
          <cell r="AH210">
            <v>1</v>
          </cell>
          <cell r="AI210">
            <v>1</v>
          </cell>
          <cell r="AJ210">
            <v>1</v>
          </cell>
          <cell r="AK210">
            <v>1</v>
          </cell>
          <cell r="AL210"/>
          <cell r="AM210">
            <v>1</v>
          </cell>
          <cell r="AN210"/>
          <cell r="AO210"/>
          <cell r="AP210"/>
          <cell r="AQ210"/>
          <cell r="AR210">
            <v>1</v>
          </cell>
          <cell r="AS210"/>
          <cell r="AT210"/>
          <cell r="AU210">
            <v>1</v>
          </cell>
          <cell r="AV210"/>
          <cell r="AW210">
            <v>1</v>
          </cell>
          <cell r="AX210">
            <v>1</v>
          </cell>
          <cell r="AY210">
            <v>1</v>
          </cell>
          <cell r="AZ210"/>
          <cell r="BA210"/>
          <cell r="BB210"/>
          <cell r="BC210">
            <v>1</v>
          </cell>
          <cell r="BD210"/>
          <cell r="BE210"/>
          <cell r="BF210"/>
          <cell r="BG210"/>
          <cell r="BH210"/>
          <cell r="BI210"/>
          <cell r="BJ210"/>
          <cell r="BK210">
            <v>36</v>
          </cell>
        </row>
        <row r="211">
          <cell r="B211" t="str">
            <v>경상북도 영주시</v>
          </cell>
          <cell r="C211">
            <v>1</v>
          </cell>
          <cell r="D211">
            <v>1</v>
          </cell>
          <cell r="E211">
            <v>1</v>
          </cell>
          <cell r="F211">
            <v>1</v>
          </cell>
          <cell r="G211">
            <v>1</v>
          </cell>
          <cell r="H211">
            <v>1</v>
          </cell>
          <cell r="I211">
            <v>1</v>
          </cell>
          <cell r="J211">
            <v>1</v>
          </cell>
          <cell r="K211"/>
          <cell r="L211">
            <v>1</v>
          </cell>
          <cell r="M211"/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1</v>
          </cell>
          <cell r="S211">
            <v>1</v>
          </cell>
          <cell r="T211">
            <v>1</v>
          </cell>
          <cell r="U211">
            <v>1</v>
          </cell>
          <cell r="V211">
            <v>1</v>
          </cell>
          <cell r="W211"/>
          <cell r="X211"/>
          <cell r="Y211"/>
          <cell r="Z211"/>
          <cell r="AA211"/>
          <cell r="AB211">
            <v>1</v>
          </cell>
          <cell r="AC211">
            <v>1</v>
          </cell>
          <cell r="AD211">
            <v>1</v>
          </cell>
          <cell r="AE211">
            <v>1</v>
          </cell>
          <cell r="AF211"/>
          <cell r="AG211"/>
          <cell r="AH211">
            <v>1</v>
          </cell>
          <cell r="AI211">
            <v>1</v>
          </cell>
          <cell r="AJ211">
            <v>1</v>
          </cell>
          <cell r="AK211"/>
          <cell r="AL211"/>
          <cell r="AM211">
            <v>1</v>
          </cell>
          <cell r="AN211"/>
          <cell r="AO211"/>
          <cell r="AP211"/>
          <cell r="AQ211"/>
          <cell r="AR211">
            <v>1</v>
          </cell>
          <cell r="AS211"/>
          <cell r="AT211"/>
          <cell r="AU211">
            <v>1</v>
          </cell>
          <cell r="AV211"/>
          <cell r="AW211">
            <v>1</v>
          </cell>
          <cell r="AX211"/>
          <cell r="AY211"/>
          <cell r="AZ211"/>
          <cell r="BA211">
            <v>1</v>
          </cell>
          <cell r="BB211">
            <v>1</v>
          </cell>
          <cell r="BC211"/>
          <cell r="BD211">
            <v>1</v>
          </cell>
          <cell r="BE211">
            <v>1</v>
          </cell>
          <cell r="BF211"/>
          <cell r="BG211"/>
          <cell r="BH211"/>
          <cell r="BI211"/>
          <cell r="BJ211"/>
          <cell r="BK211">
            <v>33</v>
          </cell>
        </row>
        <row r="212">
          <cell r="B212" t="str">
            <v>경상북도 영천시</v>
          </cell>
          <cell r="C212">
            <v>1</v>
          </cell>
          <cell r="D212">
            <v>1</v>
          </cell>
          <cell r="E212">
            <v>1</v>
          </cell>
          <cell r="F212">
            <v>1</v>
          </cell>
          <cell r="G212"/>
          <cell r="H212">
            <v>1</v>
          </cell>
          <cell r="I212">
            <v>1</v>
          </cell>
          <cell r="J212">
            <v>1</v>
          </cell>
          <cell r="K212">
            <v>1</v>
          </cell>
          <cell r="L212"/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/>
          <cell r="S212">
            <v>1</v>
          </cell>
          <cell r="T212">
            <v>1</v>
          </cell>
          <cell r="U212">
            <v>1</v>
          </cell>
          <cell r="V212">
            <v>1</v>
          </cell>
          <cell r="W212"/>
          <cell r="X212"/>
          <cell r="Y212"/>
          <cell r="Z212">
            <v>1</v>
          </cell>
          <cell r="AA212">
            <v>1</v>
          </cell>
          <cell r="AB212">
            <v>1</v>
          </cell>
          <cell r="AC212">
            <v>1</v>
          </cell>
          <cell r="AD212">
            <v>1</v>
          </cell>
          <cell r="AE212">
            <v>1</v>
          </cell>
          <cell r="AF212"/>
          <cell r="AG212">
            <v>1</v>
          </cell>
          <cell r="AH212">
            <v>1</v>
          </cell>
          <cell r="AI212">
            <v>1</v>
          </cell>
          <cell r="AJ212">
            <v>1</v>
          </cell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>
            <v>1</v>
          </cell>
          <cell r="AV212"/>
          <cell r="AW212">
            <v>1</v>
          </cell>
          <cell r="AX212"/>
          <cell r="AY212">
            <v>1</v>
          </cell>
          <cell r="AZ212"/>
          <cell r="BA212">
            <v>1</v>
          </cell>
          <cell r="BB212">
            <v>1</v>
          </cell>
          <cell r="BC212"/>
          <cell r="BD212"/>
          <cell r="BE212"/>
          <cell r="BF212"/>
          <cell r="BG212">
            <v>1</v>
          </cell>
          <cell r="BH212"/>
          <cell r="BI212"/>
          <cell r="BJ212"/>
          <cell r="BK212">
            <v>33</v>
          </cell>
        </row>
        <row r="213">
          <cell r="B213" t="str">
            <v>경상북도 상주시</v>
          </cell>
          <cell r="C213">
            <v>1</v>
          </cell>
          <cell r="D213">
            <v>1</v>
          </cell>
          <cell r="E213">
            <v>1</v>
          </cell>
          <cell r="F213">
            <v>1</v>
          </cell>
          <cell r="G213">
            <v>1</v>
          </cell>
          <cell r="H213">
            <v>1</v>
          </cell>
          <cell r="I213">
            <v>1</v>
          </cell>
          <cell r="J213">
            <v>1</v>
          </cell>
          <cell r="K213">
            <v>1</v>
          </cell>
          <cell r="L213">
            <v>1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1</v>
          </cell>
          <cell r="S213">
            <v>1</v>
          </cell>
          <cell r="T213">
            <v>1</v>
          </cell>
          <cell r="U213">
            <v>1</v>
          </cell>
          <cell r="V213">
            <v>1</v>
          </cell>
          <cell r="W213"/>
          <cell r="X213"/>
          <cell r="Y213"/>
          <cell r="Z213">
            <v>1</v>
          </cell>
          <cell r="AA213">
            <v>1</v>
          </cell>
          <cell r="AB213">
            <v>1</v>
          </cell>
          <cell r="AC213">
            <v>1</v>
          </cell>
          <cell r="AD213">
            <v>1</v>
          </cell>
          <cell r="AE213"/>
          <cell r="AF213"/>
          <cell r="AG213"/>
          <cell r="AH213">
            <v>1</v>
          </cell>
          <cell r="AI213">
            <v>1</v>
          </cell>
          <cell r="AJ213">
            <v>1</v>
          </cell>
          <cell r="AK213"/>
          <cell r="AL213"/>
          <cell r="AM213"/>
          <cell r="AN213">
            <v>1</v>
          </cell>
          <cell r="AO213"/>
          <cell r="AP213">
            <v>1</v>
          </cell>
          <cell r="AQ213"/>
          <cell r="AR213">
            <v>1</v>
          </cell>
          <cell r="AS213">
            <v>1</v>
          </cell>
          <cell r="AT213"/>
          <cell r="AU213">
            <v>1</v>
          </cell>
          <cell r="AV213"/>
          <cell r="AW213">
            <v>1</v>
          </cell>
          <cell r="AX213"/>
          <cell r="AY213">
            <v>1</v>
          </cell>
          <cell r="AZ213"/>
          <cell r="BA213">
            <v>1</v>
          </cell>
          <cell r="BB213"/>
          <cell r="BC213">
            <v>1</v>
          </cell>
          <cell r="BD213">
            <v>1</v>
          </cell>
          <cell r="BE213"/>
          <cell r="BF213"/>
          <cell r="BG213">
            <v>1</v>
          </cell>
          <cell r="BH213"/>
          <cell r="BI213"/>
          <cell r="BJ213"/>
          <cell r="BK213">
            <v>39</v>
          </cell>
        </row>
        <row r="214">
          <cell r="B214" t="str">
            <v>경상북도 문경시</v>
          </cell>
          <cell r="C214">
            <v>1</v>
          </cell>
          <cell r="D214">
            <v>1</v>
          </cell>
          <cell r="E214">
            <v>1</v>
          </cell>
          <cell r="F214">
            <v>1</v>
          </cell>
          <cell r="G214">
            <v>1</v>
          </cell>
          <cell r="H214">
            <v>1</v>
          </cell>
          <cell r="I214">
            <v>1</v>
          </cell>
          <cell r="J214">
            <v>1</v>
          </cell>
          <cell r="K214">
            <v>1</v>
          </cell>
          <cell r="L214">
            <v>1</v>
          </cell>
          <cell r="M214">
            <v>1</v>
          </cell>
          <cell r="N214">
            <v>1</v>
          </cell>
          <cell r="O214"/>
          <cell r="P214">
            <v>1</v>
          </cell>
          <cell r="Q214">
            <v>1</v>
          </cell>
          <cell r="R214">
            <v>1</v>
          </cell>
          <cell r="S214">
            <v>1</v>
          </cell>
          <cell r="T214">
            <v>1</v>
          </cell>
          <cell r="U214">
            <v>1</v>
          </cell>
          <cell r="V214"/>
          <cell r="W214"/>
          <cell r="X214"/>
          <cell r="Y214"/>
          <cell r="Z214"/>
          <cell r="AA214">
            <v>1</v>
          </cell>
          <cell r="AB214">
            <v>1</v>
          </cell>
          <cell r="AC214">
            <v>1</v>
          </cell>
          <cell r="AD214">
            <v>1</v>
          </cell>
          <cell r="AE214">
            <v>1</v>
          </cell>
          <cell r="AF214">
            <v>1</v>
          </cell>
          <cell r="AG214"/>
          <cell r="AH214">
            <v>1</v>
          </cell>
          <cell r="AI214">
            <v>1</v>
          </cell>
          <cell r="AJ214">
            <v>1</v>
          </cell>
          <cell r="AK214">
            <v>1</v>
          </cell>
          <cell r="AL214"/>
          <cell r="AM214"/>
          <cell r="AN214"/>
          <cell r="AO214"/>
          <cell r="AP214"/>
          <cell r="AQ214"/>
          <cell r="AR214">
            <v>1</v>
          </cell>
          <cell r="AS214"/>
          <cell r="AT214"/>
          <cell r="AU214">
            <v>1</v>
          </cell>
          <cell r="AV214"/>
          <cell r="AW214">
            <v>1</v>
          </cell>
          <cell r="AX214"/>
          <cell r="AY214">
            <v>1</v>
          </cell>
          <cell r="AZ214"/>
          <cell r="BA214">
            <v>1</v>
          </cell>
          <cell r="BB214">
            <v>1</v>
          </cell>
          <cell r="BC214"/>
          <cell r="BD214"/>
          <cell r="BE214"/>
          <cell r="BF214"/>
          <cell r="BG214">
            <v>1</v>
          </cell>
          <cell r="BH214"/>
          <cell r="BI214"/>
          <cell r="BJ214"/>
          <cell r="BK214">
            <v>35</v>
          </cell>
        </row>
        <row r="215">
          <cell r="B215" t="str">
            <v>경상북도 경산시</v>
          </cell>
          <cell r="C215">
            <v>1</v>
          </cell>
          <cell r="D215">
            <v>1</v>
          </cell>
          <cell r="E215">
            <v>1</v>
          </cell>
          <cell r="F215">
            <v>1</v>
          </cell>
          <cell r="G215">
            <v>1</v>
          </cell>
          <cell r="H215">
            <v>1</v>
          </cell>
          <cell r="I215">
            <v>1</v>
          </cell>
          <cell r="J215">
            <v>1</v>
          </cell>
          <cell r="K215"/>
          <cell r="L215">
            <v>1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/>
          <cell r="R215"/>
          <cell r="S215">
            <v>1</v>
          </cell>
          <cell r="T215">
            <v>1</v>
          </cell>
          <cell r="U215">
            <v>1</v>
          </cell>
          <cell r="V215">
            <v>1</v>
          </cell>
          <cell r="W215"/>
          <cell r="X215"/>
          <cell r="Y215"/>
          <cell r="Z215"/>
          <cell r="AA215">
            <v>1</v>
          </cell>
          <cell r="AB215">
            <v>1</v>
          </cell>
          <cell r="AC215">
            <v>1</v>
          </cell>
          <cell r="AD215"/>
          <cell r="AE215"/>
          <cell r="AF215"/>
          <cell r="AG215">
            <v>1</v>
          </cell>
          <cell r="AH215">
            <v>1</v>
          </cell>
          <cell r="AI215">
            <v>1</v>
          </cell>
          <cell r="AJ215">
            <v>1</v>
          </cell>
          <cell r="AK215"/>
          <cell r="AL215"/>
          <cell r="AM215"/>
          <cell r="AN215"/>
          <cell r="AO215"/>
          <cell r="AP215"/>
          <cell r="AQ215"/>
          <cell r="AR215">
            <v>1</v>
          </cell>
          <cell r="AS215"/>
          <cell r="AT215"/>
          <cell r="AU215">
            <v>1</v>
          </cell>
          <cell r="AV215"/>
          <cell r="AW215">
            <v>1</v>
          </cell>
          <cell r="AX215">
            <v>1</v>
          </cell>
          <cell r="AY215">
            <v>1</v>
          </cell>
          <cell r="AZ215"/>
          <cell r="BA215">
            <v>1</v>
          </cell>
          <cell r="BB215">
            <v>1</v>
          </cell>
          <cell r="BC215">
            <v>1</v>
          </cell>
          <cell r="BD215"/>
          <cell r="BE215"/>
          <cell r="BF215"/>
          <cell r="BG215"/>
          <cell r="BH215"/>
          <cell r="BI215"/>
          <cell r="BJ215"/>
          <cell r="BK215">
            <v>32</v>
          </cell>
        </row>
        <row r="216">
          <cell r="B216" t="str">
            <v>경상북도 군위군</v>
          </cell>
          <cell r="C216">
            <v>1</v>
          </cell>
          <cell r="D216">
            <v>1</v>
          </cell>
          <cell r="E216">
            <v>1</v>
          </cell>
          <cell r="F216">
            <v>1</v>
          </cell>
          <cell r="G216">
            <v>1</v>
          </cell>
          <cell r="H216"/>
          <cell r="I216">
            <v>1</v>
          </cell>
          <cell r="J216">
            <v>1</v>
          </cell>
          <cell r="K216">
            <v>1</v>
          </cell>
          <cell r="L216"/>
          <cell r="M216">
            <v>1</v>
          </cell>
          <cell r="N216">
            <v>1</v>
          </cell>
          <cell r="O216"/>
          <cell r="P216">
            <v>1</v>
          </cell>
          <cell r="Q216">
            <v>1</v>
          </cell>
          <cell r="R216"/>
          <cell r="S216">
            <v>1</v>
          </cell>
          <cell r="T216">
            <v>1</v>
          </cell>
          <cell r="U216">
            <v>1</v>
          </cell>
          <cell r="V216">
            <v>1</v>
          </cell>
          <cell r="W216"/>
          <cell r="X216"/>
          <cell r="Y216"/>
          <cell r="Z216">
            <v>1</v>
          </cell>
          <cell r="AA216"/>
          <cell r="AB216">
            <v>1</v>
          </cell>
          <cell r="AC216"/>
          <cell r="AD216">
            <v>1</v>
          </cell>
          <cell r="AE216"/>
          <cell r="AF216"/>
          <cell r="AG216"/>
          <cell r="AH216"/>
          <cell r="AI216">
            <v>1</v>
          </cell>
          <cell r="AJ216">
            <v>1</v>
          </cell>
          <cell r="AK216"/>
          <cell r="AL216"/>
          <cell r="AM216"/>
          <cell r="AN216"/>
          <cell r="AO216"/>
          <cell r="AP216"/>
          <cell r="AQ216"/>
          <cell r="AR216"/>
          <cell r="AS216"/>
          <cell r="AT216"/>
          <cell r="AU216">
            <v>1</v>
          </cell>
          <cell r="AV216"/>
          <cell r="AW216"/>
          <cell r="AX216"/>
          <cell r="AY216"/>
          <cell r="AZ216"/>
          <cell r="BA216"/>
          <cell r="BB216"/>
          <cell r="BC216"/>
          <cell r="BD216"/>
          <cell r="BE216"/>
          <cell r="BF216"/>
          <cell r="BG216"/>
          <cell r="BH216"/>
          <cell r="BI216"/>
          <cell r="BJ216"/>
          <cell r="BK216">
            <v>22</v>
          </cell>
        </row>
        <row r="217">
          <cell r="B217" t="str">
            <v>경상북도 의성군</v>
          </cell>
          <cell r="C217">
            <v>1</v>
          </cell>
          <cell r="D217">
            <v>1</v>
          </cell>
          <cell r="E217">
            <v>1</v>
          </cell>
          <cell r="F217">
            <v>1</v>
          </cell>
          <cell r="G217">
            <v>1</v>
          </cell>
          <cell r="H217"/>
          <cell r="I217">
            <v>1</v>
          </cell>
          <cell r="J217">
            <v>1</v>
          </cell>
          <cell r="K217">
            <v>1</v>
          </cell>
          <cell r="L217"/>
          <cell r="M217">
            <v>1</v>
          </cell>
          <cell r="N217">
            <v>1</v>
          </cell>
          <cell r="O217"/>
          <cell r="P217"/>
          <cell r="Q217"/>
          <cell r="R217"/>
          <cell r="S217">
            <v>1</v>
          </cell>
          <cell r="T217">
            <v>1</v>
          </cell>
          <cell r="U217">
            <v>1</v>
          </cell>
          <cell r="V217"/>
          <cell r="W217"/>
          <cell r="X217"/>
          <cell r="Y217"/>
          <cell r="Z217">
            <v>1</v>
          </cell>
          <cell r="AA217"/>
          <cell r="AB217">
            <v>1</v>
          </cell>
          <cell r="AC217">
            <v>1</v>
          </cell>
          <cell r="AD217">
            <v>1</v>
          </cell>
          <cell r="AE217">
            <v>1</v>
          </cell>
          <cell r="AF217">
            <v>1</v>
          </cell>
          <cell r="AG217"/>
          <cell r="AH217">
            <v>1</v>
          </cell>
          <cell r="AI217">
            <v>1</v>
          </cell>
          <cell r="AJ217">
            <v>1</v>
          </cell>
          <cell r="AK217"/>
          <cell r="AL217"/>
          <cell r="AM217"/>
          <cell r="AN217"/>
          <cell r="AO217"/>
          <cell r="AP217">
            <v>1</v>
          </cell>
          <cell r="AQ217"/>
          <cell r="AR217"/>
          <cell r="AS217"/>
          <cell r="AT217"/>
          <cell r="AU217">
            <v>1</v>
          </cell>
          <cell r="AV217"/>
          <cell r="AW217">
            <v>1</v>
          </cell>
          <cell r="AX217">
            <v>1</v>
          </cell>
          <cell r="AY217">
            <v>1</v>
          </cell>
          <cell r="AZ217"/>
          <cell r="BA217"/>
          <cell r="BB217">
            <v>1</v>
          </cell>
          <cell r="BC217"/>
          <cell r="BD217"/>
          <cell r="BE217"/>
          <cell r="BF217"/>
          <cell r="BG217">
            <v>1</v>
          </cell>
          <cell r="BH217"/>
          <cell r="BI217"/>
          <cell r="BJ217"/>
          <cell r="BK217">
            <v>29</v>
          </cell>
        </row>
        <row r="218">
          <cell r="B218" t="str">
            <v>경상북도 청송군</v>
          </cell>
          <cell r="C218">
            <v>1</v>
          </cell>
          <cell r="D218">
            <v>1</v>
          </cell>
          <cell r="E218">
            <v>1</v>
          </cell>
          <cell r="F218">
            <v>1</v>
          </cell>
          <cell r="G218">
            <v>1</v>
          </cell>
          <cell r="H218">
            <v>1</v>
          </cell>
          <cell r="I218">
            <v>1</v>
          </cell>
          <cell r="J218">
            <v>1</v>
          </cell>
          <cell r="K218">
            <v>1</v>
          </cell>
          <cell r="L218"/>
          <cell r="M218">
            <v>1</v>
          </cell>
          <cell r="N218">
            <v>1</v>
          </cell>
          <cell r="O218"/>
          <cell r="P218">
            <v>1</v>
          </cell>
          <cell r="Q218">
            <v>1</v>
          </cell>
          <cell r="R218"/>
          <cell r="S218">
            <v>1</v>
          </cell>
          <cell r="T218">
            <v>1</v>
          </cell>
          <cell r="U218">
            <v>1</v>
          </cell>
          <cell r="V218">
            <v>1</v>
          </cell>
          <cell r="W218"/>
          <cell r="X218"/>
          <cell r="Y218"/>
          <cell r="Z218"/>
          <cell r="AA218"/>
          <cell r="AB218">
            <v>1</v>
          </cell>
          <cell r="AC218">
            <v>1</v>
          </cell>
          <cell r="AD218">
            <v>1</v>
          </cell>
          <cell r="AE218">
            <v>1</v>
          </cell>
          <cell r="AF218"/>
          <cell r="AG218"/>
          <cell r="AH218"/>
          <cell r="AI218"/>
          <cell r="AJ218">
            <v>1</v>
          </cell>
          <cell r="AK218"/>
          <cell r="AL218"/>
          <cell r="AM218"/>
          <cell r="AN218"/>
          <cell r="AO218"/>
          <cell r="AP218"/>
          <cell r="AQ218"/>
          <cell r="AR218">
            <v>1</v>
          </cell>
          <cell r="AS218"/>
          <cell r="AT218"/>
          <cell r="AU218">
            <v>1</v>
          </cell>
          <cell r="AV218"/>
          <cell r="AW218">
            <v>1</v>
          </cell>
          <cell r="AX218"/>
          <cell r="AY218">
            <v>1</v>
          </cell>
          <cell r="AZ218"/>
          <cell r="BA218"/>
          <cell r="BB218"/>
          <cell r="BC218"/>
          <cell r="BD218"/>
          <cell r="BE218"/>
          <cell r="BF218"/>
          <cell r="BG218">
            <v>1</v>
          </cell>
          <cell r="BH218"/>
          <cell r="BI218"/>
          <cell r="BJ218"/>
          <cell r="BK218">
            <v>27</v>
          </cell>
        </row>
        <row r="219">
          <cell r="B219" t="str">
            <v>경상북도 영양군</v>
          </cell>
          <cell r="C219">
            <v>1</v>
          </cell>
          <cell r="D219">
            <v>1</v>
          </cell>
          <cell r="E219">
            <v>1</v>
          </cell>
          <cell r="F219">
            <v>1</v>
          </cell>
          <cell r="G219">
            <v>1</v>
          </cell>
          <cell r="H219"/>
          <cell r="I219">
            <v>1</v>
          </cell>
          <cell r="J219">
            <v>1</v>
          </cell>
          <cell r="K219">
            <v>1</v>
          </cell>
          <cell r="L219">
            <v>1</v>
          </cell>
          <cell r="M219">
            <v>1</v>
          </cell>
          <cell r="N219">
            <v>1</v>
          </cell>
          <cell r="O219"/>
          <cell r="P219">
            <v>1</v>
          </cell>
          <cell r="Q219">
            <v>1</v>
          </cell>
          <cell r="R219"/>
          <cell r="S219">
            <v>1</v>
          </cell>
          <cell r="T219">
            <v>1</v>
          </cell>
          <cell r="U219">
            <v>1</v>
          </cell>
          <cell r="V219">
            <v>1</v>
          </cell>
          <cell r="W219"/>
          <cell r="X219"/>
          <cell r="Y219"/>
          <cell r="Z219"/>
          <cell r="AA219"/>
          <cell r="AB219">
            <v>1</v>
          </cell>
          <cell r="AC219">
            <v>1</v>
          </cell>
          <cell r="AD219"/>
          <cell r="AE219">
            <v>1</v>
          </cell>
          <cell r="AF219"/>
          <cell r="AG219"/>
          <cell r="AH219"/>
          <cell r="AI219"/>
          <cell r="AJ219">
            <v>1</v>
          </cell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>
            <v>1</v>
          </cell>
          <cell r="AV219"/>
          <cell r="AW219">
            <v>1</v>
          </cell>
          <cell r="AX219"/>
          <cell r="AY219"/>
          <cell r="AZ219"/>
          <cell r="BA219">
            <v>1</v>
          </cell>
          <cell r="BB219">
            <v>1</v>
          </cell>
          <cell r="BC219"/>
          <cell r="BD219"/>
          <cell r="BE219"/>
          <cell r="BF219"/>
          <cell r="BG219"/>
          <cell r="BH219"/>
          <cell r="BI219"/>
          <cell r="BJ219"/>
          <cell r="BK219">
            <v>25</v>
          </cell>
        </row>
        <row r="220">
          <cell r="B220" t="str">
            <v>경상북도 영덕군</v>
          </cell>
          <cell r="C220">
            <v>1</v>
          </cell>
          <cell r="D220">
            <v>1</v>
          </cell>
          <cell r="E220">
            <v>1</v>
          </cell>
          <cell r="F220">
            <v>1</v>
          </cell>
          <cell r="G220">
            <v>1</v>
          </cell>
          <cell r="H220"/>
          <cell r="I220">
            <v>1</v>
          </cell>
          <cell r="J220">
            <v>1</v>
          </cell>
          <cell r="K220"/>
          <cell r="L220">
            <v>1</v>
          </cell>
          <cell r="M220">
            <v>1</v>
          </cell>
          <cell r="N220">
            <v>1</v>
          </cell>
          <cell r="O220"/>
          <cell r="P220">
            <v>1</v>
          </cell>
          <cell r="Q220">
            <v>1</v>
          </cell>
          <cell r="R220">
            <v>1</v>
          </cell>
          <cell r="S220"/>
          <cell r="T220">
            <v>1</v>
          </cell>
          <cell r="U220">
            <v>1</v>
          </cell>
          <cell r="V220">
            <v>1</v>
          </cell>
          <cell r="W220"/>
          <cell r="X220"/>
          <cell r="Y220">
            <v>1</v>
          </cell>
          <cell r="Z220">
            <v>1</v>
          </cell>
          <cell r="AA220">
            <v>1</v>
          </cell>
          <cell r="AB220">
            <v>1</v>
          </cell>
          <cell r="AC220">
            <v>1</v>
          </cell>
          <cell r="AD220"/>
          <cell r="AE220"/>
          <cell r="AF220"/>
          <cell r="AG220">
            <v>1</v>
          </cell>
          <cell r="AH220">
            <v>1</v>
          </cell>
          <cell r="AI220">
            <v>1</v>
          </cell>
          <cell r="AJ220">
            <v>1</v>
          </cell>
          <cell r="AK220">
            <v>1</v>
          </cell>
          <cell r="AL220"/>
          <cell r="AM220"/>
          <cell r="AN220">
            <v>1</v>
          </cell>
          <cell r="AO220"/>
          <cell r="AP220">
            <v>1</v>
          </cell>
          <cell r="AQ220">
            <v>1</v>
          </cell>
          <cell r="AR220">
            <v>1</v>
          </cell>
          <cell r="AS220">
            <v>1</v>
          </cell>
          <cell r="AT220"/>
          <cell r="AU220">
            <v>1</v>
          </cell>
          <cell r="AV220"/>
          <cell r="AW220">
            <v>1</v>
          </cell>
          <cell r="AX220">
            <v>1</v>
          </cell>
          <cell r="AY220"/>
          <cell r="AZ220"/>
          <cell r="BA220">
            <v>1</v>
          </cell>
          <cell r="BB220"/>
          <cell r="BC220"/>
          <cell r="BD220"/>
          <cell r="BE220"/>
          <cell r="BF220"/>
          <cell r="BG220"/>
          <cell r="BH220"/>
          <cell r="BI220"/>
          <cell r="BJ220"/>
          <cell r="BK220">
            <v>35</v>
          </cell>
        </row>
        <row r="221">
          <cell r="B221" t="str">
            <v>경상북도 청도군</v>
          </cell>
          <cell r="C221">
            <v>1</v>
          </cell>
          <cell r="D221">
            <v>1</v>
          </cell>
          <cell r="E221">
            <v>1</v>
          </cell>
          <cell r="F221">
            <v>1</v>
          </cell>
          <cell r="G221">
            <v>1</v>
          </cell>
          <cell r="H221">
            <v>1</v>
          </cell>
          <cell r="I221">
            <v>1</v>
          </cell>
          <cell r="J221">
            <v>1</v>
          </cell>
          <cell r="K221">
            <v>1</v>
          </cell>
          <cell r="L221">
            <v>1</v>
          </cell>
          <cell r="M221">
            <v>1</v>
          </cell>
          <cell r="N221">
            <v>1</v>
          </cell>
          <cell r="O221"/>
          <cell r="P221">
            <v>1</v>
          </cell>
          <cell r="Q221">
            <v>1</v>
          </cell>
          <cell r="R221">
            <v>1</v>
          </cell>
          <cell r="S221">
            <v>1</v>
          </cell>
          <cell r="T221">
            <v>1</v>
          </cell>
          <cell r="U221">
            <v>1</v>
          </cell>
          <cell r="V221"/>
          <cell r="W221"/>
          <cell r="X221"/>
          <cell r="Y221"/>
          <cell r="Z221">
            <v>1</v>
          </cell>
          <cell r="AA221">
            <v>1</v>
          </cell>
          <cell r="AB221">
            <v>1</v>
          </cell>
          <cell r="AC221">
            <v>1</v>
          </cell>
          <cell r="AD221"/>
          <cell r="AE221"/>
          <cell r="AF221"/>
          <cell r="AG221"/>
          <cell r="AH221">
            <v>1</v>
          </cell>
          <cell r="AI221">
            <v>1</v>
          </cell>
          <cell r="AJ221">
            <v>1</v>
          </cell>
          <cell r="AK221"/>
          <cell r="AL221"/>
          <cell r="AM221">
            <v>1</v>
          </cell>
          <cell r="AN221">
            <v>1</v>
          </cell>
          <cell r="AO221"/>
          <cell r="AP221"/>
          <cell r="AQ221"/>
          <cell r="AR221">
            <v>1</v>
          </cell>
          <cell r="AS221"/>
          <cell r="AT221"/>
          <cell r="AU221">
            <v>1</v>
          </cell>
          <cell r="AV221"/>
          <cell r="AW221">
            <v>1</v>
          </cell>
          <cell r="AX221"/>
          <cell r="AY221"/>
          <cell r="AZ221"/>
          <cell r="BA221">
            <v>1</v>
          </cell>
          <cell r="BB221">
            <v>1</v>
          </cell>
          <cell r="BC221"/>
          <cell r="BD221"/>
          <cell r="BE221"/>
          <cell r="BF221"/>
          <cell r="BG221"/>
          <cell r="BH221"/>
          <cell r="BI221"/>
          <cell r="BJ221"/>
          <cell r="BK221">
            <v>32</v>
          </cell>
        </row>
        <row r="222">
          <cell r="B222" t="str">
            <v>경상북도 고령군</v>
          </cell>
          <cell r="C222">
            <v>1</v>
          </cell>
          <cell r="D222">
            <v>1</v>
          </cell>
          <cell r="E222">
            <v>1</v>
          </cell>
          <cell r="F222">
            <v>1</v>
          </cell>
          <cell r="G222">
            <v>1</v>
          </cell>
          <cell r="H222">
            <v>1</v>
          </cell>
          <cell r="I222">
            <v>1</v>
          </cell>
          <cell r="J222">
            <v>1</v>
          </cell>
          <cell r="K222">
            <v>1</v>
          </cell>
          <cell r="L222">
            <v>1</v>
          </cell>
          <cell r="M222"/>
          <cell r="N222">
            <v>1</v>
          </cell>
          <cell r="O222"/>
          <cell r="P222"/>
          <cell r="Q222"/>
          <cell r="R222"/>
          <cell r="S222">
            <v>1</v>
          </cell>
          <cell r="T222">
            <v>1</v>
          </cell>
          <cell r="U222"/>
          <cell r="V222">
            <v>1</v>
          </cell>
          <cell r="W222"/>
          <cell r="X222"/>
          <cell r="Y222"/>
          <cell r="Z222"/>
          <cell r="AA222"/>
          <cell r="AB222">
            <v>1</v>
          </cell>
          <cell r="AC222">
            <v>1</v>
          </cell>
          <cell r="AD222">
            <v>1</v>
          </cell>
          <cell r="AE222">
            <v>1</v>
          </cell>
          <cell r="AF222"/>
          <cell r="AG222"/>
          <cell r="AH222"/>
          <cell r="AI222">
            <v>1</v>
          </cell>
          <cell r="AJ222">
            <v>1</v>
          </cell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>
            <v>1</v>
          </cell>
          <cell r="BC222"/>
          <cell r="BD222"/>
          <cell r="BE222"/>
          <cell r="BF222"/>
          <cell r="BG222"/>
          <cell r="BH222"/>
          <cell r="BI222"/>
          <cell r="BJ222"/>
          <cell r="BK222">
            <v>21</v>
          </cell>
        </row>
        <row r="223">
          <cell r="B223" t="str">
            <v>경상북도 성주군</v>
          </cell>
          <cell r="C223">
            <v>1</v>
          </cell>
          <cell r="D223">
            <v>1</v>
          </cell>
          <cell r="E223">
            <v>1</v>
          </cell>
          <cell r="F223">
            <v>1</v>
          </cell>
          <cell r="G223">
            <v>1</v>
          </cell>
          <cell r="H223">
            <v>1</v>
          </cell>
          <cell r="I223">
            <v>1</v>
          </cell>
          <cell r="J223">
            <v>1</v>
          </cell>
          <cell r="K223">
            <v>1</v>
          </cell>
          <cell r="L223">
            <v>1</v>
          </cell>
          <cell r="M223">
            <v>1</v>
          </cell>
          <cell r="N223">
            <v>1</v>
          </cell>
          <cell r="O223"/>
          <cell r="P223">
            <v>1</v>
          </cell>
          <cell r="Q223"/>
          <cell r="R223"/>
          <cell r="S223"/>
          <cell r="T223">
            <v>1</v>
          </cell>
          <cell r="U223">
            <v>1</v>
          </cell>
          <cell r="V223">
            <v>1</v>
          </cell>
          <cell r="W223"/>
          <cell r="X223"/>
          <cell r="Y223"/>
          <cell r="Z223"/>
          <cell r="AA223">
            <v>1</v>
          </cell>
          <cell r="AB223">
            <v>1</v>
          </cell>
          <cell r="AC223"/>
          <cell r="AD223"/>
          <cell r="AE223"/>
          <cell r="AF223"/>
          <cell r="AG223"/>
          <cell r="AH223"/>
          <cell r="AI223"/>
          <cell r="AJ223">
            <v>1</v>
          </cell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>
            <v>1</v>
          </cell>
          <cell r="AV223"/>
          <cell r="AW223"/>
          <cell r="AX223"/>
          <cell r="AY223"/>
          <cell r="AZ223"/>
          <cell r="BA223"/>
          <cell r="BB223">
            <v>1</v>
          </cell>
          <cell r="BC223"/>
          <cell r="BD223">
            <v>1</v>
          </cell>
          <cell r="BE223"/>
          <cell r="BF223"/>
          <cell r="BG223">
            <v>1</v>
          </cell>
          <cell r="BH223"/>
          <cell r="BI223"/>
          <cell r="BJ223"/>
          <cell r="BK223">
            <v>23</v>
          </cell>
        </row>
        <row r="224">
          <cell r="B224" t="str">
            <v>경상북도 칠곡군</v>
          </cell>
          <cell r="C224">
            <v>1</v>
          </cell>
          <cell r="D224">
            <v>1</v>
          </cell>
          <cell r="E224">
            <v>1</v>
          </cell>
          <cell r="F224"/>
          <cell r="G224">
            <v>1</v>
          </cell>
          <cell r="H224">
            <v>1</v>
          </cell>
          <cell r="I224">
            <v>1</v>
          </cell>
          <cell r="J224">
            <v>1</v>
          </cell>
          <cell r="K224">
            <v>1</v>
          </cell>
          <cell r="L224"/>
          <cell r="M224">
            <v>1</v>
          </cell>
          <cell r="N224">
            <v>1</v>
          </cell>
          <cell r="O224"/>
          <cell r="P224">
            <v>1</v>
          </cell>
          <cell r="Q224">
            <v>1</v>
          </cell>
          <cell r="R224"/>
          <cell r="S224">
            <v>1</v>
          </cell>
          <cell r="T224">
            <v>1</v>
          </cell>
          <cell r="U224">
            <v>1</v>
          </cell>
          <cell r="V224">
            <v>1</v>
          </cell>
          <cell r="W224"/>
          <cell r="X224"/>
          <cell r="Y224"/>
          <cell r="Z224">
            <v>1</v>
          </cell>
          <cell r="AA224">
            <v>1</v>
          </cell>
          <cell r="AB224">
            <v>1</v>
          </cell>
          <cell r="AC224">
            <v>1</v>
          </cell>
          <cell r="AD224"/>
          <cell r="AE224">
            <v>1</v>
          </cell>
          <cell r="AF224"/>
          <cell r="AG224"/>
          <cell r="AH224">
            <v>1</v>
          </cell>
          <cell r="AI224">
            <v>1</v>
          </cell>
          <cell r="AJ224">
            <v>1</v>
          </cell>
          <cell r="AK224">
            <v>1</v>
          </cell>
          <cell r="AL224"/>
          <cell r="AM224"/>
          <cell r="AN224"/>
          <cell r="AO224"/>
          <cell r="AP224"/>
          <cell r="AQ224"/>
          <cell r="AR224"/>
          <cell r="AS224"/>
          <cell r="AT224"/>
          <cell r="AU224">
            <v>1</v>
          </cell>
          <cell r="AV224"/>
          <cell r="AW224">
            <v>1</v>
          </cell>
          <cell r="AX224">
            <v>1</v>
          </cell>
          <cell r="AY224">
            <v>1</v>
          </cell>
          <cell r="AZ224"/>
          <cell r="BA224"/>
          <cell r="BB224">
            <v>1</v>
          </cell>
          <cell r="BC224">
            <v>1</v>
          </cell>
          <cell r="BD224"/>
          <cell r="BE224"/>
          <cell r="BF224"/>
          <cell r="BG224"/>
          <cell r="BH224"/>
          <cell r="BI224"/>
          <cell r="BJ224"/>
          <cell r="BK224">
            <v>31</v>
          </cell>
        </row>
        <row r="225">
          <cell r="B225" t="str">
            <v>경상북도 예천군</v>
          </cell>
          <cell r="C225">
            <v>1</v>
          </cell>
          <cell r="D225">
            <v>1</v>
          </cell>
          <cell r="E225">
            <v>1</v>
          </cell>
          <cell r="F225">
            <v>1</v>
          </cell>
          <cell r="G225"/>
          <cell r="H225">
            <v>1</v>
          </cell>
          <cell r="I225">
            <v>1</v>
          </cell>
          <cell r="J225">
            <v>1</v>
          </cell>
          <cell r="K225">
            <v>1</v>
          </cell>
          <cell r="L225"/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/>
          <cell r="R225">
            <v>1</v>
          </cell>
          <cell r="S225">
            <v>1</v>
          </cell>
          <cell r="T225">
            <v>1</v>
          </cell>
          <cell r="U225">
            <v>1</v>
          </cell>
          <cell r="V225"/>
          <cell r="W225"/>
          <cell r="X225"/>
          <cell r="Y225">
            <v>1</v>
          </cell>
          <cell r="Z225">
            <v>1</v>
          </cell>
          <cell r="AA225"/>
          <cell r="AB225">
            <v>1</v>
          </cell>
          <cell r="AC225">
            <v>1</v>
          </cell>
          <cell r="AD225"/>
          <cell r="AE225"/>
          <cell r="AF225"/>
          <cell r="AG225"/>
          <cell r="AH225">
            <v>1</v>
          </cell>
          <cell r="AI225"/>
          <cell r="AJ225">
            <v>1</v>
          </cell>
          <cell r="AK225"/>
          <cell r="AL225"/>
          <cell r="AM225"/>
          <cell r="AN225"/>
          <cell r="AO225"/>
          <cell r="AP225"/>
          <cell r="AQ225">
            <v>1</v>
          </cell>
          <cell r="AR225">
            <v>1</v>
          </cell>
          <cell r="AS225"/>
          <cell r="AT225"/>
          <cell r="AU225">
            <v>1</v>
          </cell>
          <cell r="AV225"/>
          <cell r="AW225">
            <v>1</v>
          </cell>
          <cell r="AX225"/>
          <cell r="AY225"/>
          <cell r="AZ225"/>
          <cell r="BA225"/>
          <cell r="BB225"/>
          <cell r="BC225"/>
          <cell r="BD225"/>
          <cell r="BE225"/>
          <cell r="BF225"/>
          <cell r="BG225">
            <v>1</v>
          </cell>
          <cell r="BH225"/>
          <cell r="BI225"/>
          <cell r="BJ225"/>
          <cell r="BK225">
            <v>27</v>
          </cell>
        </row>
        <row r="226">
          <cell r="B226" t="str">
            <v>경상북도 봉화군</v>
          </cell>
          <cell r="C226">
            <v>1</v>
          </cell>
          <cell r="D226">
            <v>1</v>
          </cell>
          <cell r="E226">
            <v>1</v>
          </cell>
          <cell r="F226">
            <v>1</v>
          </cell>
          <cell r="G226"/>
          <cell r="H226"/>
          <cell r="I226"/>
          <cell r="J226">
            <v>1</v>
          </cell>
          <cell r="K226">
            <v>1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/>
          <cell r="S226">
            <v>1</v>
          </cell>
          <cell r="T226">
            <v>1</v>
          </cell>
          <cell r="U226">
            <v>1</v>
          </cell>
          <cell r="V226"/>
          <cell r="W226"/>
          <cell r="X226"/>
          <cell r="Y226"/>
          <cell r="Z226"/>
          <cell r="AA226">
            <v>1</v>
          </cell>
          <cell r="AB226">
            <v>1</v>
          </cell>
          <cell r="AC226">
            <v>1</v>
          </cell>
          <cell r="AD226">
            <v>1</v>
          </cell>
          <cell r="AE226"/>
          <cell r="AF226"/>
          <cell r="AG226"/>
          <cell r="AH226"/>
          <cell r="AI226"/>
          <cell r="AJ226">
            <v>1</v>
          </cell>
          <cell r="AK226"/>
          <cell r="AL226"/>
          <cell r="AM226">
            <v>1</v>
          </cell>
          <cell r="AN226"/>
          <cell r="AO226"/>
          <cell r="AP226">
            <v>1</v>
          </cell>
          <cell r="AQ226"/>
          <cell r="AR226"/>
          <cell r="AS226"/>
          <cell r="AT226"/>
          <cell r="AU226">
            <v>1</v>
          </cell>
          <cell r="AV226"/>
          <cell r="AW226">
            <v>1</v>
          </cell>
          <cell r="AX226"/>
          <cell r="AY226"/>
          <cell r="AZ226"/>
          <cell r="BA226">
            <v>1</v>
          </cell>
          <cell r="BB226">
            <v>1</v>
          </cell>
          <cell r="BC226"/>
          <cell r="BD226"/>
          <cell r="BE226"/>
          <cell r="BF226"/>
          <cell r="BG226">
            <v>1</v>
          </cell>
          <cell r="BH226"/>
          <cell r="BI226"/>
          <cell r="BJ226"/>
          <cell r="BK226">
            <v>27</v>
          </cell>
        </row>
        <row r="227">
          <cell r="B227" t="str">
            <v>경상북도 울진군</v>
          </cell>
          <cell r="C227">
            <v>1</v>
          </cell>
          <cell r="D227">
            <v>1</v>
          </cell>
          <cell r="E227">
            <v>1</v>
          </cell>
          <cell r="F227">
            <v>1</v>
          </cell>
          <cell r="G227"/>
          <cell r="H227"/>
          <cell r="I227">
            <v>1</v>
          </cell>
          <cell r="J227">
            <v>1</v>
          </cell>
          <cell r="K227">
            <v>1</v>
          </cell>
          <cell r="L227">
            <v>1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/>
          <cell r="S227">
            <v>1</v>
          </cell>
          <cell r="T227">
            <v>1</v>
          </cell>
          <cell r="U227">
            <v>1</v>
          </cell>
          <cell r="V227">
            <v>1</v>
          </cell>
          <cell r="W227"/>
          <cell r="X227"/>
          <cell r="Y227"/>
          <cell r="Z227"/>
          <cell r="AA227">
            <v>1</v>
          </cell>
          <cell r="AB227">
            <v>1</v>
          </cell>
          <cell r="AC227">
            <v>1</v>
          </cell>
          <cell r="AD227">
            <v>1</v>
          </cell>
          <cell r="AE227">
            <v>1</v>
          </cell>
          <cell r="AF227"/>
          <cell r="AG227"/>
          <cell r="AH227">
            <v>1</v>
          </cell>
          <cell r="AI227">
            <v>1</v>
          </cell>
          <cell r="AJ227">
            <v>1</v>
          </cell>
          <cell r="AK227"/>
          <cell r="AL227"/>
          <cell r="AM227"/>
          <cell r="AN227"/>
          <cell r="AO227"/>
          <cell r="AP227"/>
          <cell r="AQ227">
            <v>1</v>
          </cell>
          <cell r="AR227">
            <v>1</v>
          </cell>
          <cell r="AS227"/>
          <cell r="AT227"/>
          <cell r="AU227">
            <v>1</v>
          </cell>
          <cell r="AV227"/>
          <cell r="AW227">
            <v>1</v>
          </cell>
          <cell r="AX227"/>
          <cell r="AY227">
            <v>1</v>
          </cell>
          <cell r="AZ227"/>
          <cell r="BA227"/>
          <cell r="BB227">
            <v>1</v>
          </cell>
          <cell r="BC227"/>
          <cell r="BD227"/>
          <cell r="BE227"/>
          <cell r="BF227"/>
          <cell r="BG227">
            <v>1</v>
          </cell>
          <cell r="BH227"/>
          <cell r="BI227"/>
          <cell r="BJ227"/>
          <cell r="BK227">
            <v>32</v>
          </cell>
        </row>
        <row r="228">
          <cell r="B228" t="str">
            <v>경상북도 울릉군</v>
          </cell>
          <cell r="C228">
            <v>1</v>
          </cell>
          <cell r="D228">
            <v>1</v>
          </cell>
          <cell r="E228">
            <v>1</v>
          </cell>
          <cell r="F228">
            <v>1</v>
          </cell>
          <cell r="G228">
            <v>1</v>
          </cell>
          <cell r="H228"/>
          <cell r="I228"/>
          <cell r="J228"/>
          <cell r="K228"/>
          <cell r="L228">
            <v>1</v>
          </cell>
          <cell r="M228">
            <v>1</v>
          </cell>
          <cell r="N228">
            <v>1</v>
          </cell>
          <cell r="O228"/>
          <cell r="P228"/>
          <cell r="Q228"/>
          <cell r="R228"/>
          <cell r="S228">
            <v>1</v>
          </cell>
          <cell r="T228"/>
          <cell r="U228">
            <v>1</v>
          </cell>
          <cell r="V228"/>
          <cell r="W228"/>
          <cell r="X228"/>
          <cell r="Y228"/>
          <cell r="Z228"/>
          <cell r="AA228">
            <v>1</v>
          </cell>
          <cell r="AB228">
            <v>1</v>
          </cell>
          <cell r="AC228"/>
          <cell r="AD228"/>
          <cell r="AE228"/>
          <cell r="AF228"/>
          <cell r="AG228"/>
          <cell r="AH228">
            <v>1</v>
          </cell>
          <cell r="AI228"/>
          <cell r="AJ228">
            <v>1</v>
          </cell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>
            <v>1</v>
          </cell>
          <cell r="AV228"/>
          <cell r="AW228">
            <v>1</v>
          </cell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/>
          <cell r="BI228"/>
          <cell r="BJ228"/>
          <cell r="BK228">
            <v>16</v>
          </cell>
        </row>
        <row r="229">
          <cell r="B229" t="str">
            <v>경상남도</v>
          </cell>
          <cell r="C229"/>
          <cell r="D229"/>
          <cell r="E229">
            <v>1</v>
          </cell>
          <cell r="F229"/>
          <cell r="G229"/>
          <cell r="H229"/>
          <cell r="I229">
            <v>1</v>
          </cell>
          <cell r="J229">
            <v>1</v>
          </cell>
          <cell r="K229"/>
          <cell r="L229">
            <v>1</v>
          </cell>
          <cell r="M229"/>
          <cell r="N229"/>
          <cell r="O229"/>
          <cell r="P229"/>
          <cell r="Q229"/>
          <cell r="R229"/>
          <cell r="S229">
            <v>1</v>
          </cell>
          <cell r="T229">
            <v>1</v>
          </cell>
          <cell r="U229"/>
          <cell r="V229">
            <v>1</v>
          </cell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>
            <v>1</v>
          </cell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>
            <v>1</v>
          </cell>
          <cell r="AX229"/>
          <cell r="AY229"/>
          <cell r="AZ229"/>
          <cell r="BA229"/>
          <cell r="BB229">
            <v>1</v>
          </cell>
          <cell r="BC229"/>
          <cell r="BD229"/>
          <cell r="BE229"/>
          <cell r="BF229"/>
          <cell r="BG229"/>
          <cell r="BH229"/>
          <cell r="BI229"/>
          <cell r="BJ229"/>
          <cell r="BK229">
            <v>10</v>
          </cell>
        </row>
        <row r="230">
          <cell r="B230" t="str">
            <v>경상남도 창원시</v>
          </cell>
          <cell r="C230">
            <v>1</v>
          </cell>
          <cell r="D230">
            <v>1</v>
          </cell>
          <cell r="E230">
            <v>1</v>
          </cell>
          <cell r="F230">
            <v>1</v>
          </cell>
          <cell r="G230">
            <v>1</v>
          </cell>
          <cell r="H230">
            <v>1</v>
          </cell>
          <cell r="I230">
            <v>1</v>
          </cell>
          <cell r="J230">
            <v>1</v>
          </cell>
          <cell r="K230"/>
          <cell r="L230">
            <v>1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1</v>
          </cell>
          <cell r="S230">
            <v>1</v>
          </cell>
          <cell r="T230">
            <v>1</v>
          </cell>
          <cell r="U230">
            <v>1</v>
          </cell>
          <cell r="V230">
            <v>1</v>
          </cell>
          <cell r="W230"/>
          <cell r="X230">
            <v>1</v>
          </cell>
          <cell r="Y230"/>
          <cell r="Z230">
            <v>1</v>
          </cell>
          <cell r="AA230">
            <v>1</v>
          </cell>
          <cell r="AB230">
            <v>1</v>
          </cell>
          <cell r="AC230">
            <v>1</v>
          </cell>
          <cell r="AD230">
            <v>1</v>
          </cell>
          <cell r="AE230">
            <v>1</v>
          </cell>
          <cell r="AF230"/>
          <cell r="AG230">
            <v>1</v>
          </cell>
          <cell r="AH230">
            <v>1</v>
          </cell>
          <cell r="AI230">
            <v>1</v>
          </cell>
          <cell r="AJ230">
            <v>1</v>
          </cell>
          <cell r="AK230">
            <v>1</v>
          </cell>
          <cell r="AL230"/>
          <cell r="AM230">
            <v>1</v>
          </cell>
          <cell r="AN230"/>
          <cell r="AO230">
            <v>1</v>
          </cell>
          <cell r="AP230"/>
          <cell r="AQ230"/>
          <cell r="AR230">
            <v>1</v>
          </cell>
          <cell r="AS230"/>
          <cell r="AT230"/>
          <cell r="AU230">
            <v>1</v>
          </cell>
          <cell r="AV230"/>
          <cell r="AW230"/>
          <cell r="AX230"/>
          <cell r="AY230">
            <v>1</v>
          </cell>
          <cell r="AZ230"/>
          <cell r="BA230">
            <v>1</v>
          </cell>
          <cell r="BB230">
            <v>1</v>
          </cell>
          <cell r="BC230">
            <v>1</v>
          </cell>
          <cell r="BD230">
            <v>1</v>
          </cell>
          <cell r="BE230">
            <v>1</v>
          </cell>
          <cell r="BF230"/>
          <cell r="BG230"/>
          <cell r="BH230"/>
          <cell r="BI230"/>
          <cell r="BJ230"/>
          <cell r="BK230">
            <v>41</v>
          </cell>
        </row>
        <row r="231">
          <cell r="B231" t="str">
            <v>경상남도 진주시</v>
          </cell>
          <cell r="C231">
            <v>1</v>
          </cell>
          <cell r="D231">
            <v>1</v>
          </cell>
          <cell r="E231">
            <v>1</v>
          </cell>
          <cell r="F231">
            <v>1</v>
          </cell>
          <cell r="G231">
            <v>1</v>
          </cell>
          <cell r="H231">
            <v>1</v>
          </cell>
          <cell r="I231">
            <v>1</v>
          </cell>
          <cell r="J231">
            <v>1</v>
          </cell>
          <cell r="K231"/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1</v>
          </cell>
          <cell r="S231">
            <v>1</v>
          </cell>
          <cell r="T231">
            <v>1</v>
          </cell>
          <cell r="U231">
            <v>1</v>
          </cell>
          <cell r="V231"/>
          <cell r="W231"/>
          <cell r="X231"/>
          <cell r="Y231"/>
          <cell r="Z231">
            <v>1</v>
          </cell>
          <cell r="AA231">
            <v>1</v>
          </cell>
          <cell r="AB231">
            <v>1</v>
          </cell>
          <cell r="AC231">
            <v>1</v>
          </cell>
          <cell r="AD231"/>
          <cell r="AE231"/>
          <cell r="AF231"/>
          <cell r="AG231">
            <v>1</v>
          </cell>
          <cell r="AH231">
            <v>1</v>
          </cell>
          <cell r="AI231">
            <v>1</v>
          </cell>
          <cell r="AJ231">
            <v>1</v>
          </cell>
          <cell r="AK231"/>
          <cell r="AL231"/>
          <cell r="AM231"/>
          <cell r="AN231"/>
          <cell r="AO231"/>
          <cell r="AP231"/>
          <cell r="AQ231"/>
          <cell r="AR231">
            <v>1</v>
          </cell>
          <cell r="AS231"/>
          <cell r="AT231"/>
          <cell r="AU231">
            <v>1</v>
          </cell>
          <cell r="AV231"/>
          <cell r="AW231">
            <v>1</v>
          </cell>
          <cell r="AX231">
            <v>1</v>
          </cell>
          <cell r="AY231">
            <v>1</v>
          </cell>
          <cell r="AZ231"/>
          <cell r="BA231">
            <v>1</v>
          </cell>
          <cell r="BB231">
            <v>1</v>
          </cell>
          <cell r="BC231">
            <v>1</v>
          </cell>
          <cell r="BD231"/>
          <cell r="BE231">
            <v>1</v>
          </cell>
          <cell r="BF231"/>
          <cell r="BG231"/>
          <cell r="BH231"/>
          <cell r="BI231"/>
          <cell r="BJ231"/>
          <cell r="BK231">
            <v>35</v>
          </cell>
        </row>
        <row r="232">
          <cell r="B232" t="str">
            <v>경상남도 통영시</v>
          </cell>
          <cell r="C232">
            <v>1</v>
          </cell>
          <cell r="D232">
            <v>1</v>
          </cell>
          <cell r="E232">
            <v>1</v>
          </cell>
          <cell r="F232">
            <v>1</v>
          </cell>
          <cell r="G232">
            <v>1</v>
          </cell>
          <cell r="H232">
            <v>1</v>
          </cell>
          <cell r="I232">
            <v>1</v>
          </cell>
          <cell r="J232">
            <v>1</v>
          </cell>
          <cell r="K232"/>
          <cell r="L232">
            <v>1</v>
          </cell>
          <cell r="M232">
            <v>1</v>
          </cell>
          <cell r="N232">
            <v>1</v>
          </cell>
          <cell r="O232"/>
          <cell r="P232">
            <v>1</v>
          </cell>
          <cell r="Q232">
            <v>1</v>
          </cell>
          <cell r="R232"/>
          <cell r="S232">
            <v>1</v>
          </cell>
          <cell r="T232"/>
          <cell r="U232">
            <v>1</v>
          </cell>
          <cell r="V232"/>
          <cell r="W232"/>
          <cell r="X232"/>
          <cell r="Y232"/>
          <cell r="Z232">
            <v>1</v>
          </cell>
          <cell r="AA232">
            <v>1</v>
          </cell>
          <cell r="AB232">
            <v>1</v>
          </cell>
          <cell r="AC232">
            <v>1</v>
          </cell>
          <cell r="AD232">
            <v>1</v>
          </cell>
          <cell r="AE232"/>
          <cell r="AF232"/>
          <cell r="AG232">
            <v>1</v>
          </cell>
          <cell r="AH232">
            <v>1</v>
          </cell>
          <cell r="AI232">
            <v>1</v>
          </cell>
          <cell r="AJ232">
            <v>1</v>
          </cell>
          <cell r="AK232"/>
          <cell r="AL232"/>
          <cell r="AM232"/>
          <cell r="AN232"/>
          <cell r="AO232"/>
          <cell r="AP232"/>
          <cell r="AQ232"/>
          <cell r="AR232"/>
          <cell r="AS232">
            <v>1</v>
          </cell>
          <cell r="AT232"/>
          <cell r="AU232">
            <v>1</v>
          </cell>
          <cell r="AV232"/>
          <cell r="AW232">
            <v>1</v>
          </cell>
          <cell r="AX232">
            <v>1</v>
          </cell>
          <cell r="AY232">
            <v>1</v>
          </cell>
          <cell r="AZ232"/>
          <cell r="BA232">
            <v>1</v>
          </cell>
          <cell r="BB232">
            <v>1</v>
          </cell>
          <cell r="BC232"/>
          <cell r="BD232"/>
          <cell r="BE232"/>
          <cell r="BF232"/>
          <cell r="BG232"/>
          <cell r="BH232"/>
          <cell r="BI232"/>
          <cell r="BJ232"/>
          <cell r="BK232">
            <v>31</v>
          </cell>
        </row>
        <row r="233">
          <cell r="B233" t="str">
            <v>경상남도 사천시</v>
          </cell>
          <cell r="C233">
            <v>1</v>
          </cell>
          <cell r="D233">
            <v>1</v>
          </cell>
          <cell r="E233">
            <v>1</v>
          </cell>
          <cell r="F233">
            <v>1</v>
          </cell>
          <cell r="G233">
            <v>1</v>
          </cell>
          <cell r="H233">
            <v>1</v>
          </cell>
          <cell r="I233">
            <v>1</v>
          </cell>
          <cell r="J233">
            <v>1</v>
          </cell>
          <cell r="K233"/>
          <cell r="L233">
            <v>1</v>
          </cell>
          <cell r="M233">
            <v>1</v>
          </cell>
          <cell r="N233">
            <v>1</v>
          </cell>
          <cell r="O233"/>
          <cell r="P233"/>
          <cell r="Q233"/>
          <cell r="R233"/>
          <cell r="S233">
            <v>1</v>
          </cell>
          <cell r="T233">
            <v>1</v>
          </cell>
          <cell r="U233">
            <v>1</v>
          </cell>
          <cell r="V233">
            <v>1</v>
          </cell>
          <cell r="W233"/>
          <cell r="X233"/>
          <cell r="Y233"/>
          <cell r="Z233">
            <v>1</v>
          </cell>
          <cell r="AA233">
            <v>1</v>
          </cell>
          <cell r="AB233">
            <v>1</v>
          </cell>
          <cell r="AC233">
            <v>1</v>
          </cell>
          <cell r="AD233"/>
          <cell r="AE233"/>
          <cell r="AF233"/>
          <cell r="AG233"/>
          <cell r="AH233">
            <v>1</v>
          </cell>
          <cell r="AI233">
            <v>1</v>
          </cell>
          <cell r="AJ233">
            <v>1</v>
          </cell>
          <cell r="AK233"/>
          <cell r="AL233"/>
          <cell r="AM233">
            <v>1</v>
          </cell>
          <cell r="AN233"/>
          <cell r="AO233"/>
          <cell r="AP233"/>
          <cell r="AQ233"/>
          <cell r="AR233"/>
          <cell r="AS233"/>
          <cell r="AT233"/>
          <cell r="AU233">
            <v>1</v>
          </cell>
          <cell r="AV233"/>
          <cell r="AW233"/>
          <cell r="AX233">
            <v>1</v>
          </cell>
          <cell r="AY233">
            <v>1</v>
          </cell>
          <cell r="AZ233"/>
          <cell r="BA233">
            <v>1</v>
          </cell>
          <cell r="BB233"/>
          <cell r="BC233"/>
          <cell r="BD233"/>
          <cell r="BE233"/>
          <cell r="BF233"/>
          <cell r="BG233">
            <v>1</v>
          </cell>
          <cell r="BH233"/>
          <cell r="BI233"/>
          <cell r="BJ233"/>
          <cell r="BK233">
            <v>28</v>
          </cell>
        </row>
        <row r="234">
          <cell r="B234" t="str">
            <v>경상남도 김해시</v>
          </cell>
          <cell r="C234">
            <v>1</v>
          </cell>
          <cell r="D234">
            <v>1</v>
          </cell>
          <cell r="E234">
            <v>1</v>
          </cell>
          <cell r="F234">
            <v>1</v>
          </cell>
          <cell r="G234">
            <v>1</v>
          </cell>
          <cell r="H234">
            <v>1</v>
          </cell>
          <cell r="I234">
            <v>1</v>
          </cell>
          <cell r="J234">
            <v>1</v>
          </cell>
          <cell r="K234"/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1</v>
          </cell>
          <cell r="S234">
            <v>1</v>
          </cell>
          <cell r="T234">
            <v>1</v>
          </cell>
          <cell r="U234">
            <v>1</v>
          </cell>
          <cell r="V234"/>
          <cell r="W234"/>
          <cell r="X234"/>
          <cell r="Y234"/>
          <cell r="Z234">
            <v>1</v>
          </cell>
          <cell r="AA234">
            <v>1</v>
          </cell>
          <cell r="AB234">
            <v>1</v>
          </cell>
          <cell r="AC234">
            <v>1</v>
          </cell>
          <cell r="AD234">
            <v>1</v>
          </cell>
          <cell r="AE234"/>
          <cell r="AF234"/>
          <cell r="AG234">
            <v>1</v>
          </cell>
          <cell r="AH234">
            <v>1</v>
          </cell>
          <cell r="AI234">
            <v>1</v>
          </cell>
          <cell r="AJ234">
            <v>1</v>
          </cell>
          <cell r="AK234">
            <v>1</v>
          </cell>
          <cell r="AL234"/>
          <cell r="AM234">
            <v>1</v>
          </cell>
          <cell r="AN234"/>
          <cell r="AO234"/>
          <cell r="AP234">
            <v>1</v>
          </cell>
          <cell r="AQ234"/>
          <cell r="AR234">
            <v>1</v>
          </cell>
          <cell r="AS234">
            <v>1</v>
          </cell>
          <cell r="AT234"/>
          <cell r="AU234">
            <v>1</v>
          </cell>
          <cell r="AV234"/>
          <cell r="AW234">
            <v>1</v>
          </cell>
          <cell r="AX234"/>
          <cell r="AY234">
            <v>1</v>
          </cell>
          <cell r="AZ234">
            <v>1</v>
          </cell>
          <cell r="BA234">
            <v>1</v>
          </cell>
          <cell r="BB234">
            <v>1</v>
          </cell>
          <cell r="BC234">
            <v>1</v>
          </cell>
          <cell r="BD234">
            <v>1</v>
          </cell>
          <cell r="BE234"/>
          <cell r="BF234"/>
          <cell r="BG234"/>
          <cell r="BH234"/>
          <cell r="BI234"/>
          <cell r="BJ234"/>
          <cell r="BK234">
            <v>40</v>
          </cell>
        </row>
        <row r="235">
          <cell r="B235" t="str">
            <v>경상남도 밀양시</v>
          </cell>
          <cell r="C235">
            <v>1</v>
          </cell>
          <cell r="D235">
            <v>1</v>
          </cell>
          <cell r="E235">
            <v>1</v>
          </cell>
          <cell r="F235">
            <v>1</v>
          </cell>
          <cell r="G235">
            <v>1</v>
          </cell>
          <cell r="H235">
            <v>1</v>
          </cell>
          <cell r="I235">
            <v>1</v>
          </cell>
          <cell r="J235">
            <v>1</v>
          </cell>
          <cell r="K235"/>
          <cell r="L235">
            <v>1</v>
          </cell>
          <cell r="M235">
            <v>1</v>
          </cell>
          <cell r="N235">
            <v>1</v>
          </cell>
          <cell r="O235"/>
          <cell r="P235">
            <v>1</v>
          </cell>
          <cell r="Q235"/>
          <cell r="R235"/>
          <cell r="S235">
            <v>1</v>
          </cell>
          <cell r="T235">
            <v>1</v>
          </cell>
          <cell r="U235">
            <v>1</v>
          </cell>
          <cell r="V235">
            <v>1</v>
          </cell>
          <cell r="W235"/>
          <cell r="X235"/>
          <cell r="Y235"/>
          <cell r="Z235">
            <v>1</v>
          </cell>
          <cell r="AA235">
            <v>1</v>
          </cell>
          <cell r="AB235">
            <v>1</v>
          </cell>
          <cell r="AC235">
            <v>1</v>
          </cell>
          <cell r="AD235">
            <v>1</v>
          </cell>
          <cell r="AE235"/>
          <cell r="AF235"/>
          <cell r="AG235"/>
          <cell r="AH235">
            <v>1</v>
          </cell>
          <cell r="AI235">
            <v>1</v>
          </cell>
          <cell r="AJ235">
            <v>1</v>
          </cell>
          <cell r="AK235"/>
          <cell r="AL235"/>
          <cell r="AM235">
            <v>1</v>
          </cell>
          <cell r="AN235"/>
          <cell r="AO235"/>
          <cell r="AP235"/>
          <cell r="AQ235"/>
          <cell r="AR235">
            <v>1</v>
          </cell>
          <cell r="AS235"/>
          <cell r="AT235"/>
          <cell r="AU235">
            <v>1</v>
          </cell>
          <cell r="AV235"/>
          <cell r="AW235">
            <v>1</v>
          </cell>
          <cell r="AX235"/>
          <cell r="AY235"/>
          <cell r="AZ235"/>
          <cell r="BA235"/>
          <cell r="BB235">
            <v>1</v>
          </cell>
          <cell r="BC235"/>
          <cell r="BD235"/>
          <cell r="BE235"/>
          <cell r="BF235"/>
          <cell r="BG235">
            <v>1</v>
          </cell>
          <cell r="BH235"/>
          <cell r="BI235"/>
          <cell r="BJ235"/>
          <cell r="BK235">
            <v>30</v>
          </cell>
        </row>
        <row r="236">
          <cell r="B236" t="str">
            <v>경상남도 거제시</v>
          </cell>
          <cell r="C236">
            <v>1</v>
          </cell>
          <cell r="D236">
            <v>1</v>
          </cell>
          <cell r="E236">
            <v>1</v>
          </cell>
          <cell r="F236">
            <v>1</v>
          </cell>
          <cell r="G236"/>
          <cell r="H236">
            <v>1</v>
          </cell>
          <cell r="I236">
            <v>1</v>
          </cell>
          <cell r="J236"/>
          <cell r="K236">
            <v>1</v>
          </cell>
          <cell r="L236">
            <v>1</v>
          </cell>
          <cell r="M236">
            <v>1</v>
          </cell>
          <cell r="N236">
            <v>1</v>
          </cell>
          <cell r="O236"/>
          <cell r="P236">
            <v>1</v>
          </cell>
          <cell r="Q236">
            <v>1</v>
          </cell>
          <cell r="R236"/>
          <cell r="S236">
            <v>1</v>
          </cell>
          <cell r="T236">
            <v>1</v>
          </cell>
          <cell r="U236">
            <v>1</v>
          </cell>
          <cell r="V236"/>
          <cell r="W236"/>
          <cell r="X236">
            <v>1</v>
          </cell>
          <cell r="Y236"/>
          <cell r="Z236">
            <v>1</v>
          </cell>
          <cell r="AA236"/>
          <cell r="AB236">
            <v>1</v>
          </cell>
          <cell r="AC236">
            <v>1</v>
          </cell>
          <cell r="AD236">
            <v>1</v>
          </cell>
          <cell r="AE236">
            <v>1</v>
          </cell>
          <cell r="AF236"/>
          <cell r="AG236">
            <v>1</v>
          </cell>
          <cell r="AH236">
            <v>1</v>
          </cell>
          <cell r="AI236">
            <v>1</v>
          </cell>
          <cell r="AJ236">
            <v>1</v>
          </cell>
          <cell r="AK236"/>
          <cell r="AL236"/>
          <cell r="AM236">
            <v>1</v>
          </cell>
          <cell r="AN236"/>
          <cell r="AO236"/>
          <cell r="AP236"/>
          <cell r="AQ236">
            <v>1</v>
          </cell>
          <cell r="AR236"/>
          <cell r="AS236"/>
          <cell r="AT236"/>
          <cell r="AU236">
            <v>1</v>
          </cell>
          <cell r="AV236"/>
          <cell r="AW236"/>
          <cell r="AX236">
            <v>1</v>
          </cell>
          <cell r="AY236"/>
          <cell r="AZ236"/>
          <cell r="BA236">
            <v>1</v>
          </cell>
          <cell r="BB236">
            <v>1</v>
          </cell>
          <cell r="BC236"/>
          <cell r="BD236"/>
          <cell r="BE236"/>
          <cell r="BF236"/>
          <cell r="BG236">
            <v>1</v>
          </cell>
          <cell r="BH236"/>
          <cell r="BI236"/>
          <cell r="BJ236"/>
          <cell r="BK236">
            <v>32</v>
          </cell>
        </row>
        <row r="237">
          <cell r="B237" t="str">
            <v>경상남도 양산시</v>
          </cell>
          <cell r="C237">
            <v>1</v>
          </cell>
          <cell r="D237">
            <v>1</v>
          </cell>
          <cell r="E237">
            <v>1</v>
          </cell>
          <cell r="F237">
            <v>1</v>
          </cell>
          <cell r="G237">
            <v>1</v>
          </cell>
          <cell r="H237">
            <v>1</v>
          </cell>
          <cell r="I237">
            <v>1</v>
          </cell>
          <cell r="J237">
            <v>1</v>
          </cell>
          <cell r="K237">
            <v>1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/>
          <cell r="S237">
            <v>1</v>
          </cell>
          <cell r="T237">
            <v>1</v>
          </cell>
          <cell r="U237">
            <v>1</v>
          </cell>
          <cell r="V237">
            <v>1</v>
          </cell>
          <cell r="W237"/>
          <cell r="X237"/>
          <cell r="Y237"/>
          <cell r="Z237">
            <v>1</v>
          </cell>
          <cell r="AA237">
            <v>1</v>
          </cell>
          <cell r="AB237">
            <v>1</v>
          </cell>
          <cell r="AC237">
            <v>1</v>
          </cell>
          <cell r="AD237">
            <v>1</v>
          </cell>
          <cell r="AE237">
            <v>1</v>
          </cell>
          <cell r="AF237"/>
          <cell r="AG237">
            <v>1</v>
          </cell>
          <cell r="AH237">
            <v>1</v>
          </cell>
          <cell r="AI237">
            <v>1</v>
          </cell>
          <cell r="AJ237">
            <v>1</v>
          </cell>
          <cell r="AK237"/>
          <cell r="AL237">
            <v>1</v>
          </cell>
          <cell r="AM237">
            <v>1</v>
          </cell>
          <cell r="AN237">
            <v>1</v>
          </cell>
          <cell r="AO237"/>
          <cell r="AP237">
            <v>1</v>
          </cell>
          <cell r="AQ237">
            <v>1</v>
          </cell>
          <cell r="AR237"/>
          <cell r="AS237">
            <v>1</v>
          </cell>
          <cell r="AT237">
            <v>1</v>
          </cell>
          <cell r="AU237">
            <v>1</v>
          </cell>
          <cell r="AV237"/>
          <cell r="AW237"/>
          <cell r="AX237">
            <v>1</v>
          </cell>
          <cell r="AY237">
            <v>1</v>
          </cell>
          <cell r="AZ237"/>
          <cell r="BA237">
            <v>1</v>
          </cell>
          <cell r="BB237">
            <v>1</v>
          </cell>
          <cell r="BC237">
            <v>1</v>
          </cell>
          <cell r="BD237"/>
          <cell r="BE237"/>
          <cell r="BF237">
            <v>1</v>
          </cell>
          <cell r="BG237">
            <v>1</v>
          </cell>
          <cell r="BH237"/>
          <cell r="BI237"/>
          <cell r="BJ237"/>
          <cell r="BK237">
            <v>44</v>
          </cell>
        </row>
        <row r="238">
          <cell r="B238" t="str">
            <v>경상남도 의령군</v>
          </cell>
          <cell r="C238">
            <v>1</v>
          </cell>
          <cell r="D238">
            <v>1</v>
          </cell>
          <cell r="E238">
            <v>1</v>
          </cell>
          <cell r="F238">
            <v>1</v>
          </cell>
          <cell r="G238">
            <v>1</v>
          </cell>
          <cell r="H238">
            <v>1</v>
          </cell>
          <cell r="I238">
            <v>1</v>
          </cell>
          <cell r="J238">
            <v>1</v>
          </cell>
          <cell r="K238"/>
          <cell r="L238">
            <v>1</v>
          </cell>
          <cell r="M238">
            <v>1</v>
          </cell>
          <cell r="N238">
            <v>1</v>
          </cell>
          <cell r="O238"/>
          <cell r="P238">
            <v>1</v>
          </cell>
          <cell r="Q238">
            <v>1</v>
          </cell>
          <cell r="R238"/>
          <cell r="S238">
            <v>1</v>
          </cell>
          <cell r="T238">
            <v>1</v>
          </cell>
          <cell r="U238">
            <v>1</v>
          </cell>
          <cell r="V238">
            <v>1</v>
          </cell>
          <cell r="W238"/>
          <cell r="X238"/>
          <cell r="Y238">
            <v>1</v>
          </cell>
          <cell r="Z238">
            <v>1</v>
          </cell>
          <cell r="AA238">
            <v>1</v>
          </cell>
          <cell r="AB238">
            <v>1</v>
          </cell>
          <cell r="AC238">
            <v>1</v>
          </cell>
          <cell r="AD238">
            <v>1</v>
          </cell>
          <cell r="AE238">
            <v>1</v>
          </cell>
          <cell r="AF238"/>
          <cell r="AG238">
            <v>1</v>
          </cell>
          <cell r="AH238"/>
          <cell r="AI238"/>
          <cell r="AJ238">
            <v>1</v>
          </cell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>
            <v>1</v>
          </cell>
          <cell r="AV238"/>
          <cell r="AW238">
            <v>1</v>
          </cell>
          <cell r="AX238">
            <v>1</v>
          </cell>
          <cell r="AY238"/>
          <cell r="AZ238"/>
          <cell r="BA238">
            <v>1</v>
          </cell>
          <cell r="BB238">
            <v>1</v>
          </cell>
          <cell r="BC238"/>
          <cell r="BD238"/>
          <cell r="BE238"/>
          <cell r="BF238">
            <v>1</v>
          </cell>
          <cell r="BG238">
            <v>1</v>
          </cell>
          <cell r="BH238"/>
          <cell r="BI238"/>
          <cell r="BJ238"/>
          <cell r="BK238">
            <v>33</v>
          </cell>
        </row>
        <row r="239">
          <cell r="B239" t="str">
            <v>경상남도 함안군</v>
          </cell>
          <cell r="C239">
            <v>1</v>
          </cell>
          <cell r="D239">
            <v>1</v>
          </cell>
          <cell r="E239">
            <v>1</v>
          </cell>
          <cell r="F239"/>
          <cell r="G239"/>
          <cell r="H239"/>
          <cell r="I239">
            <v>1</v>
          </cell>
          <cell r="J239">
            <v>1</v>
          </cell>
          <cell r="K239"/>
          <cell r="L239"/>
          <cell r="M239">
            <v>1</v>
          </cell>
          <cell r="N239">
            <v>1</v>
          </cell>
          <cell r="O239"/>
          <cell r="P239">
            <v>1</v>
          </cell>
          <cell r="Q239"/>
          <cell r="R239"/>
          <cell r="S239">
            <v>1</v>
          </cell>
          <cell r="T239">
            <v>1</v>
          </cell>
          <cell r="U239">
            <v>1</v>
          </cell>
          <cell r="V239"/>
          <cell r="W239"/>
          <cell r="X239"/>
          <cell r="Y239"/>
          <cell r="Z239"/>
          <cell r="AA239"/>
          <cell r="AB239">
            <v>1</v>
          </cell>
          <cell r="AC239"/>
          <cell r="AD239">
            <v>1</v>
          </cell>
          <cell r="AE239">
            <v>1</v>
          </cell>
          <cell r="AF239"/>
          <cell r="AG239"/>
          <cell r="AH239"/>
          <cell r="AI239"/>
          <cell r="AJ239">
            <v>1</v>
          </cell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>
            <v>1</v>
          </cell>
          <cell r="AV239"/>
          <cell r="AW239">
            <v>1</v>
          </cell>
          <cell r="AX239">
            <v>1</v>
          </cell>
          <cell r="AY239">
            <v>1</v>
          </cell>
          <cell r="AZ239"/>
          <cell r="BA239">
            <v>1</v>
          </cell>
          <cell r="BB239">
            <v>1</v>
          </cell>
          <cell r="BC239"/>
          <cell r="BD239"/>
          <cell r="BE239"/>
          <cell r="BF239"/>
          <cell r="BG239"/>
          <cell r="BH239"/>
          <cell r="BI239"/>
          <cell r="BJ239"/>
          <cell r="BK239">
            <v>21</v>
          </cell>
        </row>
        <row r="240">
          <cell r="B240" t="str">
            <v>경상남도 창녕군</v>
          </cell>
          <cell r="C240">
            <v>1</v>
          </cell>
          <cell r="D240">
            <v>1</v>
          </cell>
          <cell r="E240">
            <v>1</v>
          </cell>
          <cell r="F240">
            <v>1</v>
          </cell>
          <cell r="G240">
            <v>1</v>
          </cell>
          <cell r="H240">
            <v>1</v>
          </cell>
          <cell r="I240">
            <v>1</v>
          </cell>
          <cell r="J240">
            <v>1</v>
          </cell>
          <cell r="K240">
            <v>1</v>
          </cell>
          <cell r="L240">
            <v>1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/>
          <cell r="S240">
            <v>1</v>
          </cell>
          <cell r="T240">
            <v>1</v>
          </cell>
          <cell r="U240">
            <v>1</v>
          </cell>
          <cell r="V240">
            <v>1</v>
          </cell>
          <cell r="W240"/>
          <cell r="X240"/>
          <cell r="Y240"/>
          <cell r="Z240"/>
          <cell r="AA240">
            <v>1</v>
          </cell>
          <cell r="AB240">
            <v>1</v>
          </cell>
          <cell r="AC240">
            <v>1</v>
          </cell>
          <cell r="AD240"/>
          <cell r="AE240">
            <v>1</v>
          </cell>
          <cell r="AF240"/>
          <cell r="AG240"/>
          <cell r="AH240"/>
          <cell r="AI240">
            <v>1</v>
          </cell>
          <cell r="AJ240">
            <v>1</v>
          </cell>
          <cell r="AK240"/>
          <cell r="AL240"/>
          <cell r="AM240">
            <v>1</v>
          </cell>
          <cell r="AN240"/>
          <cell r="AO240"/>
          <cell r="AP240"/>
          <cell r="AQ240"/>
          <cell r="AR240"/>
          <cell r="AS240"/>
          <cell r="AT240"/>
          <cell r="AU240">
            <v>1</v>
          </cell>
          <cell r="AV240"/>
          <cell r="AW240"/>
          <cell r="AX240">
            <v>1</v>
          </cell>
          <cell r="AY240"/>
          <cell r="AZ240"/>
          <cell r="BA240"/>
          <cell r="BB240">
            <v>1</v>
          </cell>
          <cell r="BC240"/>
          <cell r="BD240"/>
          <cell r="BE240"/>
          <cell r="BF240"/>
          <cell r="BG240">
            <v>1</v>
          </cell>
          <cell r="BH240"/>
          <cell r="BI240"/>
          <cell r="BJ240"/>
          <cell r="BK240">
            <v>30</v>
          </cell>
        </row>
        <row r="241">
          <cell r="B241" t="str">
            <v>경상남도 고성군</v>
          </cell>
          <cell r="C241">
            <v>1</v>
          </cell>
          <cell r="D241">
            <v>1</v>
          </cell>
          <cell r="E241">
            <v>1</v>
          </cell>
          <cell r="F241">
            <v>1</v>
          </cell>
          <cell r="G241">
            <v>1</v>
          </cell>
          <cell r="H241">
            <v>1</v>
          </cell>
          <cell r="I241">
            <v>1</v>
          </cell>
          <cell r="J241">
            <v>1</v>
          </cell>
          <cell r="K241"/>
          <cell r="L241">
            <v>1</v>
          </cell>
          <cell r="M241">
            <v>1</v>
          </cell>
          <cell r="N241">
            <v>1</v>
          </cell>
          <cell r="O241"/>
          <cell r="P241">
            <v>1</v>
          </cell>
          <cell r="Q241"/>
          <cell r="R241"/>
          <cell r="S241">
            <v>1</v>
          </cell>
          <cell r="T241">
            <v>1</v>
          </cell>
          <cell r="U241">
            <v>1</v>
          </cell>
          <cell r="V241"/>
          <cell r="W241"/>
          <cell r="X241"/>
          <cell r="Y241"/>
          <cell r="Z241"/>
          <cell r="AA241">
            <v>1</v>
          </cell>
          <cell r="AB241">
            <v>1</v>
          </cell>
          <cell r="AC241">
            <v>1</v>
          </cell>
          <cell r="AD241"/>
          <cell r="AE241"/>
          <cell r="AF241"/>
          <cell r="AG241"/>
          <cell r="AH241">
            <v>1</v>
          </cell>
          <cell r="AI241">
            <v>1</v>
          </cell>
          <cell r="AJ241">
            <v>1</v>
          </cell>
          <cell r="AK241"/>
          <cell r="AL241"/>
          <cell r="AM241"/>
          <cell r="AN241">
            <v>1</v>
          </cell>
          <cell r="AO241"/>
          <cell r="AP241"/>
          <cell r="AQ241"/>
          <cell r="AR241"/>
          <cell r="AS241"/>
          <cell r="AT241"/>
          <cell r="AU241">
            <v>1</v>
          </cell>
          <cell r="AV241"/>
          <cell r="AW241"/>
          <cell r="AX241">
            <v>1</v>
          </cell>
          <cell r="AY241"/>
          <cell r="AZ241"/>
          <cell r="BA241"/>
          <cell r="BB241"/>
          <cell r="BC241"/>
          <cell r="BD241"/>
          <cell r="BE241"/>
          <cell r="BF241"/>
          <cell r="BG241"/>
          <cell r="BH241"/>
          <cell r="BI241"/>
          <cell r="BJ241"/>
          <cell r="BK241">
            <v>24</v>
          </cell>
        </row>
        <row r="242">
          <cell r="B242" t="str">
            <v>경상남도 남해군</v>
          </cell>
          <cell r="C242">
            <v>1</v>
          </cell>
          <cell r="D242">
            <v>1</v>
          </cell>
          <cell r="E242">
            <v>1</v>
          </cell>
          <cell r="F242">
            <v>1</v>
          </cell>
          <cell r="G242">
            <v>1</v>
          </cell>
          <cell r="H242">
            <v>1</v>
          </cell>
          <cell r="I242">
            <v>1</v>
          </cell>
          <cell r="J242">
            <v>1</v>
          </cell>
          <cell r="K242">
            <v>1</v>
          </cell>
          <cell r="L242">
            <v>1</v>
          </cell>
          <cell r="M242">
            <v>1</v>
          </cell>
          <cell r="N242">
            <v>1</v>
          </cell>
          <cell r="O242"/>
          <cell r="P242">
            <v>1</v>
          </cell>
          <cell r="Q242">
            <v>1</v>
          </cell>
          <cell r="R242">
            <v>1</v>
          </cell>
          <cell r="S242">
            <v>1</v>
          </cell>
          <cell r="T242">
            <v>1</v>
          </cell>
          <cell r="U242">
            <v>1</v>
          </cell>
          <cell r="V242"/>
          <cell r="W242"/>
          <cell r="X242"/>
          <cell r="Y242"/>
          <cell r="Z242"/>
          <cell r="AA242">
            <v>1</v>
          </cell>
          <cell r="AB242">
            <v>1</v>
          </cell>
          <cell r="AC242">
            <v>1</v>
          </cell>
          <cell r="AD242"/>
          <cell r="AE242">
            <v>1</v>
          </cell>
          <cell r="AF242"/>
          <cell r="AG242">
            <v>1</v>
          </cell>
          <cell r="AH242">
            <v>1</v>
          </cell>
          <cell r="AI242">
            <v>1</v>
          </cell>
          <cell r="AJ242">
            <v>1</v>
          </cell>
          <cell r="AK242"/>
          <cell r="AL242"/>
          <cell r="AM242"/>
          <cell r="AN242">
            <v>1</v>
          </cell>
          <cell r="AO242"/>
          <cell r="AP242">
            <v>1</v>
          </cell>
          <cell r="AQ242"/>
          <cell r="AR242"/>
          <cell r="AS242">
            <v>1</v>
          </cell>
          <cell r="AT242"/>
          <cell r="AU242">
            <v>1</v>
          </cell>
          <cell r="AV242"/>
          <cell r="AW242">
            <v>1</v>
          </cell>
          <cell r="AX242">
            <v>1</v>
          </cell>
          <cell r="AY242">
            <v>1</v>
          </cell>
          <cell r="AZ242"/>
          <cell r="BA242">
            <v>1</v>
          </cell>
          <cell r="BB242">
            <v>1</v>
          </cell>
          <cell r="BC242"/>
          <cell r="BD242"/>
          <cell r="BE242"/>
          <cell r="BF242"/>
          <cell r="BG242">
            <v>1</v>
          </cell>
          <cell r="BH242"/>
          <cell r="BI242"/>
          <cell r="BJ242"/>
          <cell r="BK242">
            <v>36</v>
          </cell>
        </row>
        <row r="243">
          <cell r="B243" t="str">
            <v>경상남도 하동군</v>
          </cell>
          <cell r="C243"/>
          <cell r="D243">
            <v>1</v>
          </cell>
          <cell r="E243">
            <v>1</v>
          </cell>
          <cell r="F243"/>
          <cell r="G243">
            <v>1</v>
          </cell>
          <cell r="H243">
            <v>1</v>
          </cell>
          <cell r="I243">
            <v>1</v>
          </cell>
          <cell r="J243">
            <v>1</v>
          </cell>
          <cell r="K243">
            <v>1</v>
          </cell>
          <cell r="L243">
            <v>1</v>
          </cell>
          <cell r="M243">
            <v>1</v>
          </cell>
          <cell r="N243">
            <v>1</v>
          </cell>
          <cell r="O243"/>
          <cell r="P243"/>
          <cell r="Q243">
            <v>1</v>
          </cell>
          <cell r="R243"/>
          <cell r="S243">
            <v>1</v>
          </cell>
          <cell r="T243">
            <v>1</v>
          </cell>
          <cell r="U243">
            <v>1</v>
          </cell>
          <cell r="V243">
            <v>1</v>
          </cell>
          <cell r="W243"/>
          <cell r="X243"/>
          <cell r="Y243">
            <v>1</v>
          </cell>
          <cell r="Z243"/>
          <cell r="AA243"/>
          <cell r="AB243">
            <v>1</v>
          </cell>
          <cell r="AC243">
            <v>1</v>
          </cell>
          <cell r="AD243">
            <v>1</v>
          </cell>
          <cell r="AE243"/>
          <cell r="AF243"/>
          <cell r="AG243"/>
          <cell r="AH243"/>
          <cell r="AI243"/>
          <cell r="AJ243">
            <v>1</v>
          </cell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>
            <v>1</v>
          </cell>
          <cell r="AY243"/>
          <cell r="AZ243"/>
          <cell r="BA243"/>
          <cell r="BB243">
            <v>1</v>
          </cell>
          <cell r="BC243"/>
          <cell r="BD243"/>
          <cell r="BE243"/>
          <cell r="BF243"/>
          <cell r="BG243">
            <v>1</v>
          </cell>
          <cell r="BH243"/>
          <cell r="BI243"/>
          <cell r="BJ243"/>
          <cell r="BK243">
            <v>23</v>
          </cell>
        </row>
        <row r="244">
          <cell r="B244" t="str">
            <v>경상남도 산청군</v>
          </cell>
          <cell r="C244">
            <v>1</v>
          </cell>
          <cell r="D244">
            <v>1</v>
          </cell>
          <cell r="E244">
            <v>1</v>
          </cell>
          <cell r="F244">
            <v>1</v>
          </cell>
          <cell r="G244">
            <v>1</v>
          </cell>
          <cell r="H244"/>
          <cell r="I244">
            <v>1</v>
          </cell>
          <cell r="J244">
            <v>1</v>
          </cell>
          <cell r="K244">
            <v>1</v>
          </cell>
          <cell r="L244"/>
          <cell r="M244">
            <v>1</v>
          </cell>
          <cell r="N244">
            <v>1</v>
          </cell>
          <cell r="O244"/>
          <cell r="P244">
            <v>1</v>
          </cell>
          <cell r="Q244">
            <v>1</v>
          </cell>
          <cell r="R244"/>
          <cell r="S244">
            <v>1</v>
          </cell>
          <cell r="T244">
            <v>1</v>
          </cell>
          <cell r="U244">
            <v>1</v>
          </cell>
          <cell r="V244">
            <v>1</v>
          </cell>
          <cell r="W244"/>
          <cell r="X244"/>
          <cell r="Y244"/>
          <cell r="Z244"/>
          <cell r="AA244">
            <v>1</v>
          </cell>
          <cell r="AB244">
            <v>1</v>
          </cell>
          <cell r="AC244">
            <v>1</v>
          </cell>
          <cell r="AD244">
            <v>1</v>
          </cell>
          <cell r="AE244"/>
          <cell r="AF244"/>
          <cell r="AG244"/>
          <cell r="AH244"/>
          <cell r="AI244">
            <v>1</v>
          </cell>
          <cell r="AJ244">
            <v>1</v>
          </cell>
          <cell r="AK244"/>
          <cell r="AL244"/>
          <cell r="AM244"/>
          <cell r="AN244"/>
          <cell r="AO244"/>
          <cell r="AP244">
            <v>1</v>
          </cell>
          <cell r="AQ244"/>
          <cell r="AR244"/>
          <cell r="AS244"/>
          <cell r="AT244"/>
          <cell r="AU244">
            <v>1</v>
          </cell>
          <cell r="AV244"/>
          <cell r="AW244">
            <v>1</v>
          </cell>
          <cell r="AX244">
            <v>1</v>
          </cell>
          <cell r="AY244">
            <v>1</v>
          </cell>
          <cell r="AZ244"/>
          <cell r="BA244"/>
          <cell r="BB244">
            <v>1</v>
          </cell>
          <cell r="BC244"/>
          <cell r="BD244"/>
          <cell r="BE244"/>
          <cell r="BF244"/>
          <cell r="BG244">
            <v>1</v>
          </cell>
          <cell r="BH244"/>
          <cell r="BI244"/>
          <cell r="BJ244"/>
          <cell r="BK244">
            <v>29</v>
          </cell>
        </row>
        <row r="245">
          <cell r="B245" t="str">
            <v>경상남도 함양군</v>
          </cell>
          <cell r="C245">
            <v>1</v>
          </cell>
          <cell r="D245">
            <v>1</v>
          </cell>
          <cell r="E245">
            <v>1</v>
          </cell>
          <cell r="F245">
            <v>1</v>
          </cell>
          <cell r="G245"/>
          <cell r="H245"/>
          <cell r="I245"/>
          <cell r="J245"/>
          <cell r="K245">
            <v>1</v>
          </cell>
          <cell r="L245">
            <v>1</v>
          </cell>
          <cell r="M245">
            <v>1</v>
          </cell>
          <cell r="N245">
            <v>1</v>
          </cell>
          <cell r="O245"/>
          <cell r="P245">
            <v>1</v>
          </cell>
          <cell r="Q245"/>
          <cell r="R245">
            <v>1</v>
          </cell>
          <cell r="S245">
            <v>1</v>
          </cell>
          <cell r="T245">
            <v>1</v>
          </cell>
          <cell r="U245">
            <v>1</v>
          </cell>
          <cell r="V245">
            <v>1</v>
          </cell>
          <cell r="W245"/>
          <cell r="X245"/>
          <cell r="Y245"/>
          <cell r="Z245"/>
          <cell r="AA245">
            <v>1</v>
          </cell>
          <cell r="AB245">
            <v>1</v>
          </cell>
          <cell r="AC245">
            <v>1</v>
          </cell>
          <cell r="AD245">
            <v>1</v>
          </cell>
          <cell r="AE245"/>
          <cell r="AF245"/>
          <cell r="AG245"/>
          <cell r="AH245">
            <v>1</v>
          </cell>
          <cell r="AI245">
            <v>1</v>
          </cell>
          <cell r="AJ245">
            <v>1</v>
          </cell>
          <cell r="AK245"/>
          <cell r="AL245">
            <v>1</v>
          </cell>
          <cell r="AM245"/>
          <cell r="AN245"/>
          <cell r="AO245"/>
          <cell r="AP245"/>
          <cell r="AQ245"/>
          <cell r="AR245"/>
          <cell r="AS245"/>
          <cell r="AT245"/>
          <cell r="AU245">
            <v>1</v>
          </cell>
          <cell r="AV245"/>
          <cell r="AW245"/>
          <cell r="AX245">
            <v>1</v>
          </cell>
          <cell r="AY245">
            <v>1</v>
          </cell>
          <cell r="AZ245"/>
          <cell r="BA245"/>
          <cell r="BB245"/>
          <cell r="BC245"/>
          <cell r="BD245"/>
          <cell r="BE245"/>
          <cell r="BF245"/>
          <cell r="BG245">
            <v>1</v>
          </cell>
          <cell r="BH245"/>
          <cell r="BI245"/>
          <cell r="BJ245"/>
          <cell r="BK245">
            <v>26</v>
          </cell>
        </row>
        <row r="246">
          <cell r="B246" t="str">
            <v>경상남도 거창군</v>
          </cell>
          <cell r="C246">
            <v>1</v>
          </cell>
          <cell r="D246">
            <v>1</v>
          </cell>
          <cell r="E246">
            <v>1</v>
          </cell>
          <cell r="F246">
            <v>1</v>
          </cell>
          <cell r="G246">
            <v>1</v>
          </cell>
          <cell r="H246">
            <v>1</v>
          </cell>
          <cell r="I246">
            <v>1</v>
          </cell>
          <cell r="J246">
            <v>1</v>
          </cell>
          <cell r="K246">
            <v>1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/>
          <cell r="S246">
            <v>1</v>
          </cell>
          <cell r="T246">
            <v>1</v>
          </cell>
          <cell r="U246">
            <v>1</v>
          </cell>
          <cell r="V246">
            <v>1</v>
          </cell>
          <cell r="W246"/>
          <cell r="X246"/>
          <cell r="Y246"/>
          <cell r="Z246"/>
          <cell r="AA246">
            <v>1</v>
          </cell>
          <cell r="AB246">
            <v>1</v>
          </cell>
          <cell r="AC246">
            <v>1</v>
          </cell>
          <cell r="AD246"/>
          <cell r="AE246"/>
          <cell r="AF246"/>
          <cell r="AG246"/>
          <cell r="AH246">
            <v>1</v>
          </cell>
          <cell r="AI246">
            <v>1</v>
          </cell>
          <cell r="AJ246">
            <v>1</v>
          </cell>
          <cell r="AK246"/>
          <cell r="AL246"/>
          <cell r="AM246"/>
          <cell r="AN246">
            <v>1</v>
          </cell>
          <cell r="AO246"/>
          <cell r="AP246">
            <v>1</v>
          </cell>
          <cell r="AQ246">
            <v>1</v>
          </cell>
          <cell r="AR246"/>
          <cell r="AS246">
            <v>1</v>
          </cell>
          <cell r="AT246"/>
          <cell r="AU246">
            <v>1</v>
          </cell>
          <cell r="AV246"/>
          <cell r="AW246">
            <v>1</v>
          </cell>
          <cell r="AX246"/>
          <cell r="AY246">
            <v>1</v>
          </cell>
          <cell r="AZ246"/>
          <cell r="BA246"/>
          <cell r="BB246">
            <v>1</v>
          </cell>
          <cell r="BC246"/>
          <cell r="BD246"/>
          <cell r="BE246"/>
          <cell r="BF246"/>
          <cell r="BG246"/>
          <cell r="BH246"/>
          <cell r="BI246"/>
          <cell r="BJ246"/>
          <cell r="BK246">
            <v>33</v>
          </cell>
        </row>
        <row r="247">
          <cell r="B247" t="str">
            <v>경상남도 합천군</v>
          </cell>
          <cell r="C247">
            <v>1</v>
          </cell>
          <cell r="D247">
            <v>1</v>
          </cell>
          <cell r="E247">
            <v>1</v>
          </cell>
          <cell r="F247">
            <v>1</v>
          </cell>
          <cell r="G247">
            <v>1</v>
          </cell>
          <cell r="H247">
            <v>1</v>
          </cell>
          <cell r="I247">
            <v>1</v>
          </cell>
          <cell r="J247">
            <v>1</v>
          </cell>
          <cell r="K247">
            <v>1</v>
          </cell>
          <cell r="L247">
            <v>1</v>
          </cell>
          <cell r="M247">
            <v>1</v>
          </cell>
          <cell r="N247">
            <v>1</v>
          </cell>
          <cell r="O247"/>
          <cell r="P247">
            <v>1</v>
          </cell>
          <cell r="Q247">
            <v>1</v>
          </cell>
          <cell r="R247"/>
          <cell r="S247">
            <v>1</v>
          </cell>
          <cell r="T247">
            <v>1</v>
          </cell>
          <cell r="U247">
            <v>1</v>
          </cell>
          <cell r="V247">
            <v>1</v>
          </cell>
          <cell r="W247"/>
          <cell r="X247"/>
          <cell r="Y247"/>
          <cell r="Z247">
            <v>1</v>
          </cell>
          <cell r="AA247"/>
          <cell r="AB247">
            <v>1</v>
          </cell>
          <cell r="AC247">
            <v>1</v>
          </cell>
          <cell r="AD247">
            <v>1</v>
          </cell>
          <cell r="AE247"/>
          <cell r="AF247"/>
          <cell r="AG247">
            <v>1</v>
          </cell>
          <cell r="AH247">
            <v>1</v>
          </cell>
          <cell r="AI247">
            <v>1</v>
          </cell>
          <cell r="AJ247">
            <v>1</v>
          </cell>
          <cell r="AK247"/>
          <cell r="AL247"/>
          <cell r="AM247">
            <v>1</v>
          </cell>
          <cell r="AN247"/>
          <cell r="AO247"/>
          <cell r="AP247">
            <v>1</v>
          </cell>
          <cell r="AQ247"/>
          <cell r="AR247"/>
          <cell r="AS247"/>
          <cell r="AT247"/>
          <cell r="AU247">
            <v>1</v>
          </cell>
          <cell r="AV247"/>
          <cell r="AW247">
            <v>1</v>
          </cell>
          <cell r="AX247">
            <v>1</v>
          </cell>
          <cell r="AY247"/>
          <cell r="AZ247"/>
          <cell r="BA247">
            <v>1</v>
          </cell>
          <cell r="BB247">
            <v>1</v>
          </cell>
          <cell r="BC247"/>
          <cell r="BD247"/>
          <cell r="BE247"/>
          <cell r="BF247"/>
          <cell r="BG247">
            <v>1</v>
          </cell>
          <cell r="BH247"/>
          <cell r="BI247"/>
          <cell r="BJ247"/>
          <cell r="BK247">
            <v>34</v>
          </cell>
        </row>
        <row r="248">
          <cell r="B248" t="str">
            <v>제주특별자치도</v>
          </cell>
          <cell r="C248"/>
          <cell r="D248"/>
          <cell r="E248">
            <v>1</v>
          </cell>
          <cell r="F248">
            <v>1</v>
          </cell>
          <cell r="G248">
            <v>1</v>
          </cell>
          <cell r="H248"/>
          <cell r="I248">
            <v>1</v>
          </cell>
          <cell r="J248"/>
          <cell r="K248"/>
          <cell r="L248"/>
          <cell r="M248"/>
          <cell r="N248"/>
          <cell r="O248"/>
          <cell r="P248"/>
          <cell r="Q248">
            <v>1</v>
          </cell>
          <cell r="R248">
            <v>1</v>
          </cell>
          <cell r="S248">
            <v>1</v>
          </cell>
          <cell r="T248">
            <v>1</v>
          </cell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>
            <v>1</v>
          </cell>
          <cell r="AF248"/>
          <cell r="AG248"/>
          <cell r="AH248">
            <v>1</v>
          </cell>
          <cell r="AI248"/>
          <cell r="AJ248"/>
          <cell r="AK248">
            <v>1</v>
          </cell>
          <cell r="AL248"/>
          <cell r="AM248">
            <v>1</v>
          </cell>
          <cell r="AN248"/>
          <cell r="AO248">
            <v>1</v>
          </cell>
          <cell r="AP248"/>
          <cell r="AQ248"/>
          <cell r="AR248"/>
          <cell r="AS248"/>
          <cell r="AT248"/>
          <cell r="AU248">
            <v>1</v>
          </cell>
          <cell r="AV248"/>
          <cell r="AW248">
            <v>1</v>
          </cell>
          <cell r="AX248"/>
          <cell r="AY248"/>
          <cell r="AZ248"/>
          <cell r="BA248">
            <v>1</v>
          </cell>
          <cell r="BB248">
            <v>1</v>
          </cell>
          <cell r="BC248">
            <v>1</v>
          </cell>
          <cell r="BD248"/>
          <cell r="BE248">
            <v>1</v>
          </cell>
          <cell r="BF248">
            <v>1</v>
          </cell>
          <cell r="BG248"/>
          <cell r="BH248"/>
          <cell r="BI248"/>
          <cell r="BJ248"/>
          <cell r="BK248">
            <v>20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2"/>
  <sheetViews>
    <sheetView tabSelected="1" workbookViewId="0">
      <selection activeCell="D1" sqref="D1"/>
    </sheetView>
  </sheetViews>
  <sheetFormatPr defaultRowHeight="17.399999999999999" x14ac:dyDescent="0.4"/>
  <cols>
    <col min="1" max="1" width="5" bestFit="1" customWidth="1"/>
    <col min="2" max="2" width="22.796875" bestFit="1" customWidth="1"/>
    <col min="3" max="3" width="15.69921875" bestFit="1" customWidth="1"/>
    <col min="4" max="4" width="16.296875" bestFit="1" customWidth="1"/>
    <col min="5" max="5" width="11.69921875" bestFit="1" customWidth="1"/>
    <col min="6" max="7" width="12.59765625" bestFit="1" customWidth="1"/>
    <col min="8" max="8" width="20.69921875" style="61" customWidth="1"/>
    <col min="9" max="9" width="28.296875" customWidth="1"/>
    <col min="10" max="10" width="8.796875" style="5"/>
  </cols>
  <sheetData>
    <row r="1" spans="1:16" ht="18" thickBot="1" x14ac:dyDescent="0.45">
      <c r="A1" s="6" t="s">
        <v>247</v>
      </c>
      <c r="B1" s="7" t="s">
        <v>0</v>
      </c>
      <c r="C1" s="8" t="s">
        <v>246</v>
      </c>
      <c r="D1" s="7" t="s">
        <v>248</v>
      </c>
      <c r="E1" s="7" t="s">
        <v>249</v>
      </c>
      <c r="F1" s="15" t="s">
        <v>250</v>
      </c>
      <c r="G1" s="16" t="s">
        <v>254</v>
      </c>
      <c r="H1" s="14" t="s">
        <v>253</v>
      </c>
      <c r="I1" s="9" t="s">
        <v>298</v>
      </c>
      <c r="L1" s="137" t="s">
        <v>251</v>
      </c>
      <c r="M1" s="138"/>
    </row>
    <row r="2" spans="1:16" ht="18" thickBot="1" x14ac:dyDescent="0.45">
      <c r="A2">
        <v>1</v>
      </c>
      <c r="B2" s="4" t="s">
        <v>1</v>
      </c>
      <c r="C2" s="45">
        <v>0</v>
      </c>
      <c r="D2">
        <v>0</v>
      </c>
      <c r="E2">
        <v>0</v>
      </c>
      <c r="F2" s="17">
        <f>IFERROR(E2/D2,0)</f>
        <v>0</v>
      </c>
      <c r="G2" s="17">
        <f>IFERROR(C2/D2,0)</f>
        <v>0</v>
      </c>
      <c r="H2" s="136"/>
      <c r="L2" s="11">
        <f>COUNTBLANK(H2:H246)</f>
        <v>146</v>
      </c>
      <c r="M2" s="12">
        <f>L2/(L2+L4)</f>
        <v>0.59591836734693882</v>
      </c>
    </row>
    <row r="3" spans="1:16" ht="18" thickBot="1" x14ac:dyDescent="0.45">
      <c r="A3" s="5">
        <v>2</v>
      </c>
      <c r="B3" s="3" t="s">
        <v>22</v>
      </c>
      <c r="C3" s="45">
        <v>31</v>
      </c>
      <c r="D3" s="5">
        <v>30</v>
      </c>
      <c r="E3" s="5">
        <v>29</v>
      </c>
      <c r="F3" s="17">
        <f>IFERROR(E3/D3,0)</f>
        <v>0.96666666666666667</v>
      </c>
      <c r="G3" s="18">
        <f>IFERROR(C3/D3,0)</f>
        <v>1.0333333333333334</v>
      </c>
      <c r="H3" s="135" t="s">
        <v>253</v>
      </c>
      <c r="L3" s="139" t="s">
        <v>252</v>
      </c>
      <c r="M3" s="140"/>
    </row>
    <row r="4" spans="1:16" ht="18" thickBot="1" x14ac:dyDescent="0.45">
      <c r="A4" s="5">
        <v>3</v>
      </c>
      <c r="B4" s="3" t="s">
        <v>2</v>
      </c>
      <c r="C4" s="45">
        <v>29</v>
      </c>
      <c r="D4" s="5">
        <v>33</v>
      </c>
      <c r="E4" s="5">
        <v>27</v>
      </c>
      <c r="F4" s="17">
        <f>IFERROR(E4/D4,0)</f>
        <v>0.81818181818181823</v>
      </c>
      <c r="G4" s="18">
        <f>IFERROR(C4/D4,0)</f>
        <v>0.87878787878787878</v>
      </c>
      <c r="H4" s="136" t="s">
        <v>1369</v>
      </c>
      <c r="L4" s="11">
        <f>COUNTIF(H2:H246,"점검 필요")</f>
        <v>99</v>
      </c>
      <c r="M4" s="12">
        <f>L4/(L4+L2)</f>
        <v>0.40408163265306124</v>
      </c>
      <c r="N4" t="s">
        <v>998</v>
      </c>
      <c r="O4" s="141" t="s">
        <v>255</v>
      </c>
      <c r="P4" s="142"/>
    </row>
    <row r="5" spans="1:16" ht="18" thickBot="1" x14ac:dyDescent="0.45">
      <c r="A5" s="5">
        <v>4</v>
      </c>
      <c r="B5" s="3" t="s">
        <v>3</v>
      </c>
      <c r="C5" s="45">
        <v>32</v>
      </c>
      <c r="D5" s="5">
        <v>32</v>
      </c>
      <c r="E5" s="5">
        <v>32</v>
      </c>
      <c r="F5" s="17">
        <f>IFERROR(E5/D5,0)</f>
        <v>1</v>
      </c>
      <c r="G5" s="17">
        <f>IFERROR(C5/D5,0)</f>
        <v>1</v>
      </c>
      <c r="H5" s="136"/>
      <c r="L5" s="46">
        <v>69</v>
      </c>
      <c r="M5" s="12">
        <f>L5/L4</f>
        <v>0.69696969696969702</v>
      </c>
      <c r="N5" t="s">
        <v>999</v>
      </c>
      <c r="O5" s="142"/>
      <c r="P5" s="142"/>
    </row>
    <row r="6" spans="1:16" ht="18" thickBot="1" x14ac:dyDescent="0.45">
      <c r="A6" s="5">
        <v>5</v>
      </c>
      <c r="B6" s="3" t="s">
        <v>4</v>
      </c>
      <c r="C6" s="45">
        <v>35</v>
      </c>
      <c r="D6" s="5">
        <v>35</v>
      </c>
      <c r="E6" s="5">
        <v>35</v>
      </c>
      <c r="F6" s="17">
        <f>IFERROR(E6/D6,0)</f>
        <v>1</v>
      </c>
      <c r="G6" s="17">
        <f>IFERROR(C6/D6,0)</f>
        <v>1</v>
      </c>
      <c r="H6" s="136"/>
      <c r="L6" s="47">
        <v>18</v>
      </c>
      <c r="M6" s="12">
        <f>L6/L4</f>
        <v>0.18181818181818182</v>
      </c>
      <c r="N6" t="s">
        <v>1000</v>
      </c>
    </row>
    <row r="7" spans="1:16" x14ac:dyDescent="0.4">
      <c r="A7" s="5">
        <v>6</v>
      </c>
      <c r="B7" s="3" t="s">
        <v>5</v>
      </c>
      <c r="C7" s="45">
        <v>40</v>
      </c>
      <c r="D7" s="5">
        <v>40</v>
      </c>
      <c r="E7" s="5">
        <v>40</v>
      </c>
      <c r="F7" s="17">
        <f>IFERROR(E7/D7,0)</f>
        <v>1</v>
      </c>
      <c r="G7" s="17">
        <f>IFERROR(C7/D7,0)</f>
        <v>1</v>
      </c>
      <c r="H7" s="136"/>
    </row>
    <row r="8" spans="1:16" x14ac:dyDescent="0.4">
      <c r="A8" s="5">
        <v>7</v>
      </c>
      <c r="B8" s="3" t="s">
        <v>6</v>
      </c>
      <c r="C8" s="45">
        <v>21</v>
      </c>
      <c r="D8" s="5">
        <v>36</v>
      </c>
      <c r="E8" s="5">
        <v>21</v>
      </c>
      <c r="F8" s="17">
        <f>IFERROR(E8/D8,0)</f>
        <v>0.58333333333333337</v>
      </c>
      <c r="G8" s="17">
        <f>IFERROR(C8/D8,0)</f>
        <v>0.58333333333333337</v>
      </c>
      <c r="H8" s="135"/>
    </row>
    <row r="9" spans="1:16" x14ac:dyDescent="0.4">
      <c r="A9" s="5">
        <v>8</v>
      </c>
      <c r="B9" s="3" t="s">
        <v>7</v>
      </c>
      <c r="C9" s="45">
        <v>31</v>
      </c>
      <c r="D9" s="5">
        <v>34</v>
      </c>
      <c r="E9" s="5">
        <v>31</v>
      </c>
      <c r="F9" s="17">
        <f>IFERROR(E9/D9,0)</f>
        <v>0.91176470588235292</v>
      </c>
      <c r="G9" s="17">
        <f>IFERROR(C9/D9,0)</f>
        <v>0.91176470588235292</v>
      </c>
      <c r="H9" s="135"/>
    </row>
    <row r="10" spans="1:16" x14ac:dyDescent="0.4">
      <c r="A10" s="5">
        <v>9</v>
      </c>
      <c r="B10" s="3" t="s">
        <v>8</v>
      </c>
      <c r="C10" s="45">
        <v>29</v>
      </c>
      <c r="D10" s="5">
        <v>35</v>
      </c>
      <c r="E10" s="5">
        <v>28</v>
      </c>
      <c r="F10" s="17">
        <f>IFERROR(E10/D10,0)</f>
        <v>0.8</v>
      </c>
      <c r="G10" s="18">
        <f>IFERROR(C10/D10,0)</f>
        <v>0.82857142857142863</v>
      </c>
      <c r="H10" s="136" t="s">
        <v>253</v>
      </c>
    </row>
    <row r="11" spans="1:16" x14ac:dyDescent="0.4">
      <c r="A11" s="5">
        <v>10</v>
      </c>
      <c r="B11" s="3" t="s">
        <v>9</v>
      </c>
      <c r="C11" s="45">
        <v>35</v>
      </c>
      <c r="D11" s="5">
        <v>34</v>
      </c>
      <c r="E11" s="5">
        <v>34</v>
      </c>
      <c r="F11" s="17">
        <f>IFERROR(E11/D11,0)</f>
        <v>1</v>
      </c>
      <c r="G11" s="18">
        <f>IFERROR(C11/D11,0)</f>
        <v>1.0294117647058822</v>
      </c>
      <c r="H11" s="136" t="s">
        <v>253</v>
      </c>
    </row>
    <row r="12" spans="1:16" x14ac:dyDescent="0.4">
      <c r="A12" s="5">
        <v>11</v>
      </c>
      <c r="B12" s="3" t="s">
        <v>23</v>
      </c>
      <c r="C12" s="45">
        <v>23</v>
      </c>
      <c r="D12" s="5">
        <v>23</v>
      </c>
      <c r="E12" s="5">
        <v>23</v>
      </c>
      <c r="F12" s="17">
        <f>IFERROR(E12/D12,0)</f>
        <v>1</v>
      </c>
      <c r="G12" s="17">
        <f>IFERROR(C12/D12,0)</f>
        <v>1</v>
      </c>
      <c r="H12" s="136"/>
      <c r="I12" t="s">
        <v>1330</v>
      </c>
    </row>
    <row r="13" spans="1:16" x14ac:dyDescent="0.4">
      <c r="A13" s="5">
        <v>12</v>
      </c>
      <c r="B13" s="3" t="s">
        <v>10</v>
      </c>
      <c r="C13" s="45">
        <v>30</v>
      </c>
      <c r="D13" s="5">
        <v>30</v>
      </c>
      <c r="E13" s="5">
        <v>30</v>
      </c>
      <c r="F13" s="17">
        <f>IFERROR(E13/D13,0)</f>
        <v>1</v>
      </c>
      <c r="G13" s="17">
        <f>IFERROR(C13/D13,0)</f>
        <v>1</v>
      </c>
      <c r="H13" s="135"/>
    </row>
    <row r="14" spans="1:16" x14ac:dyDescent="0.4">
      <c r="A14" s="5">
        <v>13</v>
      </c>
      <c r="B14" s="3" t="s">
        <v>11</v>
      </c>
      <c r="C14" s="45">
        <v>34</v>
      </c>
      <c r="D14" s="5">
        <v>35</v>
      </c>
      <c r="E14" s="5">
        <v>35</v>
      </c>
      <c r="F14" s="17">
        <f>IFERROR(E14/D14,0)</f>
        <v>1</v>
      </c>
      <c r="G14" s="19">
        <f>IFERROR(C14/D14,0)</f>
        <v>0.97142857142857142</v>
      </c>
      <c r="H14" s="135" t="s">
        <v>1369</v>
      </c>
      <c r="I14" t="s">
        <v>1368</v>
      </c>
    </row>
    <row r="15" spans="1:16" x14ac:dyDescent="0.4">
      <c r="A15" s="5">
        <v>14</v>
      </c>
      <c r="B15" s="3" t="s">
        <v>12</v>
      </c>
      <c r="C15" s="45">
        <v>40</v>
      </c>
      <c r="D15" s="5">
        <v>50</v>
      </c>
      <c r="E15" s="5">
        <v>39</v>
      </c>
      <c r="F15" s="17">
        <f>IFERROR(E15/D15,0)</f>
        <v>0.78</v>
      </c>
      <c r="G15" s="18">
        <f>IFERROR(C15/D15,0)</f>
        <v>0.8</v>
      </c>
      <c r="H15" s="135" t="s">
        <v>1369</v>
      </c>
    </row>
    <row r="16" spans="1:16" x14ac:dyDescent="0.4">
      <c r="A16" s="5">
        <v>15</v>
      </c>
      <c r="B16" s="3" t="s">
        <v>24</v>
      </c>
      <c r="C16" s="45">
        <v>18</v>
      </c>
      <c r="D16" s="5">
        <v>18</v>
      </c>
      <c r="E16" s="5">
        <v>18</v>
      </c>
      <c r="F16" s="17">
        <f>IFERROR(E16/D16,0)</f>
        <v>1</v>
      </c>
      <c r="G16" s="17">
        <f>IFERROR(C16/D16,0)</f>
        <v>1</v>
      </c>
      <c r="H16" s="136"/>
      <c r="I16" s="5" t="s">
        <v>1330</v>
      </c>
    </row>
    <row r="17" spans="1:9" x14ac:dyDescent="0.4">
      <c r="A17" s="5">
        <v>16</v>
      </c>
      <c r="B17" s="3" t="s">
        <v>13</v>
      </c>
      <c r="C17" s="45">
        <v>31</v>
      </c>
      <c r="D17" s="5">
        <v>36</v>
      </c>
      <c r="E17" s="5">
        <v>31</v>
      </c>
      <c r="F17" s="17">
        <f>IFERROR(E17/D17,0)</f>
        <v>0.86111111111111116</v>
      </c>
      <c r="G17" s="17">
        <f>IFERROR(C17/D17,0)</f>
        <v>0.86111111111111116</v>
      </c>
      <c r="H17" s="136"/>
    </row>
    <row r="18" spans="1:9" x14ac:dyDescent="0.4">
      <c r="A18" s="5">
        <v>17</v>
      </c>
      <c r="B18" s="3" t="s">
        <v>14</v>
      </c>
      <c r="C18" s="45">
        <v>38</v>
      </c>
      <c r="D18" s="5">
        <v>40</v>
      </c>
      <c r="E18" s="5">
        <v>38</v>
      </c>
      <c r="F18" s="17">
        <f>IFERROR(E18/D18,0)</f>
        <v>0.95</v>
      </c>
      <c r="G18" s="17">
        <f>IFERROR(C18/D18,0)</f>
        <v>0.95</v>
      </c>
      <c r="H18" s="135"/>
    </row>
    <row r="19" spans="1:9" x14ac:dyDescent="0.4">
      <c r="A19" s="5">
        <v>18</v>
      </c>
      <c r="B19" s="3" t="s">
        <v>25</v>
      </c>
      <c r="C19" s="45">
        <v>31</v>
      </c>
      <c r="D19" s="68">
        <v>31</v>
      </c>
      <c r="E19" s="5">
        <v>31</v>
      </c>
      <c r="F19" s="17">
        <f>IFERROR(E19/D19,0)</f>
        <v>1</v>
      </c>
      <c r="G19" s="17">
        <f>IFERROR(C19/D19,0)</f>
        <v>1</v>
      </c>
      <c r="H19" s="135"/>
      <c r="I19" s="5" t="s">
        <v>1330</v>
      </c>
    </row>
    <row r="20" spans="1:9" x14ac:dyDescent="0.4">
      <c r="A20" s="5">
        <v>19</v>
      </c>
      <c r="B20" s="3" t="s">
        <v>15</v>
      </c>
      <c r="C20" s="45">
        <v>35</v>
      </c>
      <c r="D20" s="5">
        <v>35</v>
      </c>
      <c r="E20" s="5">
        <v>35</v>
      </c>
      <c r="F20" s="17">
        <f>IFERROR(E20/D20,0)</f>
        <v>1</v>
      </c>
      <c r="G20" s="17">
        <f>IFERROR(C20/D20,0)</f>
        <v>1</v>
      </c>
      <c r="H20" s="135"/>
    </row>
    <row r="21" spans="1:9" x14ac:dyDescent="0.4">
      <c r="A21" s="5">
        <v>20</v>
      </c>
      <c r="B21" s="3" t="s">
        <v>16</v>
      </c>
      <c r="C21" s="45">
        <v>33</v>
      </c>
      <c r="D21" s="5">
        <v>33</v>
      </c>
      <c r="E21" s="5">
        <v>32</v>
      </c>
      <c r="F21" s="17">
        <f>IFERROR(E21/D21,0)</f>
        <v>0.96969696969696972</v>
      </c>
      <c r="G21" s="18">
        <f>IFERROR(C21/D21,0)</f>
        <v>1</v>
      </c>
      <c r="H21" s="135" t="s">
        <v>253</v>
      </c>
    </row>
    <row r="22" spans="1:9" x14ac:dyDescent="0.4">
      <c r="A22" s="5">
        <v>21</v>
      </c>
      <c r="B22" s="3" t="s">
        <v>17</v>
      </c>
      <c r="C22" s="45">
        <v>29</v>
      </c>
      <c r="D22" s="5">
        <v>32</v>
      </c>
      <c r="E22" s="5">
        <v>29</v>
      </c>
      <c r="F22" s="17">
        <f>IFERROR(E22/D22,0)</f>
        <v>0.90625</v>
      </c>
      <c r="G22" s="17">
        <f>IFERROR(C22/D22,0)</f>
        <v>0.90625</v>
      </c>
      <c r="H22" s="136"/>
    </row>
    <row r="23" spans="1:9" x14ac:dyDescent="0.4">
      <c r="A23" s="5">
        <v>22</v>
      </c>
      <c r="B23" s="3" t="s">
        <v>18</v>
      </c>
      <c r="C23" s="45">
        <v>41</v>
      </c>
      <c r="D23" s="5">
        <v>41</v>
      </c>
      <c r="E23" s="5">
        <v>41</v>
      </c>
      <c r="F23" s="17">
        <f>IFERROR(E23/D23,0)</f>
        <v>1</v>
      </c>
      <c r="G23" s="17">
        <f>IFERROR(C23/D23,0)</f>
        <v>1</v>
      </c>
      <c r="H23" s="135"/>
    </row>
    <row r="24" spans="1:9" x14ac:dyDescent="0.4">
      <c r="A24" s="5">
        <v>23</v>
      </c>
      <c r="B24" s="3" t="s">
        <v>19</v>
      </c>
      <c r="C24" s="45">
        <v>39</v>
      </c>
      <c r="D24" s="5">
        <v>39</v>
      </c>
      <c r="E24" s="5">
        <v>35</v>
      </c>
      <c r="F24" s="17">
        <f>IFERROR(E24/D24,0)</f>
        <v>0.89743589743589747</v>
      </c>
      <c r="G24" s="18">
        <f>IFERROR(C24/D24,0)</f>
        <v>1</v>
      </c>
      <c r="H24" s="135" t="s">
        <v>253</v>
      </c>
    </row>
    <row r="25" spans="1:9" x14ac:dyDescent="0.4">
      <c r="A25" s="5">
        <v>24</v>
      </c>
      <c r="B25" s="3" t="s">
        <v>20</v>
      </c>
      <c r="C25" s="45">
        <v>43</v>
      </c>
      <c r="D25" s="5">
        <v>43</v>
      </c>
      <c r="E25" s="5">
        <v>43</v>
      </c>
      <c r="F25" s="17">
        <f>IFERROR(E25/D25,0)</f>
        <v>1</v>
      </c>
      <c r="G25" s="17">
        <f>IFERROR(C25/D25,0)</f>
        <v>1</v>
      </c>
      <c r="H25" s="135"/>
    </row>
    <row r="26" spans="1:9" x14ac:dyDescent="0.4">
      <c r="A26" s="5">
        <v>25</v>
      </c>
      <c r="B26" s="3" t="s">
        <v>26</v>
      </c>
      <c r="C26" s="45">
        <v>35</v>
      </c>
      <c r="D26" s="68">
        <v>35</v>
      </c>
      <c r="E26" s="5">
        <v>35</v>
      </c>
      <c r="F26" s="17">
        <f>IFERROR(E26/D26,0)</f>
        <v>1</v>
      </c>
      <c r="G26" s="17">
        <f>IFERROR(C26/D26,0)</f>
        <v>1</v>
      </c>
      <c r="H26" s="136"/>
      <c r="I26" s="5" t="s">
        <v>1330</v>
      </c>
    </row>
    <row r="27" spans="1:9" x14ac:dyDescent="0.4">
      <c r="A27" s="5">
        <v>26</v>
      </c>
      <c r="B27" s="3" t="s">
        <v>21</v>
      </c>
      <c r="C27" s="45">
        <v>33</v>
      </c>
      <c r="D27" s="5">
        <v>33</v>
      </c>
      <c r="E27" s="5">
        <v>33</v>
      </c>
      <c r="F27" s="17">
        <f>IFERROR(E27/D27,0)</f>
        <v>1</v>
      </c>
      <c r="G27" s="17">
        <f>IFERROR(C27/D27,0)</f>
        <v>1</v>
      </c>
      <c r="H27" s="135"/>
    </row>
    <row r="28" spans="1:9" x14ac:dyDescent="0.4">
      <c r="A28" s="5">
        <v>27</v>
      </c>
      <c r="B28" s="3" t="s">
        <v>27</v>
      </c>
      <c r="C28" s="45">
        <v>16</v>
      </c>
      <c r="D28" s="5">
        <v>17</v>
      </c>
      <c r="E28" s="5">
        <v>16</v>
      </c>
      <c r="F28" s="17">
        <f>IFERROR(E28/D28,0)</f>
        <v>0.94117647058823528</v>
      </c>
      <c r="G28" s="17">
        <f>IFERROR(C28/D28,0)</f>
        <v>0.94117647058823528</v>
      </c>
      <c r="H28" s="135"/>
    </row>
    <row r="29" spans="1:9" x14ac:dyDescent="0.4">
      <c r="A29" s="5">
        <v>28</v>
      </c>
      <c r="B29" s="3" t="s">
        <v>28</v>
      </c>
      <c r="C29" s="45">
        <v>28</v>
      </c>
      <c r="D29" s="5">
        <v>28</v>
      </c>
      <c r="E29" s="5">
        <v>28</v>
      </c>
      <c r="F29" s="17">
        <f>IFERROR(E29/D29,0)</f>
        <v>1</v>
      </c>
      <c r="G29" s="17">
        <f>IFERROR(C29/D29,0)</f>
        <v>1</v>
      </c>
      <c r="H29" s="135"/>
    </row>
    <row r="30" spans="1:9" x14ac:dyDescent="0.4">
      <c r="A30" s="5">
        <v>29</v>
      </c>
      <c r="B30" s="3" t="s">
        <v>29</v>
      </c>
      <c r="C30" s="45">
        <v>34</v>
      </c>
      <c r="D30" s="5">
        <v>33</v>
      </c>
      <c r="E30" s="5">
        <v>33</v>
      </c>
      <c r="F30" s="17">
        <f>IFERROR(E30/D30,0)</f>
        <v>1</v>
      </c>
      <c r="G30" s="18">
        <f>IFERROR(C30/D30,0)</f>
        <v>1.0303030303030303</v>
      </c>
      <c r="H30" s="135" t="s">
        <v>253</v>
      </c>
    </row>
    <row r="31" spans="1:9" x14ac:dyDescent="0.4">
      <c r="A31" s="5">
        <v>30</v>
      </c>
      <c r="B31" s="3" t="s">
        <v>30</v>
      </c>
      <c r="C31" s="45">
        <v>25</v>
      </c>
      <c r="D31" s="5">
        <v>25</v>
      </c>
      <c r="E31" s="5">
        <v>25</v>
      </c>
      <c r="F31" s="17">
        <f>IFERROR(E31/D31,0)</f>
        <v>1</v>
      </c>
      <c r="G31" s="17">
        <f>IFERROR(C31/D31,0)</f>
        <v>1</v>
      </c>
      <c r="H31" s="136"/>
    </row>
    <row r="32" spans="1:9" x14ac:dyDescent="0.4">
      <c r="A32" s="5">
        <v>31</v>
      </c>
      <c r="B32" s="3" t="s">
        <v>31</v>
      </c>
      <c r="C32" s="45">
        <v>31</v>
      </c>
      <c r="D32" s="5">
        <v>31</v>
      </c>
      <c r="E32" s="5">
        <v>31</v>
      </c>
      <c r="F32" s="17">
        <f>IFERROR(E32/D32,0)</f>
        <v>1</v>
      </c>
      <c r="G32" s="17">
        <f>IFERROR(C32/D32,0)</f>
        <v>1</v>
      </c>
      <c r="H32" s="135"/>
    </row>
    <row r="33" spans="1:9" x14ac:dyDescent="0.4">
      <c r="A33" s="5">
        <v>32</v>
      </c>
      <c r="B33" s="3" t="s">
        <v>32</v>
      </c>
      <c r="C33" s="45">
        <v>31</v>
      </c>
      <c r="D33" s="5">
        <v>31</v>
      </c>
      <c r="E33" s="5">
        <v>31</v>
      </c>
      <c r="F33" s="17">
        <f>IFERROR(E33/D33,0)</f>
        <v>1</v>
      </c>
      <c r="G33" s="17">
        <f>IFERROR(C33/D33,0)</f>
        <v>1</v>
      </c>
      <c r="H33" s="135"/>
    </row>
    <row r="34" spans="1:9" x14ac:dyDescent="0.4">
      <c r="A34" s="5">
        <v>33</v>
      </c>
      <c r="B34" s="3" t="s">
        <v>33</v>
      </c>
      <c r="C34" s="45">
        <v>31</v>
      </c>
      <c r="D34" s="5">
        <v>31</v>
      </c>
      <c r="E34" s="5">
        <v>31</v>
      </c>
      <c r="F34" s="17">
        <f>IFERROR(E34/D34,0)</f>
        <v>1</v>
      </c>
      <c r="G34" s="17">
        <f>IFERROR(C34/D34,0)</f>
        <v>1</v>
      </c>
      <c r="H34" s="135"/>
    </row>
    <row r="35" spans="1:9" x14ac:dyDescent="0.4">
      <c r="A35" s="5">
        <v>34</v>
      </c>
      <c r="B35" s="3" t="s">
        <v>34</v>
      </c>
      <c r="C35" s="45">
        <v>31</v>
      </c>
      <c r="D35" s="68">
        <v>30</v>
      </c>
      <c r="E35" s="5">
        <v>30</v>
      </c>
      <c r="F35" s="17">
        <f>IFERROR(E35/D35,0)</f>
        <v>1</v>
      </c>
      <c r="G35" s="18">
        <f>IFERROR(C35/D35,0)</f>
        <v>1.0333333333333334</v>
      </c>
      <c r="H35" s="135" t="s">
        <v>253</v>
      </c>
      <c r="I35" s="5" t="s">
        <v>1330</v>
      </c>
    </row>
    <row r="36" spans="1:9" x14ac:dyDescent="0.4">
      <c r="A36" s="5">
        <v>35</v>
      </c>
      <c r="B36" s="3" t="s">
        <v>35</v>
      </c>
      <c r="C36" s="45">
        <v>26</v>
      </c>
      <c r="D36" s="5">
        <v>27</v>
      </c>
      <c r="E36" s="5">
        <v>26</v>
      </c>
      <c r="F36" s="17">
        <f>IFERROR(E36/D36,0)</f>
        <v>0.96296296296296291</v>
      </c>
      <c r="G36" s="17">
        <f>IFERROR(C36/D36,0)</f>
        <v>0.96296296296296291</v>
      </c>
      <c r="H36" s="135"/>
    </row>
    <row r="37" spans="1:9" x14ac:dyDescent="0.4">
      <c r="A37" s="5">
        <v>36</v>
      </c>
      <c r="B37" s="3" t="s">
        <v>36</v>
      </c>
      <c r="C37" s="45">
        <v>34</v>
      </c>
      <c r="D37" s="5">
        <v>35</v>
      </c>
      <c r="E37" s="5">
        <v>33</v>
      </c>
      <c r="F37" s="17">
        <f>IFERROR(E37/D37,0)</f>
        <v>0.94285714285714284</v>
      </c>
      <c r="G37" s="18">
        <f>IFERROR(C37/D37,0)</f>
        <v>0.97142857142857142</v>
      </c>
      <c r="H37" s="13" t="s">
        <v>253</v>
      </c>
    </row>
    <row r="38" spans="1:9" x14ac:dyDescent="0.4">
      <c r="A38" s="5">
        <v>37</v>
      </c>
      <c r="B38" s="3" t="s">
        <v>37</v>
      </c>
      <c r="C38" s="45">
        <v>32</v>
      </c>
      <c r="D38" s="5">
        <v>36</v>
      </c>
      <c r="E38" s="5">
        <v>32</v>
      </c>
      <c r="F38" s="17">
        <f>IFERROR(E38/D38,0)</f>
        <v>0.88888888888888884</v>
      </c>
      <c r="G38" s="17">
        <f>IFERROR(C38/D38,0)</f>
        <v>0.88888888888888884</v>
      </c>
      <c r="H38" s="136"/>
    </row>
    <row r="39" spans="1:9" x14ac:dyDescent="0.4">
      <c r="A39" s="5">
        <v>38</v>
      </c>
      <c r="B39" s="3" t="s">
        <v>38</v>
      </c>
      <c r="C39" s="45">
        <v>30</v>
      </c>
      <c r="D39" s="5">
        <v>30</v>
      </c>
      <c r="E39" s="5">
        <v>30</v>
      </c>
      <c r="F39" s="17">
        <f>IFERROR(E39/D39,0)</f>
        <v>1</v>
      </c>
      <c r="G39" s="17">
        <f>IFERROR(C39/D39,0)</f>
        <v>1</v>
      </c>
      <c r="H39" s="135"/>
    </row>
    <row r="40" spans="1:9" x14ac:dyDescent="0.4">
      <c r="A40" s="5">
        <v>39</v>
      </c>
      <c r="B40" s="3" t="s">
        <v>39</v>
      </c>
      <c r="C40" s="45">
        <v>25</v>
      </c>
      <c r="D40" s="5">
        <v>27</v>
      </c>
      <c r="E40" s="5">
        <v>25</v>
      </c>
      <c r="F40" s="17">
        <f>IFERROR(E40/D40,0)</f>
        <v>0.92592592592592593</v>
      </c>
      <c r="G40" s="17">
        <f>IFERROR(C40/D40,0)</f>
        <v>0.92592592592592593</v>
      </c>
      <c r="H40" s="136"/>
    </row>
    <row r="41" spans="1:9" x14ac:dyDescent="0.4">
      <c r="A41" s="5">
        <v>40</v>
      </c>
      <c r="B41" s="3" t="s">
        <v>40</v>
      </c>
      <c r="C41" s="45">
        <v>32</v>
      </c>
      <c r="D41" s="5">
        <v>32</v>
      </c>
      <c r="E41" s="5">
        <v>32</v>
      </c>
      <c r="F41" s="17">
        <f>IFERROR(E41/D41,0)</f>
        <v>1</v>
      </c>
      <c r="G41" s="17">
        <f>IFERROR(C41/D41,0)</f>
        <v>1</v>
      </c>
      <c r="H41" s="135"/>
    </row>
    <row r="42" spans="1:9" x14ac:dyDescent="0.4">
      <c r="A42" s="5">
        <v>41</v>
      </c>
      <c r="B42" s="3" t="s">
        <v>41</v>
      </c>
      <c r="C42" s="45">
        <v>28</v>
      </c>
      <c r="D42" s="5">
        <v>31</v>
      </c>
      <c r="E42" s="5">
        <v>28</v>
      </c>
      <c r="F42" s="17">
        <f>IFERROR(E42/D42,0)</f>
        <v>0.90322580645161288</v>
      </c>
      <c r="G42" s="17">
        <f>IFERROR(C42/D42,0)</f>
        <v>0.90322580645161288</v>
      </c>
      <c r="H42" s="135"/>
    </row>
    <row r="43" spans="1:9" x14ac:dyDescent="0.4">
      <c r="A43" s="5">
        <v>42</v>
      </c>
      <c r="B43" s="3" t="s">
        <v>42</v>
      </c>
      <c r="C43" s="45">
        <v>29</v>
      </c>
      <c r="D43" s="5">
        <v>29</v>
      </c>
      <c r="E43" s="5">
        <v>29</v>
      </c>
      <c r="F43" s="17">
        <f>IFERROR(E43/D43,0)</f>
        <v>1</v>
      </c>
      <c r="G43" s="17">
        <f>IFERROR(C43/D43,0)</f>
        <v>1</v>
      </c>
      <c r="H43" s="135"/>
    </row>
    <row r="44" spans="1:9" x14ac:dyDescent="0.4">
      <c r="A44" s="5">
        <v>43</v>
      </c>
      <c r="B44" s="3" t="s">
        <v>43</v>
      </c>
      <c r="C44" s="45">
        <v>25</v>
      </c>
      <c r="D44" s="5">
        <v>27</v>
      </c>
      <c r="E44" s="5">
        <v>23</v>
      </c>
      <c r="F44" s="17">
        <f>IFERROR(E44/D44,0)</f>
        <v>0.85185185185185186</v>
      </c>
      <c r="G44" s="18">
        <f>IFERROR(C44/D44,0)</f>
        <v>0.92592592592592593</v>
      </c>
      <c r="H44" s="13" t="s">
        <v>253</v>
      </c>
      <c r="I44" s="5" t="s">
        <v>997</v>
      </c>
    </row>
    <row r="45" spans="1:9" x14ac:dyDescent="0.4">
      <c r="A45" s="5">
        <v>44</v>
      </c>
      <c r="B45" s="3" t="s">
        <v>44</v>
      </c>
      <c r="C45" s="45">
        <v>13</v>
      </c>
      <c r="D45" s="5">
        <v>12</v>
      </c>
      <c r="E45" s="5">
        <v>12</v>
      </c>
      <c r="F45" s="17">
        <f>IFERROR(E45/D45,0)</f>
        <v>1</v>
      </c>
      <c r="G45" s="18">
        <f>IFERROR(C45/D45,0)</f>
        <v>1.0833333333333333</v>
      </c>
      <c r="H45" s="13" t="s">
        <v>253</v>
      </c>
    </row>
    <row r="46" spans="1:9" x14ac:dyDescent="0.4">
      <c r="A46" s="5">
        <v>45</v>
      </c>
      <c r="B46" s="3" t="s">
        <v>45</v>
      </c>
      <c r="C46" s="45">
        <v>36</v>
      </c>
      <c r="D46" s="5">
        <v>36</v>
      </c>
      <c r="E46" s="5">
        <v>36</v>
      </c>
      <c r="F46" s="17">
        <f>IFERROR(E46/D46,0)</f>
        <v>1</v>
      </c>
      <c r="G46" s="17">
        <f>IFERROR(C46/D46,0)</f>
        <v>1</v>
      </c>
      <c r="H46" s="135"/>
    </row>
    <row r="47" spans="1:9" x14ac:dyDescent="0.4">
      <c r="A47" s="5">
        <v>46</v>
      </c>
      <c r="B47" s="3" t="s">
        <v>46</v>
      </c>
      <c r="C47" s="45">
        <v>28</v>
      </c>
      <c r="D47" s="5">
        <v>28</v>
      </c>
      <c r="E47" s="5">
        <v>27</v>
      </c>
      <c r="F47" s="17">
        <f>IFERROR(E47/D47,0)</f>
        <v>0.9642857142857143</v>
      </c>
      <c r="G47" s="18">
        <f>IFERROR(C47/D47,0)</f>
        <v>1</v>
      </c>
      <c r="H47" s="13" t="s">
        <v>253</v>
      </c>
    </row>
    <row r="48" spans="1:9" x14ac:dyDescent="0.4">
      <c r="A48" s="5">
        <v>47</v>
      </c>
      <c r="B48" s="3" t="s">
        <v>47</v>
      </c>
      <c r="C48" s="45">
        <v>31</v>
      </c>
      <c r="D48" s="5">
        <v>31</v>
      </c>
      <c r="E48" s="5">
        <v>31</v>
      </c>
      <c r="F48" s="17">
        <f>IFERROR(E48/D48,0)</f>
        <v>1</v>
      </c>
      <c r="G48" s="17">
        <f>IFERROR(C48/D48,0)</f>
        <v>1</v>
      </c>
      <c r="H48" s="135"/>
    </row>
    <row r="49" spans="1:8" x14ac:dyDescent="0.4">
      <c r="A49" s="5">
        <v>48</v>
      </c>
      <c r="B49" s="3" t="s">
        <v>48</v>
      </c>
      <c r="C49" s="45">
        <v>37</v>
      </c>
      <c r="D49" s="5">
        <v>37</v>
      </c>
      <c r="E49" s="5">
        <v>37</v>
      </c>
      <c r="F49" s="17">
        <f>IFERROR(E49/D49,0)</f>
        <v>1</v>
      </c>
      <c r="G49" s="17">
        <f>IFERROR(C49/D49,0)</f>
        <v>1</v>
      </c>
      <c r="H49" s="135"/>
    </row>
    <row r="50" spans="1:8" x14ac:dyDescent="0.4">
      <c r="A50" s="5">
        <v>49</v>
      </c>
      <c r="B50" s="3" t="s">
        <v>49</v>
      </c>
      <c r="C50" s="45">
        <v>39</v>
      </c>
      <c r="D50" s="5">
        <v>39</v>
      </c>
      <c r="E50" s="5">
        <v>39</v>
      </c>
      <c r="F50" s="17">
        <f>IFERROR(E50/D50,0)</f>
        <v>1</v>
      </c>
      <c r="G50" s="17">
        <f>IFERROR(C50/D50,0)</f>
        <v>1</v>
      </c>
      <c r="H50" s="135"/>
    </row>
    <row r="51" spans="1:8" x14ac:dyDescent="0.4">
      <c r="A51" s="5">
        <v>50</v>
      </c>
      <c r="B51" s="3" t="s">
        <v>50</v>
      </c>
      <c r="C51" s="45">
        <v>31</v>
      </c>
      <c r="D51" s="5">
        <v>26</v>
      </c>
      <c r="E51" s="5">
        <v>22</v>
      </c>
      <c r="F51" s="17">
        <f>IFERROR(E51/D51,0)</f>
        <v>0.84615384615384615</v>
      </c>
      <c r="G51" s="18">
        <f>IFERROR(C51/D51,0)</f>
        <v>1.1923076923076923</v>
      </c>
      <c r="H51" s="13" t="s">
        <v>253</v>
      </c>
    </row>
    <row r="52" spans="1:8" x14ac:dyDescent="0.4">
      <c r="A52" s="5">
        <v>51</v>
      </c>
      <c r="B52" s="3" t="s">
        <v>51</v>
      </c>
      <c r="C52" s="45">
        <v>43</v>
      </c>
      <c r="D52" s="5">
        <v>43</v>
      </c>
      <c r="E52" s="5">
        <v>43</v>
      </c>
      <c r="F52" s="17">
        <f>IFERROR(E52/D52,0)</f>
        <v>1</v>
      </c>
      <c r="G52" s="17">
        <f>IFERROR(C52/D52,0)</f>
        <v>1</v>
      </c>
      <c r="H52" s="135"/>
    </row>
    <row r="53" spans="1:8" x14ac:dyDescent="0.4">
      <c r="A53" s="5">
        <v>52</v>
      </c>
      <c r="B53" s="3" t="s">
        <v>52</v>
      </c>
      <c r="C53" s="45">
        <v>35</v>
      </c>
      <c r="D53" s="5">
        <v>35</v>
      </c>
      <c r="E53" s="5">
        <v>35</v>
      </c>
      <c r="F53" s="17">
        <f>IFERROR(E53/D53,0)</f>
        <v>1</v>
      </c>
      <c r="G53" s="17">
        <f>IFERROR(C53/D53,0)</f>
        <v>1</v>
      </c>
      <c r="H53" s="135"/>
    </row>
    <row r="54" spans="1:8" x14ac:dyDescent="0.4">
      <c r="A54" s="5">
        <v>53</v>
      </c>
      <c r="B54" s="3" t="s">
        <v>53</v>
      </c>
      <c r="C54" s="45">
        <v>33</v>
      </c>
      <c r="D54" s="5">
        <v>33</v>
      </c>
      <c r="E54" s="5">
        <v>33</v>
      </c>
      <c r="F54" s="17">
        <f>IFERROR(E54/D54,0)</f>
        <v>1</v>
      </c>
      <c r="G54" s="17">
        <f>IFERROR(C54/D54,0)</f>
        <v>1</v>
      </c>
      <c r="H54" s="135"/>
    </row>
    <row r="55" spans="1:8" x14ac:dyDescent="0.4">
      <c r="A55" s="5">
        <v>54</v>
      </c>
      <c r="B55" s="3" t="s">
        <v>54</v>
      </c>
      <c r="C55" s="45">
        <v>27</v>
      </c>
      <c r="D55" s="5">
        <v>27</v>
      </c>
      <c r="E55" s="5">
        <v>27</v>
      </c>
      <c r="F55" s="17">
        <f>IFERROR(E55/D55,0)</f>
        <v>1</v>
      </c>
      <c r="G55" s="17">
        <f>IFERROR(C55/D55,0)</f>
        <v>1</v>
      </c>
      <c r="H55" s="135"/>
    </row>
    <row r="56" spans="1:8" x14ac:dyDescent="0.4">
      <c r="A56" s="5">
        <v>55</v>
      </c>
      <c r="B56" s="3" t="s">
        <v>55</v>
      </c>
      <c r="C56" s="45">
        <v>20</v>
      </c>
      <c r="D56" s="5">
        <v>19</v>
      </c>
      <c r="E56" s="5">
        <v>19</v>
      </c>
      <c r="F56" s="17">
        <f>IFERROR(E56/D56,0)</f>
        <v>1</v>
      </c>
      <c r="G56" s="18">
        <f>IFERROR(C56/D56,0)</f>
        <v>1.0526315789473684</v>
      </c>
      <c r="H56" s="13" t="s">
        <v>253</v>
      </c>
    </row>
    <row r="57" spans="1:8" x14ac:dyDescent="0.4">
      <c r="A57" s="5">
        <v>56</v>
      </c>
      <c r="B57" s="3" t="s">
        <v>56</v>
      </c>
      <c r="C57" s="45">
        <v>32</v>
      </c>
      <c r="D57" s="5">
        <v>33</v>
      </c>
      <c r="E57" s="5">
        <v>31</v>
      </c>
      <c r="F57" s="17">
        <f>IFERROR(E57/D57,0)</f>
        <v>0.93939393939393945</v>
      </c>
      <c r="G57" s="18">
        <f>IFERROR(C57/D57,0)</f>
        <v>0.96969696969696972</v>
      </c>
      <c r="H57" s="13" t="s">
        <v>1370</v>
      </c>
    </row>
    <row r="58" spans="1:8" x14ac:dyDescent="0.4">
      <c r="A58" s="5">
        <v>57</v>
      </c>
      <c r="B58" s="3" t="s">
        <v>57</v>
      </c>
      <c r="C58" s="45">
        <v>25</v>
      </c>
      <c r="D58" s="5">
        <v>28</v>
      </c>
      <c r="E58" s="5">
        <v>25</v>
      </c>
      <c r="F58" s="17">
        <f>IFERROR(E58/D58,0)</f>
        <v>0.8928571428571429</v>
      </c>
      <c r="G58" s="17">
        <f>IFERROR(C58/D58,0)</f>
        <v>0.8928571428571429</v>
      </c>
      <c r="H58" s="135"/>
    </row>
    <row r="59" spans="1:8" x14ac:dyDescent="0.4">
      <c r="A59" s="5">
        <v>58</v>
      </c>
      <c r="B59" s="3" t="s">
        <v>58</v>
      </c>
      <c r="C59" s="45">
        <v>30</v>
      </c>
      <c r="D59" s="5">
        <v>30</v>
      </c>
      <c r="E59" s="5">
        <v>30</v>
      </c>
      <c r="F59" s="17">
        <f>IFERROR(E59/D59,0)</f>
        <v>1</v>
      </c>
      <c r="G59" s="17">
        <f>IFERROR(C59/D59,0)</f>
        <v>1</v>
      </c>
      <c r="H59" s="135"/>
    </row>
    <row r="60" spans="1:8" x14ac:dyDescent="0.4">
      <c r="A60" s="5">
        <v>59</v>
      </c>
      <c r="B60" s="3" t="s">
        <v>59</v>
      </c>
      <c r="C60" s="45">
        <v>30</v>
      </c>
      <c r="D60" s="5">
        <v>31</v>
      </c>
      <c r="E60" s="5">
        <v>30</v>
      </c>
      <c r="F60" s="17">
        <f>IFERROR(E60/D60,0)</f>
        <v>0.967741935483871</v>
      </c>
      <c r="G60" s="17">
        <f>IFERROR(C60/D60,0)</f>
        <v>0.967741935483871</v>
      </c>
      <c r="H60" s="135"/>
    </row>
    <row r="61" spans="1:8" x14ac:dyDescent="0.4">
      <c r="A61" s="5">
        <v>60</v>
      </c>
      <c r="B61" s="3" t="s">
        <v>60</v>
      </c>
      <c r="C61" s="45">
        <v>30</v>
      </c>
      <c r="D61" s="5">
        <v>31</v>
      </c>
      <c r="E61" s="5">
        <v>30</v>
      </c>
      <c r="F61" s="17">
        <f>IFERROR(E61/D61,0)</f>
        <v>0.967741935483871</v>
      </c>
      <c r="G61" s="17">
        <f>IFERROR(C61/D61,0)</f>
        <v>0.967741935483871</v>
      </c>
      <c r="H61" s="135"/>
    </row>
    <row r="62" spans="1:8" x14ac:dyDescent="0.4">
      <c r="A62" s="5">
        <v>61</v>
      </c>
      <c r="B62" s="3" t="s">
        <v>61</v>
      </c>
      <c r="C62" s="45">
        <v>25</v>
      </c>
      <c r="D62" s="5">
        <v>31</v>
      </c>
      <c r="E62" s="5">
        <v>25</v>
      </c>
      <c r="F62" s="17">
        <f>IFERROR(E62/D62,0)</f>
        <v>0.80645161290322576</v>
      </c>
      <c r="G62" s="17">
        <f>IFERROR(C62/D62,0)</f>
        <v>0.80645161290322576</v>
      </c>
      <c r="H62" s="135"/>
    </row>
    <row r="63" spans="1:8" x14ac:dyDescent="0.4">
      <c r="A63" s="5">
        <v>62</v>
      </c>
      <c r="B63" s="3" t="s">
        <v>62</v>
      </c>
      <c r="C63" s="45">
        <v>33</v>
      </c>
      <c r="D63" s="5">
        <v>33</v>
      </c>
      <c r="E63" s="5">
        <v>33</v>
      </c>
      <c r="F63" s="17">
        <f>IFERROR(E63/D63,0)</f>
        <v>1</v>
      </c>
      <c r="G63" s="17">
        <f>IFERROR(C63/D63,0)</f>
        <v>1</v>
      </c>
      <c r="H63" s="135"/>
    </row>
    <row r="64" spans="1:8" x14ac:dyDescent="0.4">
      <c r="A64" s="5">
        <v>63</v>
      </c>
      <c r="B64" s="3" t="s">
        <v>63</v>
      </c>
      <c r="C64" s="45">
        <v>29</v>
      </c>
      <c r="D64" s="5">
        <v>32</v>
      </c>
      <c r="E64" s="5">
        <v>27</v>
      </c>
      <c r="F64" s="17">
        <f>IFERROR(E64/D64,0)</f>
        <v>0.84375</v>
      </c>
      <c r="G64" s="18">
        <f>IFERROR(C64/D64,0)</f>
        <v>0.90625</v>
      </c>
      <c r="H64" s="13" t="s">
        <v>1370</v>
      </c>
    </row>
    <row r="65" spans="1:9" x14ac:dyDescent="0.4">
      <c r="A65" s="5">
        <v>64</v>
      </c>
      <c r="B65" s="3" t="s">
        <v>64</v>
      </c>
      <c r="C65" s="45">
        <v>21</v>
      </c>
      <c r="D65" s="5">
        <v>55</v>
      </c>
      <c r="E65" s="5">
        <v>21</v>
      </c>
      <c r="F65" s="17">
        <f>IFERROR(E65/D65,0)</f>
        <v>0.38181818181818183</v>
      </c>
      <c r="G65" s="17">
        <f>IFERROR(C65/D65,0)</f>
        <v>0.38181818181818183</v>
      </c>
      <c r="H65" s="135"/>
    </row>
    <row r="66" spans="1:9" x14ac:dyDescent="0.4">
      <c r="A66" s="5">
        <v>65</v>
      </c>
      <c r="B66" s="3" t="s">
        <v>65</v>
      </c>
      <c r="C66" s="45">
        <v>31</v>
      </c>
      <c r="D66" s="5">
        <v>60</v>
      </c>
      <c r="E66" s="5">
        <v>31</v>
      </c>
      <c r="F66" s="17">
        <f>IFERROR(E66/D66,0)</f>
        <v>0.51666666666666672</v>
      </c>
      <c r="G66" s="17">
        <f>IFERROR(C66/D66,0)</f>
        <v>0.51666666666666672</v>
      </c>
      <c r="H66" s="135"/>
    </row>
    <row r="67" spans="1:9" x14ac:dyDescent="0.4">
      <c r="A67" s="5">
        <v>66</v>
      </c>
      <c r="B67" s="3" t="s">
        <v>66</v>
      </c>
      <c r="C67" s="45">
        <v>31</v>
      </c>
      <c r="D67" s="5">
        <v>44</v>
      </c>
      <c r="E67" s="5">
        <v>32</v>
      </c>
      <c r="F67" s="17">
        <f>IFERROR(E67/D67,0)</f>
        <v>0.72727272727272729</v>
      </c>
      <c r="G67" s="19">
        <f>IFERROR(C67/D67,0)</f>
        <v>0.70454545454545459</v>
      </c>
      <c r="H67" s="13" t="s">
        <v>1370</v>
      </c>
      <c r="I67" t="s">
        <v>1073</v>
      </c>
    </row>
    <row r="68" spans="1:9" x14ac:dyDescent="0.4">
      <c r="A68" s="5">
        <v>67</v>
      </c>
      <c r="B68" s="3" t="s">
        <v>67</v>
      </c>
      <c r="C68" s="45">
        <v>29</v>
      </c>
      <c r="D68" s="5">
        <v>29</v>
      </c>
      <c r="E68" s="5">
        <v>28</v>
      </c>
      <c r="F68" s="17">
        <f>IFERROR(E68/D68,0)</f>
        <v>0.96551724137931039</v>
      </c>
      <c r="G68" s="18">
        <f>IFERROR(C68/D68,0)</f>
        <v>1</v>
      </c>
      <c r="H68" s="13" t="s">
        <v>1370</v>
      </c>
    </row>
    <row r="69" spans="1:9" x14ac:dyDescent="0.4">
      <c r="A69" s="5">
        <v>68</v>
      </c>
      <c r="B69" s="3" t="s">
        <v>68</v>
      </c>
      <c r="C69" s="45">
        <v>35</v>
      </c>
      <c r="D69" s="5">
        <v>36</v>
      </c>
      <c r="E69" s="5">
        <v>34</v>
      </c>
      <c r="F69" s="17">
        <f>IFERROR(E69/D69,0)</f>
        <v>0.94444444444444442</v>
      </c>
      <c r="G69" s="18">
        <f>IFERROR(C69/D69,0)</f>
        <v>0.97222222222222221</v>
      </c>
      <c r="H69" s="13" t="s">
        <v>1370</v>
      </c>
    </row>
    <row r="70" spans="1:9" x14ac:dyDescent="0.4">
      <c r="A70" s="5">
        <v>69</v>
      </c>
      <c r="B70" s="3" t="s">
        <v>69</v>
      </c>
      <c r="C70" s="45">
        <v>27</v>
      </c>
      <c r="D70" s="5">
        <v>31</v>
      </c>
      <c r="E70" s="5">
        <v>26</v>
      </c>
      <c r="F70" s="17">
        <f>IFERROR(E70/D70,0)</f>
        <v>0.83870967741935487</v>
      </c>
      <c r="G70" s="18">
        <f>IFERROR(C70/D70,0)</f>
        <v>0.87096774193548387</v>
      </c>
      <c r="H70" s="13" t="s">
        <v>1370</v>
      </c>
    </row>
    <row r="71" spans="1:9" x14ac:dyDescent="0.4">
      <c r="A71" s="5">
        <v>70</v>
      </c>
      <c r="B71" s="3" t="s">
        <v>70</v>
      </c>
      <c r="C71" s="45">
        <v>27</v>
      </c>
      <c r="D71" s="5">
        <v>27</v>
      </c>
      <c r="E71" s="5">
        <v>27</v>
      </c>
      <c r="F71" s="17">
        <f>IFERROR(E71/D71,0)</f>
        <v>1</v>
      </c>
      <c r="G71" s="17">
        <f>IFERROR(C71/D71,0)</f>
        <v>1</v>
      </c>
      <c r="H71" s="135"/>
    </row>
    <row r="72" spans="1:9" x14ac:dyDescent="0.4">
      <c r="A72" s="5">
        <v>71</v>
      </c>
      <c r="B72" s="3" t="s">
        <v>71</v>
      </c>
      <c r="C72" s="45">
        <v>28</v>
      </c>
      <c r="D72" s="5">
        <v>43</v>
      </c>
      <c r="E72" s="5">
        <v>28</v>
      </c>
      <c r="F72" s="17">
        <f>IFERROR(E72/D72,0)</f>
        <v>0.65116279069767447</v>
      </c>
      <c r="G72" s="17">
        <f>IFERROR(C72/D72,0)</f>
        <v>0.65116279069767447</v>
      </c>
      <c r="H72" s="135"/>
    </row>
    <row r="73" spans="1:9" x14ac:dyDescent="0.4">
      <c r="A73" s="5">
        <v>72</v>
      </c>
      <c r="B73" s="3" t="s">
        <v>75</v>
      </c>
      <c r="C73" s="45">
        <v>33</v>
      </c>
      <c r="D73" s="68">
        <f>VLOOKUP(B73,'[2]1-1)갱신주기 미준수기관'!B$6:BK$248,62,FALSE)</f>
        <v>33</v>
      </c>
      <c r="E73" s="5">
        <v>33</v>
      </c>
      <c r="F73" s="17">
        <f>IFERROR(E73/D73,0)</f>
        <v>1</v>
      </c>
      <c r="G73" s="17">
        <f>IFERROR(C73/D73,0)</f>
        <v>1</v>
      </c>
      <c r="H73" s="135"/>
      <c r="I73" s="5" t="s">
        <v>1330</v>
      </c>
    </row>
    <row r="74" spans="1:9" x14ac:dyDescent="0.4">
      <c r="A74" s="5">
        <v>73</v>
      </c>
      <c r="B74" s="3" t="s">
        <v>72</v>
      </c>
      <c r="C74" s="45">
        <v>27</v>
      </c>
      <c r="D74" s="5">
        <v>33</v>
      </c>
      <c r="E74" s="5">
        <v>27</v>
      </c>
      <c r="F74" s="17">
        <f>IFERROR(E74/D74,0)</f>
        <v>0.81818181818181823</v>
      </c>
      <c r="G74" s="17">
        <f>IFERROR(C74/D74,0)</f>
        <v>0.81818181818181823</v>
      </c>
      <c r="H74" s="135"/>
    </row>
    <row r="75" spans="1:9" x14ac:dyDescent="0.4">
      <c r="A75" s="5">
        <v>74</v>
      </c>
      <c r="B75" s="3" t="s">
        <v>73</v>
      </c>
      <c r="C75" s="45">
        <v>22</v>
      </c>
      <c r="D75" s="5">
        <v>28</v>
      </c>
      <c r="E75" s="5">
        <v>22</v>
      </c>
      <c r="F75" s="17">
        <f>IFERROR(E75/D75,0)</f>
        <v>0.7857142857142857</v>
      </c>
      <c r="G75" s="17">
        <f>IFERROR(C75/D75,0)</f>
        <v>0.7857142857142857</v>
      </c>
      <c r="H75" s="135"/>
    </row>
    <row r="76" spans="1:9" x14ac:dyDescent="0.4">
      <c r="A76" s="5">
        <v>75</v>
      </c>
      <c r="B76" s="3" t="s">
        <v>74</v>
      </c>
      <c r="C76" s="45">
        <v>29</v>
      </c>
      <c r="D76" s="5">
        <v>34</v>
      </c>
      <c r="E76" s="5">
        <v>29</v>
      </c>
      <c r="F76" s="17">
        <f>IFERROR(E76/D76,0)</f>
        <v>0.8529411764705882</v>
      </c>
      <c r="G76" s="17">
        <f>IFERROR(C76/D76,0)</f>
        <v>0.8529411764705882</v>
      </c>
      <c r="H76" s="135"/>
    </row>
    <row r="77" spans="1:9" x14ac:dyDescent="0.4">
      <c r="A77" s="5">
        <v>76</v>
      </c>
      <c r="B77" s="3" t="s">
        <v>76</v>
      </c>
      <c r="C77" s="45">
        <v>33</v>
      </c>
      <c r="D77" s="5">
        <v>32</v>
      </c>
      <c r="E77" s="5">
        <v>32</v>
      </c>
      <c r="F77" s="17">
        <f>IFERROR(E77/D77,0)</f>
        <v>1</v>
      </c>
      <c r="G77" s="18">
        <f>IFERROR(C77/D77,0)</f>
        <v>1.03125</v>
      </c>
      <c r="H77" s="13" t="s">
        <v>1370</v>
      </c>
    </row>
    <row r="78" spans="1:9" x14ac:dyDescent="0.4">
      <c r="A78" s="5">
        <v>77</v>
      </c>
      <c r="B78" s="3" t="s">
        <v>77</v>
      </c>
      <c r="C78" s="45">
        <v>26</v>
      </c>
      <c r="D78" s="5">
        <v>30</v>
      </c>
      <c r="E78" s="5">
        <v>28</v>
      </c>
      <c r="F78" s="17">
        <f>IFERROR(E78/D78,0)</f>
        <v>0.93333333333333335</v>
      </c>
      <c r="G78" s="19">
        <f>IFERROR(C78/D78,0)</f>
        <v>0.8666666666666667</v>
      </c>
      <c r="H78" s="13" t="s">
        <v>1370</v>
      </c>
      <c r="I78" t="s">
        <v>1072</v>
      </c>
    </row>
    <row r="79" spans="1:9" x14ac:dyDescent="0.4">
      <c r="A79" s="5">
        <v>78</v>
      </c>
      <c r="B79" s="3" t="s">
        <v>78</v>
      </c>
      <c r="C79" s="45">
        <v>30</v>
      </c>
      <c r="D79" s="68">
        <f>VLOOKUP(B79,'[2]1-1)갱신주기 미준수기관'!B$6:BK$248,62,FALSE)</f>
        <v>30</v>
      </c>
      <c r="E79" s="5">
        <v>30</v>
      </c>
      <c r="F79" s="17">
        <f>IFERROR(E79/D79,0)</f>
        <v>1</v>
      </c>
      <c r="G79" s="17">
        <f>IFERROR(C79/D79,0)</f>
        <v>1</v>
      </c>
      <c r="H79" s="135"/>
      <c r="I79" s="5" t="s">
        <v>1330</v>
      </c>
    </row>
    <row r="80" spans="1:9" x14ac:dyDescent="0.4">
      <c r="A80" s="5">
        <v>79</v>
      </c>
      <c r="B80" s="3" t="s">
        <v>81</v>
      </c>
      <c r="C80" s="45">
        <v>25</v>
      </c>
      <c r="D80" s="68">
        <f>VLOOKUP(B80,'[2]1-1)갱신주기 미준수기관'!B$6:BK$248,62,FALSE)</f>
        <v>25</v>
      </c>
      <c r="E80" s="5">
        <v>25</v>
      </c>
      <c r="F80" s="17">
        <f>IFERROR(E80/D80,0)</f>
        <v>1</v>
      </c>
      <c r="G80" s="17">
        <f>IFERROR(C80/D80,0)</f>
        <v>1</v>
      </c>
      <c r="H80" s="135"/>
      <c r="I80" s="5" t="s">
        <v>1330</v>
      </c>
    </row>
    <row r="81" spans="1:9" x14ac:dyDescent="0.4">
      <c r="A81" s="5">
        <v>80</v>
      </c>
      <c r="B81" s="3" t="s">
        <v>79</v>
      </c>
      <c r="C81" s="45">
        <v>23</v>
      </c>
      <c r="D81" s="5">
        <v>26</v>
      </c>
      <c r="E81" s="5">
        <v>25</v>
      </c>
      <c r="F81" s="17">
        <f>IFERROR(E81/D81,0)</f>
        <v>0.96153846153846156</v>
      </c>
      <c r="G81" s="19">
        <f>IFERROR(C81/D81,0)</f>
        <v>0.88461538461538458</v>
      </c>
      <c r="H81" s="13" t="s">
        <v>1371</v>
      </c>
      <c r="I81" t="s">
        <v>1071</v>
      </c>
    </row>
    <row r="82" spans="1:9" x14ac:dyDescent="0.4">
      <c r="A82" s="5">
        <v>81</v>
      </c>
      <c r="B82" s="3" t="s">
        <v>80</v>
      </c>
      <c r="C82" s="45">
        <v>30</v>
      </c>
      <c r="D82" s="5">
        <v>30</v>
      </c>
      <c r="E82" s="5">
        <v>30</v>
      </c>
      <c r="F82" s="17">
        <f>IFERROR(E82/D82,0)</f>
        <v>1</v>
      </c>
      <c r="G82" s="17">
        <f>IFERROR(C82/D82,0)</f>
        <v>1</v>
      </c>
      <c r="H82" s="135"/>
    </row>
    <row r="83" spans="1:9" x14ac:dyDescent="0.4">
      <c r="A83" s="5">
        <v>82</v>
      </c>
      <c r="B83" s="3" t="s">
        <v>82</v>
      </c>
      <c r="C83" s="45">
        <v>37</v>
      </c>
      <c r="D83" s="5">
        <v>36</v>
      </c>
      <c r="E83" s="5">
        <v>36</v>
      </c>
      <c r="F83" s="17">
        <f>IFERROR(E83/D83,0)</f>
        <v>1</v>
      </c>
      <c r="G83" s="18">
        <f>IFERROR(C83/D83,0)</f>
        <v>1.0277777777777777</v>
      </c>
      <c r="H83" s="13" t="s">
        <v>1370</v>
      </c>
    </row>
    <row r="84" spans="1:9" x14ac:dyDescent="0.4">
      <c r="A84" s="5">
        <v>83</v>
      </c>
      <c r="B84" s="3" t="s">
        <v>83</v>
      </c>
      <c r="C84" s="45">
        <v>2</v>
      </c>
      <c r="D84" s="68">
        <f>VLOOKUP(B84,'[2]1-1)갱신주기 미준수기관'!B$6:BK$248,62,FALSE)</f>
        <v>0</v>
      </c>
      <c r="E84" s="5">
        <v>0</v>
      </c>
      <c r="F84" s="17">
        <f>IFERROR(E84/D84,0)</f>
        <v>0</v>
      </c>
      <c r="G84" s="17">
        <f>IFERROR(C84/D84,0)</f>
        <v>0</v>
      </c>
      <c r="H84" s="135"/>
      <c r="I84" s="5" t="s">
        <v>1330</v>
      </c>
    </row>
    <row r="85" spans="1:9" x14ac:dyDescent="0.4">
      <c r="A85" s="5">
        <v>84</v>
      </c>
      <c r="B85" s="3" t="s">
        <v>84</v>
      </c>
      <c r="C85" s="45">
        <v>48</v>
      </c>
      <c r="D85" s="5">
        <v>50</v>
      </c>
      <c r="E85" s="5">
        <v>49</v>
      </c>
      <c r="F85" s="17">
        <f>IFERROR(E85/D85,0)</f>
        <v>0.98</v>
      </c>
      <c r="G85" s="19">
        <f>IFERROR(C85/D85,0)</f>
        <v>0.96</v>
      </c>
      <c r="H85" s="13" t="s">
        <v>1370</v>
      </c>
      <c r="I85" t="s">
        <v>1074</v>
      </c>
    </row>
    <row r="86" spans="1:9" x14ac:dyDescent="0.4">
      <c r="A86" s="5">
        <v>85</v>
      </c>
      <c r="B86" s="3" t="s">
        <v>111</v>
      </c>
      <c r="C86" s="45">
        <v>35</v>
      </c>
      <c r="D86" s="68">
        <f>VLOOKUP(B86,'[2]1-1)갱신주기 미준수기관'!B$6:BK$248,62,FALSE)</f>
        <v>36</v>
      </c>
      <c r="E86" s="5">
        <v>36</v>
      </c>
      <c r="F86" s="17">
        <f>IFERROR(E86/D86,0)</f>
        <v>1</v>
      </c>
      <c r="G86" s="19">
        <f>IFERROR(C86/D86,0)</f>
        <v>0.97222222222222221</v>
      </c>
      <c r="H86" s="135" t="s">
        <v>1370</v>
      </c>
      <c r="I86" s="5" t="s">
        <v>1330</v>
      </c>
    </row>
    <row r="87" spans="1:9" x14ac:dyDescent="0.4">
      <c r="A87" s="5">
        <v>86</v>
      </c>
      <c r="B87" s="3" t="s">
        <v>85</v>
      </c>
      <c r="C87" s="45">
        <v>43</v>
      </c>
      <c r="D87" s="5">
        <v>43</v>
      </c>
      <c r="E87" s="5">
        <v>43</v>
      </c>
      <c r="F87" s="17">
        <f>IFERROR(E87/D87,0)</f>
        <v>1</v>
      </c>
      <c r="G87" s="17">
        <f>IFERROR(C87/D87,0)</f>
        <v>1</v>
      </c>
      <c r="H87" s="135"/>
    </row>
    <row r="88" spans="1:9" x14ac:dyDescent="0.4">
      <c r="A88" s="5">
        <v>87</v>
      </c>
      <c r="B88" s="3" t="s">
        <v>86</v>
      </c>
      <c r="C88" s="45">
        <v>30</v>
      </c>
      <c r="D88" s="5">
        <v>48</v>
      </c>
      <c r="E88" s="5">
        <v>26</v>
      </c>
      <c r="F88" s="17">
        <f>IFERROR(E88/D88,0)</f>
        <v>0.54166666666666663</v>
      </c>
      <c r="G88" s="18">
        <f>IFERROR(C88/D88,0)</f>
        <v>0.625</v>
      </c>
      <c r="H88" s="13" t="s">
        <v>1370</v>
      </c>
    </row>
    <row r="89" spans="1:9" x14ac:dyDescent="0.4">
      <c r="A89" s="5">
        <v>88</v>
      </c>
      <c r="B89" s="3" t="s">
        <v>87</v>
      </c>
      <c r="C89" s="45">
        <v>39</v>
      </c>
      <c r="D89" s="5">
        <v>39</v>
      </c>
      <c r="E89" s="5">
        <v>39</v>
      </c>
      <c r="F89" s="17">
        <f>IFERROR(E89/D89,0)</f>
        <v>1</v>
      </c>
      <c r="G89" s="17">
        <f>IFERROR(C89/D89,0)</f>
        <v>1</v>
      </c>
      <c r="H89" s="135"/>
    </row>
    <row r="90" spans="1:9" x14ac:dyDescent="0.4">
      <c r="A90" s="5">
        <v>89</v>
      </c>
      <c r="B90" s="3" t="s">
        <v>88</v>
      </c>
      <c r="C90" s="45">
        <v>43</v>
      </c>
      <c r="D90" s="5">
        <v>44</v>
      </c>
      <c r="E90" s="5">
        <v>43</v>
      </c>
      <c r="F90" s="17">
        <f>IFERROR(E90/D90,0)</f>
        <v>0.97727272727272729</v>
      </c>
      <c r="G90" s="17">
        <f>IFERROR(C90/D90,0)</f>
        <v>0.97727272727272729</v>
      </c>
      <c r="H90" s="136"/>
    </row>
    <row r="91" spans="1:9" x14ac:dyDescent="0.4">
      <c r="A91" s="5">
        <v>90</v>
      </c>
      <c r="B91" s="3" t="s">
        <v>89</v>
      </c>
      <c r="C91" s="45">
        <v>39</v>
      </c>
      <c r="D91" s="5">
        <v>39</v>
      </c>
      <c r="E91" s="5">
        <v>39</v>
      </c>
      <c r="F91" s="17">
        <f>IFERROR(E91/D91,0)</f>
        <v>1</v>
      </c>
      <c r="G91" s="17">
        <f>IFERROR(C91/D91,0)</f>
        <v>1</v>
      </c>
      <c r="H91" s="135"/>
    </row>
    <row r="92" spans="1:9" x14ac:dyDescent="0.4">
      <c r="A92" s="5">
        <v>91</v>
      </c>
      <c r="B92" s="3" t="s">
        <v>112</v>
      </c>
      <c r="C92" s="45">
        <v>24</v>
      </c>
      <c r="D92" s="68">
        <f>VLOOKUP(B92,'[2]1-1)갱신주기 미준수기관'!B$6:BK$248,62,FALSE)</f>
        <v>24</v>
      </c>
      <c r="E92" s="5">
        <v>24</v>
      </c>
      <c r="F92" s="17">
        <f>IFERROR(E92/D92,0)</f>
        <v>1</v>
      </c>
      <c r="G92" s="17">
        <f>IFERROR(C92/D92,0)</f>
        <v>1</v>
      </c>
      <c r="H92" s="136"/>
      <c r="I92" s="5" t="s">
        <v>1330</v>
      </c>
    </row>
    <row r="93" spans="1:9" x14ac:dyDescent="0.4">
      <c r="A93" s="5">
        <v>92</v>
      </c>
      <c r="B93" s="3" t="s">
        <v>90</v>
      </c>
      <c r="C93" s="45">
        <v>36</v>
      </c>
      <c r="D93" s="5">
        <v>21</v>
      </c>
      <c r="E93" s="5">
        <v>21</v>
      </c>
      <c r="F93" s="17">
        <f>IFERROR(E93/D93,0)</f>
        <v>1</v>
      </c>
      <c r="G93" s="18">
        <f>IFERROR(C93/D93,0)</f>
        <v>1.7142857142857142</v>
      </c>
      <c r="H93" s="13" t="s">
        <v>1372</v>
      </c>
    </row>
    <row r="94" spans="1:9" x14ac:dyDescent="0.4">
      <c r="A94" s="5">
        <v>93</v>
      </c>
      <c r="B94" s="3" t="s">
        <v>91</v>
      </c>
      <c r="C94" s="45">
        <v>40</v>
      </c>
      <c r="D94" s="5">
        <v>60</v>
      </c>
      <c r="E94" s="5">
        <v>41</v>
      </c>
      <c r="F94" s="17">
        <f>IFERROR(E94/D94,0)</f>
        <v>0.68333333333333335</v>
      </c>
      <c r="G94" s="19">
        <f>IFERROR(C94/D94,0)</f>
        <v>0.66666666666666663</v>
      </c>
      <c r="H94" s="13" t="s">
        <v>1370</v>
      </c>
      <c r="I94" t="s">
        <v>1075</v>
      </c>
    </row>
    <row r="95" spans="1:9" x14ac:dyDescent="0.4">
      <c r="A95" s="5">
        <v>94</v>
      </c>
      <c r="B95" s="3" t="s">
        <v>92</v>
      </c>
      <c r="C95" s="45">
        <v>42</v>
      </c>
      <c r="D95" s="5">
        <v>43</v>
      </c>
      <c r="E95" s="5">
        <v>42</v>
      </c>
      <c r="F95" s="17">
        <f>IFERROR(E95/D95,0)</f>
        <v>0.97674418604651159</v>
      </c>
      <c r="G95" s="17">
        <f>IFERROR(C95/D95,0)</f>
        <v>0.97674418604651159</v>
      </c>
      <c r="H95" s="135"/>
    </row>
    <row r="96" spans="1:9" x14ac:dyDescent="0.4">
      <c r="A96" s="5">
        <v>95</v>
      </c>
      <c r="B96" s="3" t="s">
        <v>93</v>
      </c>
      <c r="C96" s="45">
        <v>31</v>
      </c>
      <c r="D96" s="5">
        <v>31</v>
      </c>
      <c r="E96" s="5">
        <v>31</v>
      </c>
      <c r="F96" s="17">
        <f>IFERROR(E96/D96,0)</f>
        <v>1</v>
      </c>
      <c r="G96" s="17">
        <f>IFERROR(C96/D96,0)</f>
        <v>1</v>
      </c>
      <c r="H96" s="135"/>
    </row>
    <row r="97" spans="1:9" x14ac:dyDescent="0.4">
      <c r="A97" s="5">
        <v>96</v>
      </c>
      <c r="B97" s="3" t="s">
        <v>94</v>
      </c>
      <c r="C97" s="45">
        <v>43</v>
      </c>
      <c r="D97" s="5">
        <v>43</v>
      </c>
      <c r="E97" s="5">
        <v>43</v>
      </c>
      <c r="F97" s="17">
        <f>IFERROR(E97/D97,0)</f>
        <v>1</v>
      </c>
      <c r="G97" s="17">
        <f>IFERROR(C97/D97,0)</f>
        <v>1</v>
      </c>
      <c r="H97" s="136"/>
    </row>
    <row r="98" spans="1:9" x14ac:dyDescent="0.4">
      <c r="A98" s="5">
        <v>97</v>
      </c>
      <c r="B98" s="3" t="s">
        <v>95</v>
      </c>
      <c r="C98" s="45">
        <v>38</v>
      </c>
      <c r="D98" s="5">
        <v>39</v>
      </c>
      <c r="E98" s="5">
        <v>39</v>
      </c>
      <c r="F98" s="17">
        <f>IFERROR(E98/D98,0)</f>
        <v>1</v>
      </c>
      <c r="G98" s="19">
        <f>IFERROR(C98/D98,0)</f>
        <v>0.97435897435897434</v>
      </c>
      <c r="H98" s="13" t="s">
        <v>1369</v>
      </c>
      <c r="I98" t="s">
        <v>1076</v>
      </c>
    </row>
    <row r="99" spans="1:9" x14ac:dyDescent="0.4">
      <c r="A99" s="5">
        <v>98</v>
      </c>
      <c r="B99" s="3" t="s">
        <v>96</v>
      </c>
      <c r="C99" s="45">
        <v>44</v>
      </c>
      <c r="D99" s="5">
        <v>42</v>
      </c>
      <c r="E99" s="5">
        <v>42</v>
      </c>
      <c r="F99" s="17">
        <f>IFERROR(E99/D99,0)</f>
        <v>1</v>
      </c>
      <c r="G99" s="18">
        <f>IFERROR(C99/D99,0)</f>
        <v>1.0476190476190477</v>
      </c>
      <c r="H99" s="13" t="s">
        <v>1369</v>
      </c>
    </row>
    <row r="100" spans="1:9" x14ac:dyDescent="0.4">
      <c r="A100" s="5">
        <v>99</v>
      </c>
      <c r="B100" s="3" t="s">
        <v>97</v>
      </c>
      <c r="C100" s="45">
        <v>40</v>
      </c>
      <c r="D100" s="5">
        <v>40</v>
      </c>
      <c r="E100" s="5">
        <v>40</v>
      </c>
      <c r="F100" s="17">
        <f>IFERROR(E100/D100,0)</f>
        <v>1</v>
      </c>
      <c r="G100" s="17">
        <f>IFERROR(C100/D100,0)</f>
        <v>1</v>
      </c>
      <c r="H100" s="135"/>
    </row>
    <row r="101" spans="1:9" x14ac:dyDescent="0.4">
      <c r="A101" s="5">
        <v>100</v>
      </c>
      <c r="B101" s="3" t="s">
        <v>98</v>
      </c>
      <c r="C101" s="45">
        <v>38</v>
      </c>
      <c r="D101" s="5">
        <v>39</v>
      </c>
      <c r="E101" s="5">
        <v>38</v>
      </c>
      <c r="F101" s="17">
        <f>IFERROR(E101/D101,0)</f>
        <v>0.97435897435897434</v>
      </c>
      <c r="G101" s="17">
        <f>IFERROR(C101/D101,0)</f>
        <v>0.97435897435897434</v>
      </c>
      <c r="H101" s="136"/>
    </row>
    <row r="102" spans="1:9" x14ac:dyDescent="0.4">
      <c r="A102" s="5">
        <v>101</v>
      </c>
      <c r="B102" s="3" t="s">
        <v>99</v>
      </c>
      <c r="C102" s="45">
        <v>36</v>
      </c>
      <c r="D102" s="5">
        <v>38</v>
      </c>
      <c r="E102" s="5">
        <v>36</v>
      </c>
      <c r="F102" s="17">
        <f>IFERROR(E102/D102,0)</f>
        <v>0.94736842105263153</v>
      </c>
      <c r="G102" s="17">
        <f>IFERROR(C102/D102,0)</f>
        <v>0.94736842105263153</v>
      </c>
      <c r="H102" s="136"/>
    </row>
    <row r="103" spans="1:9" x14ac:dyDescent="0.4">
      <c r="A103" s="5">
        <v>102</v>
      </c>
      <c r="B103" s="3" t="s">
        <v>100</v>
      </c>
      <c r="C103" s="45">
        <v>37</v>
      </c>
      <c r="D103" s="5">
        <v>40</v>
      </c>
      <c r="E103" s="5">
        <v>37</v>
      </c>
      <c r="F103" s="17">
        <f>IFERROR(E103/D103,0)</f>
        <v>0.92500000000000004</v>
      </c>
      <c r="G103" s="17">
        <f>IFERROR(C103/D103,0)</f>
        <v>0.92500000000000004</v>
      </c>
      <c r="H103" s="136"/>
    </row>
    <row r="104" spans="1:9" x14ac:dyDescent="0.4">
      <c r="A104" s="5">
        <v>103</v>
      </c>
      <c r="B104" s="3" t="s">
        <v>101</v>
      </c>
      <c r="C104" s="45">
        <v>42</v>
      </c>
      <c r="D104" s="5">
        <v>42</v>
      </c>
      <c r="E104" s="5">
        <v>41</v>
      </c>
      <c r="F104" s="17">
        <f>IFERROR(E104/D104,0)</f>
        <v>0.97619047619047616</v>
      </c>
      <c r="G104" s="18">
        <f>IFERROR(C104/D104,0)</f>
        <v>1</v>
      </c>
      <c r="H104" s="13" t="s">
        <v>1370</v>
      </c>
    </row>
    <row r="105" spans="1:9" x14ac:dyDescent="0.4">
      <c r="A105" s="5">
        <v>104</v>
      </c>
      <c r="B105" s="3" t="s">
        <v>110</v>
      </c>
      <c r="C105" s="45">
        <v>37</v>
      </c>
      <c r="D105" s="68">
        <f>VLOOKUP(B105,'[2]1-1)갱신주기 미준수기관'!B$6:BK$248,62,FALSE)</f>
        <v>37</v>
      </c>
      <c r="E105" s="5">
        <v>37</v>
      </c>
      <c r="F105" s="17">
        <f>IFERROR(E105/D105,0)</f>
        <v>1</v>
      </c>
      <c r="G105" s="17">
        <f>IFERROR(C105/D105,0)</f>
        <v>1</v>
      </c>
      <c r="H105" s="136"/>
      <c r="I105" s="5" t="s">
        <v>1330</v>
      </c>
    </row>
    <row r="106" spans="1:9" x14ac:dyDescent="0.4">
      <c r="A106" s="5">
        <v>105</v>
      </c>
      <c r="B106" s="3" t="s">
        <v>102</v>
      </c>
      <c r="C106" s="45">
        <v>35</v>
      </c>
      <c r="D106" s="5">
        <v>35</v>
      </c>
      <c r="E106" s="5">
        <v>35</v>
      </c>
      <c r="F106" s="17">
        <f>IFERROR(E106/D106,0)</f>
        <v>1</v>
      </c>
      <c r="G106" s="17">
        <f>IFERROR(C106/D106,0)</f>
        <v>1</v>
      </c>
      <c r="H106" s="135"/>
    </row>
    <row r="107" spans="1:9" x14ac:dyDescent="0.4">
      <c r="A107" s="5">
        <v>106</v>
      </c>
      <c r="B107" s="3" t="s">
        <v>103</v>
      </c>
      <c r="C107" s="45">
        <v>37</v>
      </c>
      <c r="D107" s="5">
        <v>38</v>
      </c>
      <c r="E107" s="5">
        <v>34</v>
      </c>
      <c r="F107" s="17">
        <f>IFERROR(E107/D107,0)</f>
        <v>0.89473684210526316</v>
      </c>
      <c r="G107" s="18">
        <f>IFERROR(C107/D107,0)</f>
        <v>0.97368421052631582</v>
      </c>
      <c r="H107" s="13" t="s">
        <v>1370</v>
      </c>
    </row>
    <row r="108" spans="1:9" x14ac:dyDescent="0.4">
      <c r="A108" s="5">
        <v>107</v>
      </c>
      <c r="B108" s="3" t="s">
        <v>104</v>
      </c>
      <c r="C108" s="45">
        <v>40</v>
      </c>
      <c r="D108" s="5">
        <v>40</v>
      </c>
      <c r="E108" s="5">
        <v>40</v>
      </c>
      <c r="F108" s="17">
        <f>IFERROR(E108/D108,0)</f>
        <v>1</v>
      </c>
      <c r="G108" s="17">
        <f>IFERROR(C108/D108,0)</f>
        <v>1</v>
      </c>
      <c r="H108" s="135"/>
    </row>
    <row r="109" spans="1:9" x14ac:dyDescent="0.4">
      <c r="A109" s="5">
        <v>108</v>
      </c>
      <c r="B109" s="3" t="s">
        <v>105</v>
      </c>
      <c r="C109" s="45">
        <v>38</v>
      </c>
      <c r="D109" s="5">
        <v>40</v>
      </c>
      <c r="E109" s="5">
        <v>38</v>
      </c>
      <c r="F109" s="17">
        <f>IFERROR(E109/D109,0)</f>
        <v>0.95</v>
      </c>
      <c r="G109" s="17">
        <f>IFERROR(C109/D109,0)</f>
        <v>0.95</v>
      </c>
      <c r="H109" s="135"/>
    </row>
    <row r="110" spans="1:9" x14ac:dyDescent="0.4">
      <c r="A110" s="5">
        <v>109</v>
      </c>
      <c r="B110" s="3" t="s">
        <v>113</v>
      </c>
      <c r="C110" s="45">
        <v>41</v>
      </c>
      <c r="D110" s="68">
        <f>VLOOKUP(B110,'[2]1-1)갱신주기 미준수기관'!B$6:BK$248,62,FALSE)</f>
        <v>39</v>
      </c>
      <c r="E110" s="5">
        <v>39</v>
      </c>
      <c r="F110" s="17">
        <f>IFERROR(E110/D110,0)</f>
        <v>1</v>
      </c>
      <c r="G110" s="18">
        <f>IFERROR(C110/D110,0)</f>
        <v>1.0512820512820513</v>
      </c>
      <c r="H110" s="135" t="s">
        <v>253</v>
      </c>
      <c r="I110" s="5" t="s">
        <v>1330</v>
      </c>
    </row>
    <row r="111" spans="1:9" x14ac:dyDescent="0.4">
      <c r="A111" s="5">
        <v>110</v>
      </c>
      <c r="B111" s="3" t="s">
        <v>106</v>
      </c>
      <c r="C111" s="45">
        <v>39</v>
      </c>
      <c r="D111" s="5">
        <v>44</v>
      </c>
      <c r="E111" s="5">
        <v>38</v>
      </c>
      <c r="F111" s="17">
        <f>IFERROR(E111/D111,0)</f>
        <v>0.86363636363636365</v>
      </c>
      <c r="G111" s="18">
        <f>IFERROR(C111/D111,0)</f>
        <v>0.88636363636363635</v>
      </c>
      <c r="H111" s="135" t="s">
        <v>253</v>
      </c>
    </row>
    <row r="112" spans="1:9" x14ac:dyDescent="0.4">
      <c r="A112" s="5">
        <v>111</v>
      </c>
      <c r="B112" s="3" t="s">
        <v>107</v>
      </c>
      <c r="C112" s="45">
        <v>37</v>
      </c>
      <c r="D112" s="5">
        <v>39</v>
      </c>
      <c r="E112" s="5">
        <v>37</v>
      </c>
      <c r="F112" s="17">
        <f>IFERROR(E112/D112,0)</f>
        <v>0.94871794871794868</v>
      </c>
      <c r="G112" s="17">
        <f>IFERROR(C112/D112,0)</f>
        <v>0.94871794871794868</v>
      </c>
      <c r="H112" s="136"/>
    </row>
    <row r="113" spans="1:9" x14ac:dyDescent="0.4">
      <c r="A113" s="5">
        <v>112</v>
      </c>
      <c r="B113" s="3" t="s">
        <v>108</v>
      </c>
      <c r="C113" s="45">
        <v>33</v>
      </c>
      <c r="D113" s="5">
        <v>34</v>
      </c>
      <c r="E113" s="5">
        <v>34</v>
      </c>
      <c r="F113" s="17">
        <f>IFERROR(E113/D113,0)</f>
        <v>1</v>
      </c>
      <c r="G113" s="19">
        <f>IFERROR(C113/D113,0)</f>
        <v>0.97058823529411764</v>
      </c>
      <c r="H113" s="13" t="s">
        <v>1370</v>
      </c>
      <c r="I113" t="s">
        <v>1077</v>
      </c>
    </row>
    <row r="114" spans="1:9" x14ac:dyDescent="0.4">
      <c r="A114" s="5">
        <v>113</v>
      </c>
      <c r="B114" s="3" t="s">
        <v>109</v>
      </c>
      <c r="C114" s="45">
        <v>33</v>
      </c>
      <c r="D114" s="5">
        <v>32</v>
      </c>
      <c r="E114" s="5">
        <v>32</v>
      </c>
      <c r="F114" s="17">
        <f>IFERROR(E114/D114,0)</f>
        <v>1</v>
      </c>
      <c r="G114" s="18">
        <f>IFERROR(C114/D114,0)</f>
        <v>1.03125</v>
      </c>
      <c r="H114" s="136" t="s">
        <v>1370</v>
      </c>
    </row>
    <row r="115" spans="1:9" x14ac:dyDescent="0.4">
      <c r="A115" s="5">
        <v>114</v>
      </c>
      <c r="B115" s="3" t="s">
        <v>114</v>
      </c>
      <c r="C115" s="45">
        <v>34</v>
      </c>
      <c r="D115" s="68">
        <f>VLOOKUP(B115,'[2]1-1)갱신주기 미준수기관'!B$6:BK$248,62,FALSE)</f>
        <v>34</v>
      </c>
      <c r="E115" s="5">
        <v>34</v>
      </c>
      <c r="F115" s="17">
        <f>IFERROR(E115/D115,0)</f>
        <v>1</v>
      </c>
      <c r="G115" s="17">
        <f>IFERROR(C115/D115,0)</f>
        <v>1</v>
      </c>
      <c r="H115" s="135"/>
      <c r="I115" s="5" t="s">
        <v>1330</v>
      </c>
    </row>
    <row r="116" spans="1:9" x14ac:dyDescent="0.4">
      <c r="A116" s="5">
        <v>115</v>
      </c>
      <c r="B116" s="3" t="s">
        <v>115</v>
      </c>
      <c r="C116" s="45">
        <v>1</v>
      </c>
      <c r="D116" s="68">
        <f>VLOOKUP(B116,'[2]1-1)갱신주기 미준수기관'!B$6:BK$248,62,FALSE)</f>
        <v>0</v>
      </c>
      <c r="E116" s="5">
        <v>0</v>
      </c>
      <c r="F116" s="17">
        <f>IFERROR(E116/D116,0)</f>
        <v>0</v>
      </c>
      <c r="G116" s="17">
        <f>IFERROR(C116/D116,0)</f>
        <v>0</v>
      </c>
      <c r="H116" s="136"/>
      <c r="I116" s="5" t="s">
        <v>1330</v>
      </c>
    </row>
    <row r="117" spans="1:9" x14ac:dyDescent="0.4">
      <c r="A117" s="5">
        <v>116</v>
      </c>
      <c r="B117" s="3" t="s">
        <v>126</v>
      </c>
      <c r="C117" s="45">
        <v>42</v>
      </c>
      <c r="D117" s="5">
        <v>45</v>
      </c>
      <c r="E117" s="5">
        <v>40</v>
      </c>
      <c r="F117" s="17">
        <f>IFERROR(E117/D117,0)</f>
        <v>0.88888888888888884</v>
      </c>
      <c r="G117" s="18">
        <f>IFERROR(C117/D117,0)</f>
        <v>0.93333333333333335</v>
      </c>
      <c r="H117" s="13" t="s">
        <v>253</v>
      </c>
    </row>
    <row r="118" spans="1:9" x14ac:dyDescent="0.4">
      <c r="A118" s="5">
        <v>117</v>
      </c>
      <c r="B118" s="3" t="s">
        <v>122</v>
      </c>
      <c r="C118" s="45">
        <v>38</v>
      </c>
      <c r="D118" s="5">
        <v>38</v>
      </c>
      <c r="E118" s="5">
        <v>38</v>
      </c>
      <c r="F118" s="17">
        <f>IFERROR(E118/D118,0)</f>
        <v>1</v>
      </c>
      <c r="G118" s="17">
        <f>IFERROR(C118/D118,0)</f>
        <v>1</v>
      </c>
      <c r="H118" s="135"/>
    </row>
    <row r="119" spans="1:9" x14ac:dyDescent="0.4">
      <c r="A119" s="5">
        <v>118</v>
      </c>
      <c r="B119" s="3" t="s">
        <v>116</v>
      </c>
      <c r="C119" s="45">
        <v>38</v>
      </c>
      <c r="D119" s="5">
        <v>38</v>
      </c>
      <c r="E119" s="5">
        <v>38</v>
      </c>
      <c r="F119" s="17">
        <f>IFERROR(E119/D119,0)</f>
        <v>1</v>
      </c>
      <c r="G119" s="17">
        <f>IFERROR(C119/D119,0)</f>
        <v>1</v>
      </c>
      <c r="H119" s="135"/>
    </row>
    <row r="120" spans="1:9" x14ac:dyDescent="0.4">
      <c r="A120" s="5">
        <v>119</v>
      </c>
      <c r="B120" s="3" t="s">
        <v>118</v>
      </c>
      <c r="C120" s="45">
        <v>42</v>
      </c>
      <c r="D120" s="5">
        <v>40</v>
      </c>
      <c r="E120" s="5">
        <v>40</v>
      </c>
      <c r="F120" s="17">
        <f>IFERROR(E120/D120,0)</f>
        <v>1</v>
      </c>
      <c r="G120" s="18">
        <f>IFERROR(C120/D120,0)</f>
        <v>1.05</v>
      </c>
      <c r="H120" s="136" t="s">
        <v>1370</v>
      </c>
    </row>
    <row r="121" spans="1:9" x14ac:dyDescent="0.4">
      <c r="A121" s="5">
        <v>120</v>
      </c>
      <c r="B121" s="3" t="s">
        <v>129</v>
      </c>
      <c r="C121" s="45">
        <v>37</v>
      </c>
      <c r="D121" s="68">
        <f>VLOOKUP(B121,'[2]1-1)갱신주기 미준수기관'!B$6:BK$248,62,FALSE)</f>
        <v>35</v>
      </c>
      <c r="E121" s="5">
        <v>35</v>
      </c>
      <c r="F121" s="17">
        <f>IFERROR(E121/D121,0)</f>
        <v>1</v>
      </c>
      <c r="G121" s="18">
        <f>IFERROR(C121/D121,0)</f>
        <v>1.0571428571428572</v>
      </c>
      <c r="H121" s="136" t="s">
        <v>1370</v>
      </c>
      <c r="I121" s="5" t="s">
        <v>1330</v>
      </c>
    </row>
    <row r="122" spans="1:9" x14ac:dyDescent="0.4">
      <c r="A122" s="5">
        <v>121</v>
      </c>
      <c r="B122" s="3" t="s">
        <v>130</v>
      </c>
      <c r="C122" s="45">
        <v>18</v>
      </c>
      <c r="D122" s="68">
        <f>VLOOKUP(B122,'[2]1-1)갱신주기 미준수기관'!B$6:BK$248,62,FALSE)</f>
        <v>18</v>
      </c>
      <c r="E122" s="5">
        <v>18</v>
      </c>
      <c r="F122" s="17">
        <f>IFERROR(E122/D122,0)</f>
        <v>1</v>
      </c>
      <c r="G122" s="17">
        <f>IFERROR(C122/D122,0)</f>
        <v>1</v>
      </c>
      <c r="H122" s="135"/>
      <c r="I122" s="5" t="s">
        <v>1330</v>
      </c>
    </row>
    <row r="123" spans="1:9" x14ac:dyDescent="0.4">
      <c r="A123" s="5">
        <v>122</v>
      </c>
      <c r="B123" s="3" t="s">
        <v>119</v>
      </c>
      <c r="C123" s="45">
        <v>34</v>
      </c>
      <c r="D123" s="5">
        <v>37</v>
      </c>
      <c r="E123" s="5">
        <v>34</v>
      </c>
      <c r="F123" s="17">
        <f>IFERROR(E123/D123,0)</f>
        <v>0.91891891891891897</v>
      </c>
      <c r="G123" s="17">
        <f>IFERROR(C123/D123,0)</f>
        <v>0.91891891891891897</v>
      </c>
      <c r="H123" s="135"/>
    </row>
    <row r="124" spans="1:9" x14ac:dyDescent="0.4">
      <c r="A124" s="5">
        <v>123</v>
      </c>
      <c r="B124" s="3" t="s">
        <v>131</v>
      </c>
      <c r="C124" s="45">
        <v>27</v>
      </c>
      <c r="D124" s="68">
        <f>VLOOKUP(B124,'[2]1-1)갱신주기 미준수기관'!B$6:BK$248,62,FALSE)</f>
        <v>27</v>
      </c>
      <c r="E124" s="5">
        <v>27</v>
      </c>
      <c r="F124" s="17">
        <f>IFERROR(E124/D124,0)</f>
        <v>1</v>
      </c>
      <c r="G124" s="17">
        <f>IFERROR(C124/D124,0)</f>
        <v>1</v>
      </c>
      <c r="H124" s="135"/>
      <c r="I124" s="5" t="s">
        <v>1330</v>
      </c>
    </row>
    <row r="125" spans="1:9" x14ac:dyDescent="0.4">
      <c r="A125" s="5">
        <v>124</v>
      </c>
      <c r="B125" s="3" t="s">
        <v>128</v>
      </c>
      <c r="C125" s="45">
        <v>26</v>
      </c>
      <c r="D125" s="5">
        <v>33</v>
      </c>
      <c r="E125" s="5">
        <v>26</v>
      </c>
      <c r="F125" s="17">
        <f>IFERROR(E125/D125,0)</f>
        <v>0.78787878787878785</v>
      </c>
      <c r="G125" s="17">
        <f>IFERROR(C125/D125,0)</f>
        <v>0.78787878787878785</v>
      </c>
      <c r="H125" s="135"/>
    </row>
    <row r="126" spans="1:9" x14ac:dyDescent="0.4">
      <c r="A126" s="5">
        <v>125</v>
      </c>
      <c r="B126" s="3" t="s">
        <v>132</v>
      </c>
      <c r="C126" s="45">
        <v>26</v>
      </c>
      <c r="D126" s="68">
        <f>VLOOKUP(B126,'[2]1-1)갱신주기 미준수기관'!B$6:BK$248,62,FALSE)</f>
        <v>25</v>
      </c>
      <c r="E126" s="5">
        <v>25</v>
      </c>
      <c r="F126" s="17">
        <f>IFERROR(E126/D126,0)</f>
        <v>1</v>
      </c>
      <c r="G126" s="18">
        <f>IFERROR(C126/D126,0)</f>
        <v>1.04</v>
      </c>
      <c r="H126" s="135" t="s">
        <v>1370</v>
      </c>
      <c r="I126" s="5" t="s">
        <v>1330</v>
      </c>
    </row>
    <row r="127" spans="1:9" x14ac:dyDescent="0.4">
      <c r="A127" s="5">
        <v>126</v>
      </c>
      <c r="B127" s="3" t="s">
        <v>127</v>
      </c>
      <c r="C127" s="45">
        <v>34</v>
      </c>
      <c r="D127" s="5">
        <v>34</v>
      </c>
      <c r="E127" s="5">
        <v>33</v>
      </c>
      <c r="F127" s="17">
        <f>IFERROR(E127/D127,0)</f>
        <v>0.97058823529411764</v>
      </c>
      <c r="G127" s="18">
        <f>IFERROR(C127/D127,0)</f>
        <v>1</v>
      </c>
      <c r="H127" s="13" t="s">
        <v>1370</v>
      </c>
    </row>
    <row r="128" spans="1:9" x14ac:dyDescent="0.4">
      <c r="A128" s="5">
        <v>127</v>
      </c>
      <c r="B128" s="3" t="s">
        <v>124</v>
      </c>
      <c r="C128" s="45">
        <v>29</v>
      </c>
      <c r="D128" s="5">
        <v>18</v>
      </c>
      <c r="E128" s="5">
        <v>17</v>
      </c>
      <c r="F128" s="17">
        <f>IFERROR(E128/D128,0)</f>
        <v>0.94444444444444442</v>
      </c>
      <c r="G128" s="18">
        <f>IFERROR(C128/D128,0)</f>
        <v>1.6111111111111112</v>
      </c>
      <c r="H128" s="13" t="s">
        <v>1370</v>
      </c>
    </row>
    <row r="129" spans="1:9" x14ac:dyDescent="0.4">
      <c r="A129" s="5">
        <v>128</v>
      </c>
      <c r="B129" s="3" t="s">
        <v>125</v>
      </c>
      <c r="C129" s="45">
        <v>29</v>
      </c>
      <c r="D129" s="5">
        <v>30</v>
      </c>
      <c r="E129" s="5">
        <v>27</v>
      </c>
      <c r="F129" s="17">
        <f>IFERROR(E129/D129,0)</f>
        <v>0.9</v>
      </c>
      <c r="G129" s="18">
        <f>IFERROR(C129/D129,0)</f>
        <v>0.96666666666666667</v>
      </c>
      <c r="H129" s="135" t="s">
        <v>1370</v>
      </c>
    </row>
    <row r="130" spans="1:9" x14ac:dyDescent="0.4">
      <c r="A130" s="5">
        <v>129</v>
      </c>
      <c r="B130" s="3" t="s">
        <v>133</v>
      </c>
      <c r="C130" s="45">
        <v>25</v>
      </c>
      <c r="D130" s="68">
        <f>VLOOKUP(B130,'[2]1-1)갱신주기 미준수기관'!B$6:BK$248,62,FALSE)</f>
        <v>25</v>
      </c>
      <c r="E130" s="5">
        <v>25</v>
      </c>
      <c r="F130" s="17">
        <f>IFERROR(E130/D130,0)</f>
        <v>1</v>
      </c>
      <c r="G130" s="17">
        <f>IFERROR(C130/D130,0)</f>
        <v>1</v>
      </c>
      <c r="H130" s="135"/>
      <c r="I130" s="5" t="s">
        <v>1330</v>
      </c>
    </row>
    <row r="131" spans="1:9" x14ac:dyDescent="0.4">
      <c r="A131" s="5">
        <v>130</v>
      </c>
      <c r="B131" s="3" t="s">
        <v>120</v>
      </c>
      <c r="C131" s="45">
        <v>29</v>
      </c>
      <c r="D131" s="5">
        <v>22</v>
      </c>
      <c r="E131" s="5">
        <v>22</v>
      </c>
      <c r="F131" s="17">
        <f>IFERROR(E131/D131,0)</f>
        <v>1</v>
      </c>
      <c r="G131" s="18">
        <f>IFERROR(C131/D131,0)</f>
        <v>1.3181818181818181</v>
      </c>
      <c r="H131" s="13" t="s">
        <v>1370</v>
      </c>
    </row>
    <row r="132" spans="1:9" x14ac:dyDescent="0.4">
      <c r="A132" s="5">
        <v>131</v>
      </c>
      <c r="B132" s="3" t="s">
        <v>123</v>
      </c>
      <c r="C132" s="45">
        <v>32</v>
      </c>
      <c r="D132" s="5">
        <v>33</v>
      </c>
      <c r="E132" s="5">
        <v>33</v>
      </c>
      <c r="F132" s="17">
        <f>IFERROR(E132/D132,0)</f>
        <v>1</v>
      </c>
      <c r="G132" s="19">
        <f>IFERROR(C132/D132,0)</f>
        <v>0.96969696969696972</v>
      </c>
      <c r="H132" s="13" t="s">
        <v>253</v>
      </c>
      <c r="I132" t="s">
        <v>1078</v>
      </c>
    </row>
    <row r="133" spans="1:9" x14ac:dyDescent="0.4">
      <c r="A133" s="5">
        <v>132</v>
      </c>
      <c r="B133" s="3" t="s">
        <v>117</v>
      </c>
      <c r="C133" s="45">
        <v>28</v>
      </c>
      <c r="D133" s="5">
        <v>31</v>
      </c>
      <c r="E133" s="5">
        <v>28</v>
      </c>
      <c r="F133" s="17">
        <f>IFERROR(E133/D133,0)</f>
        <v>0.90322580645161288</v>
      </c>
      <c r="G133" s="17">
        <f>IFERROR(C133/D133,0)</f>
        <v>0.90322580645161288</v>
      </c>
      <c r="H133" s="135"/>
    </row>
    <row r="134" spans="1:9" x14ac:dyDescent="0.4">
      <c r="A134" s="5">
        <v>133</v>
      </c>
      <c r="B134" s="3" t="s">
        <v>121</v>
      </c>
      <c r="C134" s="45">
        <v>32</v>
      </c>
      <c r="D134" s="5">
        <v>32</v>
      </c>
      <c r="E134" s="5">
        <v>30</v>
      </c>
      <c r="F134" s="17">
        <f>IFERROR(E134/D134,0)</f>
        <v>0.9375</v>
      </c>
      <c r="G134" s="18">
        <f>IFERROR(C134/D134,0)</f>
        <v>1</v>
      </c>
      <c r="H134" s="13" t="s">
        <v>1370</v>
      </c>
    </row>
    <row r="135" spans="1:9" x14ac:dyDescent="0.4">
      <c r="A135" s="5">
        <v>134</v>
      </c>
      <c r="B135" s="3" t="s">
        <v>134</v>
      </c>
      <c r="C135" s="45">
        <v>10</v>
      </c>
      <c r="D135" s="5">
        <v>9</v>
      </c>
      <c r="E135" s="5">
        <v>9</v>
      </c>
      <c r="F135" s="17">
        <f>IFERROR(E135/D135,0)</f>
        <v>1</v>
      </c>
      <c r="G135" s="18">
        <f>IFERROR(C135/D135,0)</f>
        <v>1.1111111111111112</v>
      </c>
      <c r="H135" s="13" t="s">
        <v>1370</v>
      </c>
    </row>
    <row r="136" spans="1:9" x14ac:dyDescent="0.4">
      <c r="A136" s="5">
        <v>135</v>
      </c>
      <c r="B136" s="3" t="s">
        <v>135</v>
      </c>
      <c r="C136" s="45">
        <v>37</v>
      </c>
      <c r="D136" s="5">
        <v>7</v>
      </c>
      <c r="E136" s="5">
        <v>4</v>
      </c>
      <c r="F136" s="17">
        <f>IFERROR(E136/D136,0)</f>
        <v>0.5714285714285714</v>
      </c>
      <c r="G136" s="18">
        <f>IFERROR(C136/D136,0)</f>
        <v>5.2857142857142856</v>
      </c>
      <c r="H136" s="13" t="s">
        <v>1370</v>
      </c>
    </row>
    <row r="137" spans="1:9" x14ac:dyDescent="0.4">
      <c r="A137" s="5">
        <v>136</v>
      </c>
      <c r="B137" s="3" t="s">
        <v>136</v>
      </c>
      <c r="C137" s="45">
        <v>40</v>
      </c>
      <c r="D137" s="5">
        <v>46</v>
      </c>
      <c r="E137" s="5">
        <v>40</v>
      </c>
      <c r="F137" s="17">
        <f>IFERROR(E137/D137,0)</f>
        <v>0.86956521739130432</v>
      </c>
      <c r="G137" s="17">
        <f>IFERROR(C137/D137,0)</f>
        <v>0.86956521739130432</v>
      </c>
      <c r="H137" s="135"/>
    </row>
    <row r="138" spans="1:9" x14ac:dyDescent="0.4">
      <c r="A138" s="5">
        <v>137</v>
      </c>
      <c r="B138" s="3" t="s">
        <v>137</v>
      </c>
      <c r="C138" s="45">
        <v>43</v>
      </c>
      <c r="D138" s="5">
        <v>41</v>
      </c>
      <c r="E138" s="5">
        <v>41</v>
      </c>
      <c r="F138" s="17">
        <f>IFERROR(E138/D138,0)</f>
        <v>1</v>
      </c>
      <c r="G138" s="18">
        <f>IFERROR(C138/D138,0)</f>
        <v>1.0487804878048781</v>
      </c>
      <c r="H138" s="136" t="s">
        <v>1370</v>
      </c>
    </row>
    <row r="139" spans="1:9" x14ac:dyDescent="0.4">
      <c r="A139" s="5">
        <v>138</v>
      </c>
      <c r="B139" s="3" t="s">
        <v>138</v>
      </c>
      <c r="C139" s="45">
        <v>30</v>
      </c>
      <c r="D139" s="5">
        <v>30</v>
      </c>
      <c r="E139" s="5">
        <v>30</v>
      </c>
      <c r="F139" s="17">
        <f>IFERROR(E139/D139,0)</f>
        <v>1</v>
      </c>
      <c r="G139" s="17">
        <f>IFERROR(C139/D139,0)</f>
        <v>1</v>
      </c>
      <c r="H139" s="135"/>
    </row>
    <row r="140" spans="1:9" x14ac:dyDescent="0.4">
      <c r="A140" s="5">
        <v>139</v>
      </c>
      <c r="B140" s="3" t="s">
        <v>139</v>
      </c>
      <c r="C140" s="45">
        <v>35</v>
      </c>
      <c r="D140" s="5">
        <v>38</v>
      </c>
      <c r="E140" s="5">
        <v>35</v>
      </c>
      <c r="F140" s="17">
        <f>IFERROR(E140/D140,0)</f>
        <v>0.92105263157894735</v>
      </c>
      <c r="G140" s="17">
        <f>IFERROR(C140/D140,0)</f>
        <v>0.92105263157894735</v>
      </c>
      <c r="H140" s="135"/>
    </row>
    <row r="141" spans="1:9" x14ac:dyDescent="0.4">
      <c r="A141" s="5">
        <v>140</v>
      </c>
      <c r="B141" s="3" t="s">
        <v>140</v>
      </c>
      <c r="C141" s="45">
        <v>35</v>
      </c>
      <c r="D141" s="5">
        <v>37</v>
      </c>
      <c r="E141" s="5">
        <v>33</v>
      </c>
      <c r="F141" s="17">
        <f>IFERROR(E141/D141,0)</f>
        <v>0.89189189189189189</v>
      </c>
      <c r="G141" s="18">
        <f>IFERROR(C141/D141,0)</f>
        <v>0.94594594594594594</v>
      </c>
      <c r="H141" s="13" t="s">
        <v>1370</v>
      </c>
    </row>
    <row r="142" spans="1:9" x14ac:dyDescent="0.4">
      <c r="A142" s="5">
        <v>141</v>
      </c>
      <c r="B142" s="3" t="s">
        <v>141</v>
      </c>
      <c r="C142" s="45">
        <v>30</v>
      </c>
      <c r="D142" s="5">
        <v>31</v>
      </c>
      <c r="E142" s="5">
        <v>30</v>
      </c>
      <c r="F142" s="17">
        <f>IFERROR(E142/D142,0)</f>
        <v>0.967741935483871</v>
      </c>
      <c r="G142" s="17">
        <f>IFERROR(C142/D142,0)</f>
        <v>0.967741935483871</v>
      </c>
      <c r="H142" s="136"/>
    </row>
    <row r="143" spans="1:9" x14ac:dyDescent="0.4">
      <c r="A143" s="5">
        <v>142</v>
      </c>
      <c r="B143" s="3" t="s">
        <v>142</v>
      </c>
      <c r="C143" s="45">
        <v>30</v>
      </c>
      <c r="D143" s="5">
        <v>33</v>
      </c>
      <c r="E143" s="5">
        <v>29</v>
      </c>
      <c r="F143" s="17">
        <f>IFERROR(E143/D143,0)</f>
        <v>0.87878787878787878</v>
      </c>
      <c r="G143" s="18">
        <f>IFERROR(C143/D143,0)</f>
        <v>0.90909090909090906</v>
      </c>
      <c r="H143" s="13" t="s">
        <v>1370</v>
      </c>
    </row>
    <row r="144" spans="1:9" x14ac:dyDescent="0.4">
      <c r="A144" s="5">
        <v>143</v>
      </c>
      <c r="B144" s="3" t="s">
        <v>143</v>
      </c>
      <c r="C144" s="45">
        <v>39</v>
      </c>
      <c r="D144" s="5">
        <v>38</v>
      </c>
      <c r="E144" s="5">
        <v>38</v>
      </c>
      <c r="F144" s="17">
        <f>IFERROR(E144/D144,0)</f>
        <v>1</v>
      </c>
      <c r="G144" s="18">
        <f>IFERROR(C144/D144,0)</f>
        <v>1.0263157894736843</v>
      </c>
      <c r="H144" s="136" t="s">
        <v>1370</v>
      </c>
      <c r="I144" s="5" t="s">
        <v>997</v>
      </c>
    </row>
    <row r="145" spans="1:9" x14ac:dyDescent="0.4">
      <c r="A145" s="5">
        <v>144</v>
      </c>
      <c r="B145" s="3" t="s">
        <v>144</v>
      </c>
      <c r="C145" s="45">
        <v>28</v>
      </c>
      <c r="D145" s="5">
        <v>32</v>
      </c>
      <c r="E145" s="5">
        <v>26</v>
      </c>
      <c r="F145" s="17">
        <f>IFERROR(E145/D145,0)</f>
        <v>0.8125</v>
      </c>
      <c r="G145" s="18">
        <f>IFERROR(C145/D145,0)</f>
        <v>0.875</v>
      </c>
      <c r="H145" s="13" t="s">
        <v>1370</v>
      </c>
    </row>
    <row r="146" spans="1:9" x14ac:dyDescent="0.4">
      <c r="A146" s="5">
        <v>145</v>
      </c>
      <c r="B146" s="3" t="s">
        <v>145</v>
      </c>
      <c r="C146" s="45">
        <v>31</v>
      </c>
      <c r="D146" s="5">
        <v>29</v>
      </c>
      <c r="E146" s="5">
        <v>29</v>
      </c>
      <c r="F146" s="17">
        <f>IFERROR(E146/D146,0)</f>
        <v>1</v>
      </c>
      <c r="G146" s="18">
        <f>IFERROR(C146/D146,0)</f>
        <v>1.0689655172413792</v>
      </c>
      <c r="H146" s="13" t="s">
        <v>1370</v>
      </c>
    </row>
    <row r="147" spans="1:9" x14ac:dyDescent="0.4">
      <c r="A147" s="5">
        <v>146</v>
      </c>
      <c r="B147" s="3" t="s">
        <v>146</v>
      </c>
      <c r="C147" s="45">
        <v>8</v>
      </c>
      <c r="D147" s="5">
        <v>8</v>
      </c>
      <c r="E147" s="5">
        <v>8</v>
      </c>
      <c r="F147" s="17">
        <f>IFERROR(E147/D147,0)</f>
        <v>1</v>
      </c>
      <c r="G147" s="17">
        <f>IFERROR(C147/D147,0)</f>
        <v>1</v>
      </c>
      <c r="H147" s="135"/>
    </row>
    <row r="148" spans="1:9" x14ac:dyDescent="0.4">
      <c r="A148" s="5">
        <v>147</v>
      </c>
      <c r="B148" s="3" t="s">
        <v>147</v>
      </c>
      <c r="C148" s="45">
        <v>39</v>
      </c>
      <c r="D148" s="5">
        <v>39</v>
      </c>
      <c r="E148" s="5">
        <v>39</v>
      </c>
      <c r="F148" s="17">
        <f>IFERROR(E148/D148,0)</f>
        <v>1</v>
      </c>
      <c r="G148" s="17">
        <f>IFERROR(C148/D148,0)</f>
        <v>1</v>
      </c>
      <c r="H148" s="136"/>
    </row>
    <row r="149" spans="1:9" x14ac:dyDescent="0.4">
      <c r="A149" s="5">
        <v>148</v>
      </c>
      <c r="B149" s="3" t="s">
        <v>148</v>
      </c>
      <c r="C149" s="45">
        <v>32</v>
      </c>
      <c r="D149" s="5">
        <v>32</v>
      </c>
      <c r="E149" s="5">
        <v>32</v>
      </c>
      <c r="F149" s="17">
        <f>IFERROR(E149/D149,0)</f>
        <v>1</v>
      </c>
      <c r="G149" s="17">
        <f>IFERROR(C149/D149,0)</f>
        <v>1</v>
      </c>
      <c r="H149" s="136"/>
    </row>
    <row r="150" spans="1:9" x14ac:dyDescent="0.4">
      <c r="A150" s="5">
        <v>149</v>
      </c>
      <c r="B150" s="3" t="s">
        <v>149</v>
      </c>
      <c r="C150" s="45">
        <v>32</v>
      </c>
      <c r="D150" s="5">
        <v>34</v>
      </c>
      <c r="E150" s="5">
        <v>29</v>
      </c>
      <c r="F150" s="17">
        <f>IFERROR(E150/D150,0)</f>
        <v>0.8529411764705882</v>
      </c>
      <c r="G150" s="18">
        <f>IFERROR(C150/D150,0)</f>
        <v>0.94117647058823528</v>
      </c>
      <c r="H150" s="13" t="s">
        <v>1370</v>
      </c>
    </row>
    <row r="151" spans="1:9" x14ac:dyDescent="0.4">
      <c r="A151" s="5">
        <v>150</v>
      </c>
      <c r="B151" s="3" t="s">
        <v>150</v>
      </c>
      <c r="C151" s="45">
        <v>34</v>
      </c>
      <c r="D151" s="5">
        <v>23</v>
      </c>
      <c r="E151" s="5">
        <v>23</v>
      </c>
      <c r="F151" s="17">
        <f>IFERROR(E151/D151,0)</f>
        <v>1</v>
      </c>
      <c r="G151" s="18">
        <f>IFERROR(C151/D151,0)</f>
        <v>1.4782608695652173</v>
      </c>
      <c r="H151" s="13" t="s">
        <v>1370</v>
      </c>
    </row>
    <row r="152" spans="1:9" x14ac:dyDescent="0.4">
      <c r="A152" s="5">
        <v>151</v>
      </c>
      <c r="B152" s="3" t="s">
        <v>151</v>
      </c>
      <c r="C152" s="45">
        <v>42</v>
      </c>
      <c r="D152" s="5">
        <v>42</v>
      </c>
      <c r="E152" s="5">
        <v>42</v>
      </c>
      <c r="F152" s="17">
        <f>IFERROR(E152/D152,0)</f>
        <v>1</v>
      </c>
      <c r="G152" s="17">
        <f>IFERROR(C152/D152,0)</f>
        <v>1</v>
      </c>
      <c r="H152" s="135"/>
    </row>
    <row r="153" spans="1:9" x14ac:dyDescent="0.4">
      <c r="A153" s="5">
        <v>152</v>
      </c>
      <c r="B153" s="3" t="s">
        <v>152</v>
      </c>
      <c r="C153" s="45">
        <v>34</v>
      </c>
      <c r="D153" s="5">
        <v>46</v>
      </c>
      <c r="E153" s="5">
        <v>34</v>
      </c>
      <c r="F153" s="17">
        <f>IFERROR(E153/D153,0)</f>
        <v>0.73913043478260865</v>
      </c>
      <c r="G153" s="17">
        <f>IFERROR(C153/D153,0)</f>
        <v>0.73913043478260865</v>
      </c>
      <c r="H153" s="136"/>
    </row>
    <row r="154" spans="1:9" x14ac:dyDescent="0.4">
      <c r="A154" s="5">
        <v>153</v>
      </c>
      <c r="B154" s="3" t="s">
        <v>153</v>
      </c>
      <c r="C154" s="45">
        <v>22</v>
      </c>
      <c r="D154" s="5">
        <v>19</v>
      </c>
      <c r="E154" s="5">
        <v>18</v>
      </c>
      <c r="F154" s="17">
        <f>IFERROR(E154/D154,0)</f>
        <v>0.94736842105263153</v>
      </c>
      <c r="G154" s="18">
        <f>IFERROR(C154/D154,0)</f>
        <v>1.1578947368421053</v>
      </c>
      <c r="H154" s="13" t="s">
        <v>253</v>
      </c>
    </row>
    <row r="155" spans="1:9" x14ac:dyDescent="0.4">
      <c r="A155" s="5">
        <v>154</v>
      </c>
      <c r="B155" s="3" t="s">
        <v>154</v>
      </c>
      <c r="C155" s="45">
        <v>38</v>
      </c>
      <c r="D155" s="5">
        <v>37</v>
      </c>
      <c r="E155" s="5">
        <v>37</v>
      </c>
      <c r="F155" s="17">
        <f>IFERROR(E155/D155,0)</f>
        <v>1</v>
      </c>
      <c r="G155" s="18">
        <f>IFERROR(C155/D155,0)</f>
        <v>1.027027027027027</v>
      </c>
      <c r="H155" s="13" t="s">
        <v>1369</v>
      </c>
    </row>
    <row r="156" spans="1:9" x14ac:dyDescent="0.4">
      <c r="A156" s="5">
        <v>155</v>
      </c>
      <c r="B156" s="3" t="s">
        <v>155</v>
      </c>
      <c r="C156" s="45">
        <v>37</v>
      </c>
      <c r="D156" s="5">
        <v>38</v>
      </c>
      <c r="E156" s="5">
        <v>38</v>
      </c>
      <c r="F156" s="17">
        <f>IFERROR(E156/D156,0)</f>
        <v>1</v>
      </c>
      <c r="G156" s="19">
        <f>IFERROR(C156/D156,0)</f>
        <v>0.97368421052631582</v>
      </c>
      <c r="H156" s="13" t="s">
        <v>1369</v>
      </c>
      <c r="I156" t="s">
        <v>1082</v>
      </c>
    </row>
    <row r="157" spans="1:9" x14ac:dyDescent="0.4">
      <c r="A157" s="5">
        <v>156</v>
      </c>
      <c r="B157" s="3" t="s">
        <v>156</v>
      </c>
      <c r="C157" s="45">
        <v>36</v>
      </c>
      <c r="D157" s="5">
        <v>37</v>
      </c>
      <c r="E157" s="5">
        <v>36</v>
      </c>
      <c r="F157" s="17">
        <f>IFERROR(E157/D157,0)</f>
        <v>0.97297297297297303</v>
      </c>
      <c r="G157" s="17">
        <f>IFERROR(C157/D157,0)</f>
        <v>0.97297297297297303</v>
      </c>
      <c r="H157" s="135"/>
    </row>
    <row r="158" spans="1:9" x14ac:dyDescent="0.4">
      <c r="A158" s="5">
        <v>157</v>
      </c>
      <c r="B158" s="3" t="s">
        <v>157</v>
      </c>
      <c r="C158" s="45">
        <v>39</v>
      </c>
      <c r="D158" s="5">
        <v>43</v>
      </c>
      <c r="E158" s="5">
        <v>39</v>
      </c>
      <c r="F158" s="17">
        <f>IFERROR(E158/D158,0)</f>
        <v>0.90697674418604646</v>
      </c>
      <c r="G158" s="17">
        <f>IFERROR(C158/D158,0)</f>
        <v>0.90697674418604646</v>
      </c>
      <c r="H158" s="135"/>
    </row>
    <row r="159" spans="1:9" x14ac:dyDescent="0.4">
      <c r="A159" s="5">
        <v>158</v>
      </c>
      <c r="B159" s="3" t="s">
        <v>158</v>
      </c>
      <c r="C159" s="45">
        <v>34</v>
      </c>
      <c r="D159" s="5">
        <v>34</v>
      </c>
      <c r="E159" s="5">
        <v>33</v>
      </c>
      <c r="F159" s="17">
        <f>IFERROR(E159/D159,0)</f>
        <v>0.97058823529411764</v>
      </c>
      <c r="G159" s="18">
        <f>IFERROR(C159/D159,0)</f>
        <v>1</v>
      </c>
      <c r="H159" s="135" t="s">
        <v>1369</v>
      </c>
    </row>
    <row r="160" spans="1:9" x14ac:dyDescent="0.4">
      <c r="A160" s="5">
        <v>159</v>
      </c>
      <c r="B160" s="3" t="s">
        <v>159</v>
      </c>
      <c r="C160" s="45">
        <v>36</v>
      </c>
      <c r="D160" s="5">
        <v>36</v>
      </c>
      <c r="E160" s="5">
        <v>36</v>
      </c>
      <c r="F160" s="17">
        <f>IFERROR(E160/D160,0)</f>
        <v>1</v>
      </c>
      <c r="G160" s="17">
        <f>IFERROR(C160/D160,0)</f>
        <v>1</v>
      </c>
      <c r="H160" s="136"/>
    </row>
    <row r="161" spans="1:8" x14ac:dyDescent="0.4">
      <c r="A161" s="5">
        <v>160</v>
      </c>
      <c r="B161" s="3" t="s">
        <v>160</v>
      </c>
      <c r="C161" s="45">
        <v>40</v>
      </c>
      <c r="D161" s="5">
        <v>39</v>
      </c>
      <c r="E161" s="5">
        <v>39</v>
      </c>
      <c r="F161" s="17">
        <f>IFERROR(E161/D161,0)</f>
        <v>1</v>
      </c>
      <c r="G161" s="18">
        <f>IFERROR(C161/D161,0)</f>
        <v>1.0256410256410255</v>
      </c>
      <c r="H161" s="136" t="s">
        <v>1370</v>
      </c>
    </row>
    <row r="162" spans="1:8" x14ac:dyDescent="0.4">
      <c r="A162" s="5">
        <v>161</v>
      </c>
      <c r="B162" s="3" t="s">
        <v>161</v>
      </c>
      <c r="C162" s="45">
        <v>38</v>
      </c>
      <c r="D162" s="5">
        <v>39</v>
      </c>
      <c r="E162" s="5">
        <v>38</v>
      </c>
      <c r="F162" s="17">
        <f>IFERROR(E162/D162,0)</f>
        <v>0.97435897435897434</v>
      </c>
      <c r="G162" s="17">
        <f>IFERROR(C162/D162,0)</f>
        <v>0.97435897435897434</v>
      </c>
      <c r="H162" s="135"/>
    </row>
    <row r="163" spans="1:8" x14ac:dyDescent="0.4">
      <c r="A163" s="5">
        <v>162</v>
      </c>
      <c r="B163" s="3" t="s">
        <v>162</v>
      </c>
      <c r="C163" s="45">
        <v>9</v>
      </c>
      <c r="D163" s="5">
        <v>9</v>
      </c>
      <c r="E163" s="5">
        <v>9</v>
      </c>
      <c r="F163" s="17">
        <f>IFERROR(E163/D163,0)</f>
        <v>1</v>
      </c>
      <c r="G163" s="17">
        <f>IFERROR(C163/D163,0)</f>
        <v>1</v>
      </c>
      <c r="H163" s="136"/>
    </row>
    <row r="164" spans="1:8" x14ac:dyDescent="0.4">
      <c r="A164" s="5">
        <v>163</v>
      </c>
      <c r="B164" s="3" t="s">
        <v>163</v>
      </c>
      <c r="C164" s="45">
        <v>34</v>
      </c>
      <c r="D164" s="5">
        <v>43</v>
      </c>
      <c r="E164" s="5">
        <v>34</v>
      </c>
      <c r="F164" s="17">
        <f>IFERROR(E164/D164,0)</f>
        <v>0.79069767441860461</v>
      </c>
      <c r="G164" s="17">
        <f>IFERROR(C164/D164,0)</f>
        <v>0.79069767441860461</v>
      </c>
      <c r="H164" s="135"/>
    </row>
    <row r="165" spans="1:8" x14ac:dyDescent="0.4">
      <c r="A165" s="5">
        <v>164</v>
      </c>
      <c r="B165" s="3" t="s">
        <v>164</v>
      </c>
      <c r="C165" s="45">
        <v>42</v>
      </c>
      <c r="D165" s="5">
        <v>45</v>
      </c>
      <c r="E165" s="5">
        <v>42</v>
      </c>
      <c r="F165" s="17">
        <f>IFERROR(E165/D165,0)</f>
        <v>0.93333333333333335</v>
      </c>
      <c r="G165" s="17">
        <f>IFERROR(C165/D165,0)</f>
        <v>0.93333333333333335</v>
      </c>
      <c r="H165" s="136"/>
    </row>
    <row r="166" spans="1:8" x14ac:dyDescent="0.4">
      <c r="A166" s="5">
        <v>165</v>
      </c>
      <c r="B166" s="3" t="s">
        <v>165</v>
      </c>
      <c r="C166" s="45">
        <v>42</v>
      </c>
      <c r="D166" s="5">
        <v>42</v>
      </c>
      <c r="E166" s="5">
        <v>42</v>
      </c>
      <c r="F166" s="17">
        <f>IFERROR(E166/D166,0)</f>
        <v>1</v>
      </c>
      <c r="G166" s="17">
        <f>IFERROR(C166/D166,0)</f>
        <v>1</v>
      </c>
      <c r="H166" s="135"/>
    </row>
    <row r="167" spans="1:8" x14ac:dyDescent="0.4">
      <c r="A167" s="5">
        <v>166</v>
      </c>
      <c r="B167" s="3" t="s">
        <v>166</v>
      </c>
      <c r="C167" s="45">
        <v>35</v>
      </c>
      <c r="D167" s="5">
        <v>35</v>
      </c>
      <c r="E167" s="5">
        <v>35</v>
      </c>
      <c r="F167" s="17">
        <f>IFERROR(E167/D167,0)</f>
        <v>1</v>
      </c>
      <c r="G167" s="17">
        <f>IFERROR(C167/D167,0)</f>
        <v>1</v>
      </c>
      <c r="H167" s="136"/>
    </row>
    <row r="168" spans="1:8" x14ac:dyDescent="0.4">
      <c r="A168" s="5">
        <v>167</v>
      </c>
      <c r="B168" s="3" t="s">
        <v>167</v>
      </c>
      <c r="C168" s="45">
        <v>37</v>
      </c>
      <c r="D168" s="5">
        <v>44</v>
      </c>
      <c r="E168" s="5">
        <v>35</v>
      </c>
      <c r="F168" s="17">
        <f>IFERROR(E168/D168,0)</f>
        <v>0.79545454545454541</v>
      </c>
      <c r="G168" s="18">
        <f>IFERROR(C168/D168,0)</f>
        <v>0.84090909090909094</v>
      </c>
      <c r="H168" s="135" t="s">
        <v>1370</v>
      </c>
    </row>
    <row r="169" spans="1:8" x14ac:dyDescent="0.4">
      <c r="A169" s="5">
        <v>168</v>
      </c>
      <c r="B169" s="3" t="s">
        <v>168</v>
      </c>
      <c r="C169" s="45">
        <v>26</v>
      </c>
      <c r="D169" s="5">
        <v>14</v>
      </c>
      <c r="E169" s="5">
        <v>14</v>
      </c>
      <c r="F169" s="17">
        <f>IFERROR(E169/D169,0)</f>
        <v>1</v>
      </c>
      <c r="G169" s="18">
        <f>IFERROR(C169/D169,0)</f>
        <v>1.8571428571428572</v>
      </c>
      <c r="H169" s="135" t="s">
        <v>1370</v>
      </c>
    </row>
    <row r="170" spans="1:8" x14ac:dyDescent="0.4">
      <c r="A170" s="5">
        <v>169</v>
      </c>
      <c r="B170" s="3" t="s">
        <v>169</v>
      </c>
      <c r="C170" s="45">
        <v>36</v>
      </c>
      <c r="D170" s="5">
        <v>35</v>
      </c>
      <c r="E170" s="5">
        <v>35</v>
      </c>
      <c r="F170" s="17">
        <f>IFERROR(E170/D170,0)</f>
        <v>1</v>
      </c>
      <c r="G170" s="18">
        <f>IFERROR(C170/D170,0)</f>
        <v>1.0285714285714285</v>
      </c>
      <c r="H170" s="136" t="s">
        <v>1369</v>
      </c>
    </row>
    <row r="171" spans="1:8" x14ac:dyDescent="0.4">
      <c r="A171" s="5">
        <v>170</v>
      </c>
      <c r="B171" s="3" t="s">
        <v>170</v>
      </c>
      <c r="C171" s="45">
        <v>38</v>
      </c>
      <c r="D171" s="5">
        <v>39</v>
      </c>
      <c r="E171" s="5">
        <v>38</v>
      </c>
      <c r="F171" s="17">
        <f>IFERROR(E171/D171,0)</f>
        <v>0.97435897435897434</v>
      </c>
      <c r="G171" s="17">
        <f>IFERROR(C171/D171,0)</f>
        <v>0.97435897435897434</v>
      </c>
      <c r="H171" s="136"/>
    </row>
    <row r="172" spans="1:8" x14ac:dyDescent="0.4">
      <c r="A172" s="5">
        <v>171</v>
      </c>
      <c r="B172" s="3" t="s">
        <v>171</v>
      </c>
      <c r="C172" s="45">
        <v>32</v>
      </c>
      <c r="D172" s="5">
        <v>40</v>
      </c>
      <c r="E172" s="5">
        <v>32</v>
      </c>
      <c r="F172" s="17">
        <f>IFERROR(E172/D172,0)</f>
        <v>0.8</v>
      </c>
      <c r="G172" s="17">
        <f>IFERROR(C172/D172,0)</f>
        <v>0.8</v>
      </c>
      <c r="H172" s="136"/>
    </row>
    <row r="173" spans="1:8" x14ac:dyDescent="0.4">
      <c r="A173" s="5">
        <v>172</v>
      </c>
      <c r="B173" s="3" t="s">
        <v>172</v>
      </c>
      <c r="C173" s="45">
        <v>32</v>
      </c>
      <c r="D173" s="5">
        <v>32</v>
      </c>
      <c r="E173" s="5">
        <v>32</v>
      </c>
      <c r="F173" s="17">
        <f>IFERROR(E173/D173,0)</f>
        <v>1</v>
      </c>
      <c r="G173" s="17">
        <f>IFERROR(C173/D173,0)</f>
        <v>1</v>
      </c>
      <c r="H173" s="135"/>
    </row>
    <row r="174" spans="1:8" x14ac:dyDescent="0.4">
      <c r="A174" s="5">
        <v>173</v>
      </c>
      <c r="B174" s="3" t="s">
        <v>173</v>
      </c>
      <c r="C174" s="45">
        <v>26</v>
      </c>
      <c r="D174" s="5">
        <v>26</v>
      </c>
      <c r="E174" s="5">
        <v>26</v>
      </c>
      <c r="F174" s="17">
        <f>IFERROR(E174/D174,0)</f>
        <v>1</v>
      </c>
      <c r="G174" s="17">
        <f>IFERROR(C174/D174,0)</f>
        <v>1</v>
      </c>
      <c r="H174" s="135"/>
    </row>
    <row r="175" spans="1:8" x14ac:dyDescent="0.4">
      <c r="A175" s="5">
        <v>174</v>
      </c>
      <c r="B175" s="3" t="s">
        <v>174</v>
      </c>
      <c r="C175" s="45">
        <v>33</v>
      </c>
      <c r="D175" s="5">
        <v>42</v>
      </c>
      <c r="E175" s="5">
        <v>33</v>
      </c>
      <c r="F175" s="17">
        <f>IFERROR(E175/D175,0)</f>
        <v>0.7857142857142857</v>
      </c>
      <c r="G175" s="17">
        <f>IFERROR(C175/D175,0)</f>
        <v>0.7857142857142857</v>
      </c>
      <c r="H175" s="135"/>
    </row>
    <row r="176" spans="1:8" x14ac:dyDescent="0.4">
      <c r="A176" s="5">
        <v>175</v>
      </c>
      <c r="B176" s="3" t="s">
        <v>175</v>
      </c>
      <c r="C176" s="45">
        <v>34</v>
      </c>
      <c r="D176" s="5">
        <v>45</v>
      </c>
      <c r="E176" s="5">
        <v>34</v>
      </c>
      <c r="F176" s="17">
        <f>IFERROR(E176/D176,0)</f>
        <v>0.75555555555555554</v>
      </c>
      <c r="G176" s="17">
        <f>IFERROR(C176/D176,0)</f>
        <v>0.75555555555555554</v>
      </c>
      <c r="H176" s="136"/>
    </row>
    <row r="177" spans="1:16" x14ac:dyDescent="0.4">
      <c r="A177" s="5">
        <v>176</v>
      </c>
      <c r="B177" s="3" t="s">
        <v>176</v>
      </c>
      <c r="C177" s="45">
        <v>32</v>
      </c>
      <c r="D177" s="5">
        <v>32</v>
      </c>
      <c r="E177" s="5">
        <v>32</v>
      </c>
      <c r="F177" s="17">
        <f>IFERROR(E177/D177,0)</f>
        <v>1</v>
      </c>
      <c r="G177" s="17">
        <f>IFERROR(C177/D177,0)</f>
        <v>1</v>
      </c>
      <c r="H177" s="135"/>
    </row>
    <row r="178" spans="1:16" x14ac:dyDescent="0.4">
      <c r="A178" s="5">
        <v>177</v>
      </c>
      <c r="B178" s="3" t="s">
        <v>177</v>
      </c>
      <c r="C178" s="45">
        <v>9</v>
      </c>
      <c r="D178" s="5">
        <v>10</v>
      </c>
      <c r="E178" s="5">
        <v>2</v>
      </c>
      <c r="F178" s="17">
        <f>IFERROR(E178/D178,0)</f>
        <v>0.2</v>
      </c>
      <c r="G178" s="18">
        <f>IFERROR(C178/D178,0)</f>
        <v>0.9</v>
      </c>
      <c r="H178" s="136" t="s">
        <v>1370</v>
      </c>
    </row>
    <row r="179" spans="1:16" x14ac:dyDescent="0.4">
      <c r="A179" s="5">
        <v>178</v>
      </c>
      <c r="B179" s="3" t="s">
        <v>178</v>
      </c>
      <c r="C179" s="45">
        <v>38</v>
      </c>
      <c r="D179" s="5">
        <v>40</v>
      </c>
      <c r="E179" s="5">
        <v>35</v>
      </c>
      <c r="F179" s="17">
        <f>IFERROR(E179/D179,0)</f>
        <v>0.875</v>
      </c>
      <c r="G179" s="18">
        <f>IFERROR(C179/D179,0)</f>
        <v>0.95</v>
      </c>
      <c r="H179" s="136" t="s">
        <v>1370</v>
      </c>
    </row>
    <row r="180" spans="1:16" x14ac:dyDescent="0.4">
      <c r="A180" s="5">
        <v>179</v>
      </c>
      <c r="B180" s="3" t="s">
        <v>179</v>
      </c>
      <c r="C180" s="45">
        <v>47</v>
      </c>
      <c r="D180" s="5">
        <v>47</v>
      </c>
      <c r="E180" s="5">
        <v>47</v>
      </c>
      <c r="F180" s="17">
        <f>IFERROR(E180/D180,0)</f>
        <v>1</v>
      </c>
      <c r="G180" s="17">
        <f>IFERROR(C180/D180,0)</f>
        <v>1</v>
      </c>
      <c r="H180" s="136"/>
    </row>
    <row r="181" spans="1:16" x14ac:dyDescent="0.4">
      <c r="A181" s="5">
        <v>180</v>
      </c>
      <c r="B181" s="3" t="s">
        <v>180</v>
      </c>
      <c r="C181" s="45">
        <v>47</v>
      </c>
      <c r="D181" s="5">
        <v>49</v>
      </c>
      <c r="E181" s="5">
        <v>47</v>
      </c>
      <c r="F181" s="17">
        <f>IFERROR(E181/D181,0)</f>
        <v>0.95918367346938771</v>
      </c>
      <c r="G181" s="17">
        <f>IFERROR(C181/D181,0)</f>
        <v>0.95918367346938771</v>
      </c>
      <c r="H181" s="136"/>
    </row>
    <row r="182" spans="1:16" x14ac:dyDescent="0.4">
      <c r="A182" s="5">
        <v>181</v>
      </c>
      <c r="B182" s="3" t="s">
        <v>199</v>
      </c>
      <c r="C182" s="45">
        <v>22</v>
      </c>
      <c r="D182" s="68">
        <f>VLOOKUP(B182,'[2]1-1)갱신주기 미준수기관'!B$6:BK$248,62,FALSE)</f>
        <v>22</v>
      </c>
      <c r="E182" s="5">
        <v>22</v>
      </c>
      <c r="F182" s="17">
        <f>IFERROR(E182/D182,0)</f>
        <v>1</v>
      </c>
      <c r="G182" s="17">
        <f>IFERROR(C182/D182,0)</f>
        <v>1</v>
      </c>
      <c r="H182" s="135"/>
      <c r="I182" s="5" t="s">
        <v>1330</v>
      </c>
    </row>
    <row r="183" spans="1:16" x14ac:dyDescent="0.4">
      <c r="A183" s="5">
        <v>182</v>
      </c>
      <c r="B183" s="3" t="s">
        <v>181</v>
      </c>
      <c r="C183" s="45">
        <v>40</v>
      </c>
      <c r="D183" s="5">
        <v>44</v>
      </c>
      <c r="E183" s="5">
        <v>40</v>
      </c>
      <c r="F183" s="17">
        <f>IFERROR(E183/D183,0)</f>
        <v>0.90909090909090906</v>
      </c>
      <c r="G183" s="17">
        <f>IFERROR(C183/D183,0)</f>
        <v>0.90909090909090906</v>
      </c>
      <c r="H183" s="136"/>
      <c r="M183" s="5"/>
      <c r="N183" s="5"/>
      <c r="O183" s="5"/>
      <c r="P183" s="5"/>
    </row>
    <row r="184" spans="1:16" x14ac:dyDescent="0.4">
      <c r="A184" s="5">
        <v>183</v>
      </c>
      <c r="B184" s="3" t="s">
        <v>182</v>
      </c>
      <c r="C184" s="45">
        <v>36</v>
      </c>
      <c r="D184" s="5">
        <v>40</v>
      </c>
      <c r="E184" s="5">
        <v>36</v>
      </c>
      <c r="F184" s="17">
        <f>IFERROR(E184/D184,0)</f>
        <v>0.9</v>
      </c>
      <c r="G184" s="17">
        <f>IFERROR(C184/D184,0)</f>
        <v>0.9</v>
      </c>
      <c r="H184" s="136"/>
      <c r="M184" s="5"/>
      <c r="N184" s="5"/>
      <c r="O184" s="5"/>
      <c r="P184" s="5"/>
    </row>
    <row r="185" spans="1:16" x14ac:dyDescent="0.4">
      <c r="A185" s="5">
        <v>184</v>
      </c>
      <c r="B185" s="3" t="s">
        <v>183</v>
      </c>
      <c r="C185" s="45">
        <v>39</v>
      </c>
      <c r="D185" s="5">
        <v>37</v>
      </c>
      <c r="E185" s="5">
        <v>36</v>
      </c>
      <c r="F185" s="17">
        <f>IFERROR(E185/D185,0)</f>
        <v>0.97297297297297303</v>
      </c>
      <c r="G185" s="18">
        <f>IFERROR(C185/D185,0)</f>
        <v>1.0540540540540539</v>
      </c>
      <c r="H185" s="135" t="s">
        <v>1370</v>
      </c>
      <c r="I185" t="s">
        <v>997</v>
      </c>
    </row>
    <row r="186" spans="1:16" x14ac:dyDescent="0.4">
      <c r="A186" s="5">
        <v>185</v>
      </c>
      <c r="B186" s="3" t="s">
        <v>184</v>
      </c>
      <c r="C186" s="45">
        <v>36</v>
      </c>
      <c r="D186" s="5">
        <v>35</v>
      </c>
      <c r="E186" s="5">
        <v>29</v>
      </c>
      <c r="F186" s="17">
        <f>IFERROR(E186/D186,0)</f>
        <v>0.82857142857142863</v>
      </c>
      <c r="G186" s="18">
        <f>IFERROR(C186/D186,0)</f>
        <v>1.0285714285714285</v>
      </c>
      <c r="H186" s="135" t="s">
        <v>1370</v>
      </c>
    </row>
    <row r="187" spans="1:16" x14ac:dyDescent="0.4">
      <c r="A187" s="5">
        <v>186</v>
      </c>
      <c r="B187" s="3" t="s">
        <v>185</v>
      </c>
      <c r="C187" s="45">
        <v>27</v>
      </c>
      <c r="D187" s="5">
        <v>27</v>
      </c>
      <c r="E187" s="5">
        <v>27</v>
      </c>
      <c r="F187" s="17">
        <f>IFERROR(E187/D187,0)</f>
        <v>1</v>
      </c>
      <c r="G187" s="17">
        <f>IFERROR(C187/D187,0)</f>
        <v>1</v>
      </c>
      <c r="H187" s="135"/>
    </row>
    <row r="188" spans="1:16" x14ac:dyDescent="0.4">
      <c r="A188" s="5">
        <v>187</v>
      </c>
      <c r="B188" s="3" t="s">
        <v>186</v>
      </c>
      <c r="C188" s="45">
        <v>26</v>
      </c>
      <c r="D188" s="5">
        <v>29</v>
      </c>
      <c r="E188" s="5">
        <v>26</v>
      </c>
      <c r="F188" s="17">
        <f>IFERROR(E188/D188,0)</f>
        <v>0.89655172413793105</v>
      </c>
      <c r="G188" s="17">
        <f>IFERROR(C188/D188,0)</f>
        <v>0.89655172413793105</v>
      </c>
      <c r="H188" s="135"/>
    </row>
    <row r="189" spans="1:16" x14ac:dyDescent="0.4">
      <c r="A189" s="5">
        <v>188</v>
      </c>
      <c r="B189" s="3" t="s">
        <v>187</v>
      </c>
      <c r="C189" s="45">
        <v>39</v>
      </c>
      <c r="D189" s="5">
        <v>39</v>
      </c>
      <c r="E189" s="5">
        <v>39</v>
      </c>
      <c r="F189" s="17">
        <f>IFERROR(E189/D189,0)</f>
        <v>1</v>
      </c>
      <c r="G189" s="17">
        <f>IFERROR(C189/D189,0)</f>
        <v>1</v>
      </c>
      <c r="H189" s="135"/>
    </row>
    <row r="190" spans="1:16" x14ac:dyDescent="0.4">
      <c r="A190" s="5">
        <v>189</v>
      </c>
      <c r="B190" s="3" t="s">
        <v>188</v>
      </c>
      <c r="C190" s="45">
        <v>17</v>
      </c>
      <c r="D190" s="5">
        <v>22</v>
      </c>
      <c r="E190" s="5">
        <v>20</v>
      </c>
      <c r="F190" s="17">
        <f>IFERROR(E190/D190,0)</f>
        <v>0.90909090909090906</v>
      </c>
      <c r="G190" s="19">
        <f>IFERROR(C190/D190,0)</f>
        <v>0.77272727272727271</v>
      </c>
      <c r="H190" s="136" t="s">
        <v>1370</v>
      </c>
      <c r="I190" t="s">
        <v>1079</v>
      </c>
    </row>
    <row r="191" spans="1:16" x14ac:dyDescent="0.4">
      <c r="A191" s="5">
        <v>190</v>
      </c>
      <c r="B191" s="3" t="s">
        <v>189</v>
      </c>
      <c r="C191" s="45">
        <v>34</v>
      </c>
      <c r="D191" s="5">
        <v>35</v>
      </c>
      <c r="E191" s="5">
        <v>33</v>
      </c>
      <c r="F191" s="17">
        <f>IFERROR(E191/D191,0)</f>
        <v>0.94285714285714284</v>
      </c>
      <c r="G191" s="18">
        <f>IFERROR(C191/D191,0)</f>
        <v>0.97142857142857142</v>
      </c>
      <c r="H191" s="136" t="s">
        <v>1373</v>
      </c>
    </row>
    <row r="192" spans="1:16" x14ac:dyDescent="0.4">
      <c r="A192" s="5">
        <v>191</v>
      </c>
      <c r="B192" s="3" t="s">
        <v>190</v>
      </c>
      <c r="C192" s="45">
        <v>36</v>
      </c>
      <c r="D192" s="5">
        <v>35</v>
      </c>
      <c r="E192" s="5">
        <v>35</v>
      </c>
      <c r="F192" s="17">
        <f>IFERROR(E192/D192,0)</f>
        <v>1</v>
      </c>
      <c r="G192" s="18">
        <f>IFERROR(C192/D192,0)</f>
        <v>1.0285714285714285</v>
      </c>
      <c r="H192" s="136" t="s">
        <v>1370</v>
      </c>
    </row>
    <row r="193" spans="1:9" x14ac:dyDescent="0.4">
      <c r="A193" s="5">
        <v>192</v>
      </c>
      <c r="B193" s="3" t="s">
        <v>191</v>
      </c>
      <c r="C193" s="45">
        <v>32</v>
      </c>
      <c r="D193" s="5">
        <v>38</v>
      </c>
      <c r="E193" s="5">
        <v>33</v>
      </c>
      <c r="F193" s="17">
        <f>IFERROR(E193/D193,0)</f>
        <v>0.86842105263157898</v>
      </c>
      <c r="G193" s="19">
        <f>IFERROR(C193/D193,0)</f>
        <v>0.84210526315789469</v>
      </c>
      <c r="H193" s="135" t="s">
        <v>1370</v>
      </c>
      <c r="I193" t="s">
        <v>1080</v>
      </c>
    </row>
    <row r="194" spans="1:9" x14ac:dyDescent="0.4">
      <c r="A194" s="5">
        <v>193</v>
      </c>
      <c r="B194" s="3" t="s">
        <v>192</v>
      </c>
      <c r="C194" s="45">
        <v>31</v>
      </c>
      <c r="D194" s="5">
        <v>60</v>
      </c>
      <c r="E194" s="5">
        <v>32</v>
      </c>
      <c r="F194" s="17">
        <f>IFERROR(E194/D194,0)</f>
        <v>0.53333333333333333</v>
      </c>
      <c r="G194" s="19">
        <f>IFERROR(C194/D194,0)</f>
        <v>0.51666666666666672</v>
      </c>
      <c r="H194" s="136" t="s">
        <v>1370</v>
      </c>
      <c r="I194" t="s">
        <v>1081</v>
      </c>
    </row>
    <row r="195" spans="1:9" x14ac:dyDescent="0.4">
      <c r="A195" s="5">
        <v>194</v>
      </c>
      <c r="B195" s="3" t="s">
        <v>193</v>
      </c>
      <c r="C195" s="45">
        <v>39</v>
      </c>
      <c r="D195" s="5">
        <v>42</v>
      </c>
      <c r="E195" s="5">
        <v>39</v>
      </c>
      <c r="F195" s="17">
        <f>IFERROR(E195/D195,0)</f>
        <v>0.9285714285714286</v>
      </c>
      <c r="G195" s="17">
        <f>IFERROR(C195/D195,0)</f>
        <v>0.9285714285714286</v>
      </c>
      <c r="H195" s="135"/>
    </row>
    <row r="196" spans="1:9" x14ac:dyDescent="0.4">
      <c r="A196" s="5">
        <v>195</v>
      </c>
      <c r="B196" s="3" t="s">
        <v>194</v>
      </c>
      <c r="C196" s="45">
        <v>38</v>
      </c>
      <c r="D196" s="5">
        <v>40</v>
      </c>
      <c r="E196" s="5">
        <v>38</v>
      </c>
      <c r="F196" s="17">
        <f>IFERROR(E196/D196,0)</f>
        <v>0.95</v>
      </c>
      <c r="G196" s="17">
        <f>IFERROR(C196/D196,0)</f>
        <v>0.95</v>
      </c>
      <c r="H196" s="135"/>
    </row>
    <row r="197" spans="1:9" x14ac:dyDescent="0.4">
      <c r="A197" s="5">
        <v>196</v>
      </c>
      <c r="B197" s="3" t="s">
        <v>195</v>
      </c>
      <c r="C197" s="45">
        <v>36</v>
      </c>
      <c r="D197" s="5">
        <v>39</v>
      </c>
      <c r="E197" s="5">
        <v>35</v>
      </c>
      <c r="F197" s="17">
        <f>IFERROR(E197/D197,0)</f>
        <v>0.89743589743589747</v>
      </c>
      <c r="G197" s="18">
        <f>IFERROR(C197/D197,0)</f>
        <v>0.92307692307692313</v>
      </c>
      <c r="H197" s="136" t="s">
        <v>1370</v>
      </c>
    </row>
    <row r="198" spans="1:9" x14ac:dyDescent="0.4">
      <c r="A198" s="5">
        <v>197</v>
      </c>
      <c r="B198" s="3" t="s">
        <v>196</v>
      </c>
      <c r="C198" s="45">
        <v>34</v>
      </c>
      <c r="D198" s="5">
        <v>34</v>
      </c>
      <c r="E198" s="5">
        <v>34</v>
      </c>
      <c r="F198" s="17">
        <f>IFERROR(E198/D198,0)</f>
        <v>1</v>
      </c>
      <c r="G198" s="17">
        <f>IFERROR(C198/D198,0)</f>
        <v>1</v>
      </c>
      <c r="H198" s="135"/>
    </row>
    <row r="199" spans="1:9" x14ac:dyDescent="0.4">
      <c r="A199" s="5">
        <v>198</v>
      </c>
      <c r="B199" s="3" t="s">
        <v>197</v>
      </c>
      <c r="C199" s="45">
        <v>23</v>
      </c>
      <c r="D199" s="5">
        <v>23</v>
      </c>
      <c r="E199" s="5">
        <v>23</v>
      </c>
      <c r="F199" s="17">
        <f>IFERROR(E199/D199,0)</f>
        <v>1</v>
      </c>
      <c r="G199" s="17">
        <f>IFERROR(C199/D199,0)</f>
        <v>1</v>
      </c>
      <c r="H199" s="135"/>
    </row>
    <row r="200" spans="1:9" x14ac:dyDescent="0.4">
      <c r="A200" s="5">
        <v>199</v>
      </c>
      <c r="B200" s="3" t="s">
        <v>198</v>
      </c>
      <c r="C200" s="45">
        <v>23</v>
      </c>
      <c r="D200" s="5">
        <v>33</v>
      </c>
      <c r="E200" s="5">
        <v>23</v>
      </c>
      <c r="F200" s="17">
        <f>IFERROR(E200/D200,0)</f>
        <v>0.69696969696969702</v>
      </c>
      <c r="G200" s="17">
        <f>IFERROR(C200/D200,0)</f>
        <v>0.69696969696969702</v>
      </c>
      <c r="H200" s="135"/>
    </row>
    <row r="201" spans="1:9" x14ac:dyDescent="0.4">
      <c r="A201" s="5">
        <v>200</v>
      </c>
      <c r="B201" s="3" t="s">
        <v>200</v>
      </c>
      <c r="C201" s="45">
        <v>8</v>
      </c>
      <c r="D201" s="5">
        <v>8</v>
      </c>
      <c r="E201" s="5">
        <v>8</v>
      </c>
      <c r="F201" s="17">
        <f>IFERROR(E201/D201,0)</f>
        <v>1</v>
      </c>
      <c r="G201" s="17">
        <f>IFERROR(C201/D201,0)</f>
        <v>1</v>
      </c>
      <c r="H201" s="136"/>
    </row>
    <row r="202" spans="1:9" x14ac:dyDescent="0.4">
      <c r="A202" s="5">
        <v>201</v>
      </c>
      <c r="B202" s="3" t="s">
        <v>201</v>
      </c>
      <c r="C202" s="45">
        <v>43</v>
      </c>
      <c r="D202" s="5">
        <v>43</v>
      </c>
      <c r="E202" s="5">
        <v>43</v>
      </c>
      <c r="F202" s="17">
        <f>IFERROR(E202/D202,0)</f>
        <v>1</v>
      </c>
      <c r="G202" s="17">
        <f>IFERROR(C202/D202,0)</f>
        <v>1</v>
      </c>
      <c r="H202" s="135"/>
    </row>
    <row r="203" spans="1:9" x14ac:dyDescent="0.4">
      <c r="A203" s="5">
        <v>202</v>
      </c>
      <c r="B203" s="3" t="s">
        <v>202</v>
      </c>
      <c r="C203" s="45">
        <v>34</v>
      </c>
      <c r="D203" s="5">
        <v>34</v>
      </c>
      <c r="E203" s="5">
        <v>34</v>
      </c>
      <c r="F203" s="17">
        <f>IFERROR(E203/D203,0)</f>
        <v>1</v>
      </c>
      <c r="G203" s="17">
        <f>IFERROR(C203/D203,0)</f>
        <v>1</v>
      </c>
      <c r="H203" s="136"/>
    </row>
    <row r="204" spans="1:9" x14ac:dyDescent="0.4">
      <c r="A204" s="5">
        <v>203</v>
      </c>
      <c r="B204" s="3" t="s">
        <v>203</v>
      </c>
      <c r="C204" s="45">
        <v>36</v>
      </c>
      <c r="D204" s="5">
        <v>33</v>
      </c>
      <c r="E204" s="5">
        <v>33</v>
      </c>
      <c r="F204" s="17">
        <f>IFERROR(E204/D204,0)</f>
        <v>1</v>
      </c>
      <c r="G204" s="18">
        <f>IFERROR(C204/D204,0)</f>
        <v>1.0909090909090908</v>
      </c>
      <c r="H204" s="136" t="s">
        <v>1370</v>
      </c>
    </row>
    <row r="205" spans="1:9" x14ac:dyDescent="0.4">
      <c r="A205" s="5">
        <v>204</v>
      </c>
      <c r="B205" s="3" t="s">
        <v>204</v>
      </c>
      <c r="C205" s="45">
        <v>30</v>
      </c>
      <c r="D205" s="5">
        <v>36</v>
      </c>
      <c r="E205" s="5">
        <v>30</v>
      </c>
      <c r="F205" s="17">
        <f>IFERROR(E205/D205,0)</f>
        <v>0.83333333333333337</v>
      </c>
      <c r="G205" s="17">
        <f>IFERROR(C205/D205,0)</f>
        <v>0.83333333333333337</v>
      </c>
      <c r="H205" s="135"/>
    </row>
    <row r="206" spans="1:9" x14ac:dyDescent="0.4">
      <c r="A206" s="5">
        <v>205</v>
      </c>
      <c r="B206" s="3" t="s">
        <v>216</v>
      </c>
      <c r="C206" s="45">
        <v>37</v>
      </c>
      <c r="D206" s="68">
        <f>VLOOKUP(B206,'[2]1-1)갱신주기 미준수기관'!B$6:BK$248,62,FALSE)</f>
        <v>36</v>
      </c>
      <c r="E206" s="5">
        <v>36</v>
      </c>
      <c r="F206" s="17">
        <f>IFERROR(E206/D206,0)</f>
        <v>1</v>
      </c>
      <c r="G206" s="18">
        <f>IFERROR(C206/D206,0)</f>
        <v>1.0277777777777777</v>
      </c>
      <c r="H206" s="136" t="s">
        <v>1370</v>
      </c>
      <c r="I206" s="5" t="s">
        <v>1330</v>
      </c>
    </row>
    <row r="207" spans="1:9" x14ac:dyDescent="0.4">
      <c r="A207" s="5">
        <v>206</v>
      </c>
      <c r="B207" s="3" t="s">
        <v>217</v>
      </c>
      <c r="C207" s="45">
        <v>35</v>
      </c>
      <c r="D207" s="68">
        <f>VLOOKUP(B207,'[2]1-1)갱신주기 미준수기관'!B$6:BK$248,62,FALSE)</f>
        <v>33</v>
      </c>
      <c r="E207" s="5">
        <v>33</v>
      </c>
      <c r="F207" s="17">
        <f>IFERROR(E207/D207,0)</f>
        <v>1</v>
      </c>
      <c r="G207" s="18">
        <f>IFERROR(C207/D207,0)</f>
        <v>1.0606060606060606</v>
      </c>
      <c r="H207" s="136" t="s">
        <v>1370</v>
      </c>
      <c r="I207" s="5" t="s">
        <v>1330</v>
      </c>
    </row>
    <row r="208" spans="1:9" x14ac:dyDescent="0.4">
      <c r="A208" s="5">
        <v>207</v>
      </c>
      <c r="B208" s="3" t="s">
        <v>205</v>
      </c>
      <c r="C208" s="45">
        <v>33</v>
      </c>
      <c r="D208" s="5">
        <v>37</v>
      </c>
      <c r="E208" s="5">
        <v>33</v>
      </c>
      <c r="F208" s="17">
        <f>IFERROR(E208/D208,0)</f>
        <v>0.89189189189189189</v>
      </c>
      <c r="G208" s="17">
        <f>IFERROR(C208/D208,0)</f>
        <v>0.89189189189189189</v>
      </c>
      <c r="H208" s="135"/>
    </row>
    <row r="209" spans="1:9" x14ac:dyDescent="0.4">
      <c r="A209" s="5">
        <v>208</v>
      </c>
      <c r="B209" s="3" t="s">
        <v>218</v>
      </c>
      <c r="C209" s="45">
        <v>40</v>
      </c>
      <c r="D209" s="68">
        <f>VLOOKUP(B209,'[2]1-1)갱신주기 미준수기관'!B$6:BK$248,62,FALSE)</f>
        <v>39</v>
      </c>
      <c r="E209" s="5">
        <v>39</v>
      </c>
      <c r="F209" s="17">
        <f>IFERROR(E209/D209,0)</f>
        <v>1</v>
      </c>
      <c r="G209" s="18">
        <f>IFERROR(C209/D209,0)</f>
        <v>1.0256410256410255</v>
      </c>
      <c r="H209" s="136" t="s">
        <v>1370</v>
      </c>
      <c r="I209" s="5" t="s">
        <v>1330</v>
      </c>
    </row>
    <row r="210" spans="1:9" x14ac:dyDescent="0.4">
      <c r="A210" s="5">
        <v>209</v>
      </c>
      <c r="B210" s="3" t="s">
        <v>206</v>
      </c>
      <c r="C210" s="45">
        <v>36</v>
      </c>
      <c r="D210" s="5">
        <v>38</v>
      </c>
      <c r="E210" s="5">
        <v>38</v>
      </c>
      <c r="F210" s="17">
        <f>IFERROR(E210/D210,0)</f>
        <v>1</v>
      </c>
      <c r="G210" s="19">
        <f>IFERROR(C210/D210,0)</f>
        <v>0.94736842105263153</v>
      </c>
      <c r="H210" s="135" t="s">
        <v>1370</v>
      </c>
      <c r="I210" t="s">
        <v>1083</v>
      </c>
    </row>
    <row r="211" spans="1:9" x14ac:dyDescent="0.4">
      <c r="A211" s="5">
        <v>210</v>
      </c>
      <c r="B211" s="3" t="s">
        <v>207</v>
      </c>
      <c r="C211" s="45">
        <v>32</v>
      </c>
      <c r="D211" s="5">
        <v>32</v>
      </c>
      <c r="E211" s="5">
        <v>32</v>
      </c>
      <c r="F211" s="17">
        <f>IFERROR(E211/D211,0)</f>
        <v>1</v>
      </c>
      <c r="G211" s="17">
        <f>IFERROR(C211/D211,0)</f>
        <v>1</v>
      </c>
      <c r="H211" s="136"/>
    </row>
    <row r="212" spans="1:9" x14ac:dyDescent="0.4">
      <c r="A212" s="5">
        <v>211</v>
      </c>
      <c r="B212" s="3" t="s">
        <v>208</v>
      </c>
      <c r="C212" s="45">
        <v>26</v>
      </c>
      <c r="D212" s="5">
        <v>27</v>
      </c>
      <c r="E212" s="5">
        <v>26</v>
      </c>
      <c r="F212" s="17">
        <f>IFERROR(E212/D212,0)</f>
        <v>0.96296296296296291</v>
      </c>
      <c r="G212" s="17">
        <f>IFERROR(C212/D212,0)</f>
        <v>0.96296296296296291</v>
      </c>
      <c r="H212" s="135"/>
    </row>
    <row r="213" spans="1:9" x14ac:dyDescent="0.4">
      <c r="A213" s="5">
        <v>212</v>
      </c>
      <c r="B213" s="3" t="s">
        <v>209</v>
      </c>
      <c r="C213" s="45">
        <v>30</v>
      </c>
      <c r="D213" s="5">
        <v>38</v>
      </c>
      <c r="E213" s="5">
        <v>30</v>
      </c>
      <c r="F213" s="17">
        <f>IFERROR(E213/D213,0)</f>
        <v>0.78947368421052633</v>
      </c>
      <c r="G213" s="17">
        <f>IFERROR(C213/D213,0)</f>
        <v>0.78947368421052633</v>
      </c>
      <c r="H213" s="135"/>
    </row>
    <row r="214" spans="1:9" x14ac:dyDescent="0.4">
      <c r="A214" s="5">
        <v>213</v>
      </c>
      <c r="B214" s="3" t="s">
        <v>210</v>
      </c>
      <c r="C214" s="45">
        <v>27</v>
      </c>
      <c r="D214" s="5">
        <v>27</v>
      </c>
      <c r="E214" s="5">
        <v>27</v>
      </c>
      <c r="F214" s="17">
        <f>IFERROR(E214/D214,0)</f>
        <v>1</v>
      </c>
      <c r="G214" s="17">
        <f>IFERROR(C214/D214,0)</f>
        <v>1</v>
      </c>
      <c r="H214" s="135"/>
    </row>
    <row r="215" spans="1:9" x14ac:dyDescent="0.4">
      <c r="A215" s="5">
        <v>214</v>
      </c>
      <c r="B215" s="3" t="s">
        <v>211</v>
      </c>
      <c r="C215" s="45">
        <v>25</v>
      </c>
      <c r="D215" s="5">
        <v>25</v>
      </c>
      <c r="E215" s="5">
        <v>25</v>
      </c>
      <c r="F215" s="17">
        <f>IFERROR(E215/D215,0)</f>
        <v>1</v>
      </c>
      <c r="G215" s="17">
        <f>IFERROR(C215/D215,0)</f>
        <v>1</v>
      </c>
      <c r="H215" s="135"/>
    </row>
    <row r="216" spans="1:9" x14ac:dyDescent="0.4">
      <c r="A216" s="5">
        <v>215</v>
      </c>
      <c r="B216" s="3" t="s">
        <v>219</v>
      </c>
      <c r="C216" s="45">
        <v>34</v>
      </c>
      <c r="D216" s="68">
        <f>VLOOKUP(B216,'[2]1-1)갱신주기 미준수기관'!B$6:BK$248,62,FALSE)</f>
        <v>35</v>
      </c>
      <c r="E216" s="5">
        <v>35</v>
      </c>
      <c r="F216" s="17">
        <f>IFERROR(E216/D216,0)</f>
        <v>1</v>
      </c>
      <c r="G216" s="19">
        <f>IFERROR(C216/D216,0)</f>
        <v>0.97142857142857142</v>
      </c>
      <c r="H216" s="135" t="s">
        <v>1369</v>
      </c>
      <c r="I216" s="5" t="s">
        <v>1330</v>
      </c>
    </row>
    <row r="217" spans="1:9" x14ac:dyDescent="0.4">
      <c r="A217" s="5">
        <v>216</v>
      </c>
      <c r="B217" s="3" t="s">
        <v>214</v>
      </c>
      <c r="C217" s="45">
        <v>32</v>
      </c>
      <c r="D217" s="5">
        <v>34</v>
      </c>
      <c r="E217" s="5">
        <v>30</v>
      </c>
      <c r="F217" s="17">
        <f>IFERROR(E217/D217,0)</f>
        <v>0.88235294117647056</v>
      </c>
      <c r="G217" s="18">
        <f>IFERROR(C217/D217,0)</f>
        <v>0.94117647058823528</v>
      </c>
      <c r="H217" s="135" t="s">
        <v>1370</v>
      </c>
    </row>
    <row r="218" spans="1:9" x14ac:dyDescent="0.4">
      <c r="A218" s="5">
        <v>217</v>
      </c>
      <c r="B218" s="3" t="s">
        <v>220</v>
      </c>
      <c r="C218" s="45">
        <v>23</v>
      </c>
      <c r="D218" s="68">
        <f>VLOOKUP(B218,'[2]1-1)갱신주기 미준수기관'!B$6:BK$248,62,FALSE)</f>
        <v>21</v>
      </c>
      <c r="E218" s="5">
        <v>21</v>
      </c>
      <c r="F218" s="17">
        <f>IFERROR(E218/D218,0)</f>
        <v>1</v>
      </c>
      <c r="G218" s="18">
        <f>IFERROR(C218/D218,0)</f>
        <v>1.0952380952380953</v>
      </c>
      <c r="H218" s="135" t="s">
        <v>1370</v>
      </c>
      <c r="I218" s="5" t="s">
        <v>1330</v>
      </c>
    </row>
    <row r="219" spans="1:9" x14ac:dyDescent="0.4">
      <c r="A219" s="5">
        <v>218</v>
      </c>
      <c r="B219" s="3" t="s">
        <v>221</v>
      </c>
      <c r="C219" s="45">
        <v>29</v>
      </c>
      <c r="D219" s="68">
        <f>VLOOKUP(B219,'[2]1-1)갱신주기 미준수기관'!B$6:BK$248,62,FALSE)</f>
        <v>23</v>
      </c>
      <c r="E219" s="5">
        <v>23</v>
      </c>
      <c r="F219" s="17">
        <f>IFERROR(E219/D219,0)</f>
        <v>1</v>
      </c>
      <c r="G219" s="18">
        <f>IFERROR(C219/D219,0)</f>
        <v>1.2608695652173914</v>
      </c>
      <c r="H219" s="135" t="s">
        <v>1370</v>
      </c>
      <c r="I219" s="5" t="s">
        <v>1330</v>
      </c>
    </row>
    <row r="220" spans="1:9" x14ac:dyDescent="0.4">
      <c r="A220" s="5">
        <v>219</v>
      </c>
      <c r="B220" s="3" t="s">
        <v>213</v>
      </c>
      <c r="C220" s="45">
        <v>31</v>
      </c>
      <c r="D220" s="5">
        <v>28</v>
      </c>
      <c r="E220" s="5">
        <v>28</v>
      </c>
      <c r="F220" s="17">
        <f>IFERROR(E220/D220,0)</f>
        <v>1</v>
      </c>
      <c r="G220" s="18">
        <f>IFERROR(C220/D220,0)</f>
        <v>1.1071428571428572</v>
      </c>
      <c r="H220" s="135" t="s">
        <v>1369</v>
      </c>
    </row>
    <row r="221" spans="1:9" x14ac:dyDescent="0.4">
      <c r="A221" s="5">
        <v>220</v>
      </c>
      <c r="B221" s="3" t="s">
        <v>212</v>
      </c>
      <c r="C221" s="45">
        <v>28</v>
      </c>
      <c r="D221" s="5">
        <v>28</v>
      </c>
      <c r="E221" s="5">
        <v>27</v>
      </c>
      <c r="F221" s="17">
        <f>IFERROR(E221/D221,0)</f>
        <v>0.9642857142857143</v>
      </c>
      <c r="G221" s="18">
        <f>IFERROR(C221/D221,0)</f>
        <v>1</v>
      </c>
      <c r="H221" s="135" t="s">
        <v>1370</v>
      </c>
    </row>
    <row r="222" spans="1:9" x14ac:dyDescent="0.4">
      <c r="A222" s="5">
        <v>221</v>
      </c>
      <c r="B222" s="3" t="s">
        <v>222</v>
      </c>
      <c r="C222" s="45">
        <v>28</v>
      </c>
      <c r="D222" s="68">
        <f>VLOOKUP(B222,'[2]1-1)갱신주기 미준수기관'!B$6:BK$248,62,FALSE)</f>
        <v>27</v>
      </c>
      <c r="E222" s="5">
        <v>27</v>
      </c>
      <c r="F222" s="17">
        <f>IFERROR(E222/D222,0)</f>
        <v>1</v>
      </c>
      <c r="G222" s="18">
        <f>IFERROR(C222/D222,0)</f>
        <v>1.037037037037037</v>
      </c>
      <c r="H222" s="135" t="s">
        <v>253</v>
      </c>
      <c r="I222" s="5" t="s">
        <v>1330</v>
      </c>
    </row>
    <row r="223" spans="1:9" x14ac:dyDescent="0.4">
      <c r="A223" s="5">
        <v>222</v>
      </c>
      <c r="B223" s="3" t="s">
        <v>223</v>
      </c>
      <c r="C223" s="45">
        <v>33</v>
      </c>
      <c r="D223" s="5">
        <v>31</v>
      </c>
      <c r="E223" s="5">
        <v>31</v>
      </c>
      <c r="F223" s="17">
        <f>IFERROR(E223/D223,0)</f>
        <v>1</v>
      </c>
      <c r="G223" s="18">
        <f>IFERROR(C223/D223,0)</f>
        <v>1.064516129032258</v>
      </c>
      <c r="H223" s="135" t="s">
        <v>1369</v>
      </c>
    </row>
    <row r="224" spans="1:9" x14ac:dyDescent="0.4">
      <c r="A224" s="5">
        <v>223</v>
      </c>
      <c r="B224" s="3" t="s">
        <v>215</v>
      </c>
      <c r="C224" s="45">
        <v>17</v>
      </c>
      <c r="D224" s="5">
        <v>13</v>
      </c>
      <c r="E224" s="5">
        <v>13</v>
      </c>
      <c r="F224" s="17">
        <f>IFERROR(E224/D224,0)</f>
        <v>1</v>
      </c>
      <c r="G224" s="18">
        <f>IFERROR(C224/D224,0)</f>
        <v>1.3076923076923077</v>
      </c>
      <c r="H224" s="135" t="s">
        <v>1369</v>
      </c>
    </row>
    <row r="225" spans="1:9" x14ac:dyDescent="0.4">
      <c r="A225" s="5">
        <v>224</v>
      </c>
      <c r="B225" s="3" t="s">
        <v>224</v>
      </c>
      <c r="C225" s="45">
        <v>13</v>
      </c>
      <c r="D225" s="5">
        <v>14</v>
      </c>
      <c r="E225" s="5">
        <v>12</v>
      </c>
      <c r="F225" s="17">
        <f>IFERROR(E225/D225,0)</f>
        <v>0.8571428571428571</v>
      </c>
      <c r="G225" s="18">
        <f>IFERROR(C225/D225,0)</f>
        <v>0.9285714285714286</v>
      </c>
      <c r="H225" s="135" t="s">
        <v>1370</v>
      </c>
    </row>
    <row r="226" spans="1:9" x14ac:dyDescent="0.4">
      <c r="A226" s="5">
        <v>225</v>
      </c>
      <c r="B226" s="3" t="s">
        <v>225</v>
      </c>
      <c r="C226" s="45">
        <v>44</v>
      </c>
      <c r="D226" s="5">
        <v>44</v>
      </c>
      <c r="E226" s="5">
        <v>44</v>
      </c>
      <c r="F226" s="17">
        <f>IFERROR(E226/D226,0)</f>
        <v>1</v>
      </c>
      <c r="G226" s="17">
        <f>IFERROR(C226/D226,0)</f>
        <v>1</v>
      </c>
      <c r="H226" s="135"/>
    </row>
    <row r="227" spans="1:9" x14ac:dyDescent="0.4">
      <c r="A227" s="5">
        <v>226</v>
      </c>
      <c r="B227" s="3" t="s">
        <v>226</v>
      </c>
      <c r="C227" s="45">
        <v>36</v>
      </c>
      <c r="D227" s="5">
        <v>36</v>
      </c>
      <c r="E227" s="5">
        <v>36</v>
      </c>
      <c r="F227" s="17">
        <f>IFERROR(E227/D227,0)</f>
        <v>1</v>
      </c>
      <c r="G227" s="17">
        <f>IFERROR(C227/D227,0)</f>
        <v>1</v>
      </c>
      <c r="H227" s="135"/>
    </row>
    <row r="228" spans="1:9" x14ac:dyDescent="0.4">
      <c r="A228" s="5">
        <v>227</v>
      </c>
      <c r="B228" s="3" t="s">
        <v>227</v>
      </c>
      <c r="C228" s="45">
        <v>33</v>
      </c>
      <c r="D228" s="5">
        <v>35</v>
      </c>
      <c r="E228" s="5">
        <v>35</v>
      </c>
      <c r="F228" s="17">
        <f>IFERROR(E228/D228,0)</f>
        <v>1</v>
      </c>
      <c r="G228" s="19">
        <f>IFERROR(C228/D228,0)</f>
        <v>0.94285714285714284</v>
      </c>
      <c r="H228" s="135" t="s">
        <v>1370</v>
      </c>
      <c r="I228" t="s">
        <v>1085</v>
      </c>
    </row>
    <row r="229" spans="1:9" x14ac:dyDescent="0.4">
      <c r="A229" s="5">
        <v>228</v>
      </c>
      <c r="B229" s="3" t="s">
        <v>228</v>
      </c>
      <c r="C229" s="45">
        <v>33</v>
      </c>
      <c r="D229" s="5">
        <v>33</v>
      </c>
      <c r="E229" s="5">
        <v>33</v>
      </c>
      <c r="F229" s="17">
        <f>IFERROR(E229/D229,0)</f>
        <v>1</v>
      </c>
      <c r="G229" s="17">
        <f>IFERROR(C229/D229,0)</f>
        <v>1</v>
      </c>
      <c r="H229" s="135"/>
    </row>
    <row r="230" spans="1:9" x14ac:dyDescent="0.4">
      <c r="A230" s="5">
        <v>229</v>
      </c>
      <c r="B230" s="3" t="s">
        <v>229</v>
      </c>
      <c r="C230" s="45">
        <v>44</v>
      </c>
      <c r="D230" s="5">
        <v>46</v>
      </c>
      <c r="E230" s="5">
        <v>43</v>
      </c>
      <c r="F230" s="17">
        <f>IFERROR(E230/D230,0)</f>
        <v>0.93478260869565222</v>
      </c>
      <c r="G230" s="18">
        <f>IFERROR(C230/D230,0)</f>
        <v>0.95652173913043481</v>
      </c>
      <c r="H230" s="135" t="s">
        <v>1370</v>
      </c>
    </row>
    <row r="231" spans="1:9" x14ac:dyDescent="0.4">
      <c r="A231" s="5">
        <v>230</v>
      </c>
      <c r="B231" s="3" t="s">
        <v>230</v>
      </c>
      <c r="C231" s="45">
        <v>33</v>
      </c>
      <c r="D231" s="5">
        <v>34</v>
      </c>
      <c r="E231" s="5">
        <v>34</v>
      </c>
      <c r="F231" s="17">
        <f>IFERROR(E231/D231,0)</f>
        <v>1</v>
      </c>
      <c r="G231" s="19">
        <f>IFERROR(C231/D231,0)</f>
        <v>0.97058823529411764</v>
      </c>
      <c r="H231" s="136" t="s">
        <v>1370</v>
      </c>
      <c r="I231" t="s">
        <v>1084</v>
      </c>
    </row>
    <row r="232" spans="1:9" x14ac:dyDescent="0.4">
      <c r="A232" s="5">
        <v>231</v>
      </c>
      <c r="B232" s="3" t="s">
        <v>231</v>
      </c>
      <c r="C232" s="45">
        <v>41</v>
      </c>
      <c r="D232" s="5">
        <v>43</v>
      </c>
      <c r="E232" s="5">
        <v>41</v>
      </c>
      <c r="F232" s="17">
        <f>IFERROR(E232/D232,0)</f>
        <v>0.95348837209302328</v>
      </c>
      <c r="G232" s="17">
        <f>IFERROR(C232/D232,0)</f>
        <v>0.95348837209302328</v>
      </c>
      <c r="H232" s="135"/>
    </row>
    <row r="233" spans="1:9" x14ac:dyDescent="0.4">
      <c r="A233" s="5">
        <v>232</v>
      </c>
      <c r="B233" s="3" t="s">
        <v>232</v>
      </c>
      <c r="C233" s="45">
        <v>44</v>
      </c>
      <c r="D233" s="5">
        <v>44</v>
      </c>
      <c r="E233" s="5">
        <v>44</v>
      </c>
      <c r="F233" s="17">
        <f>IFERROR(E233/D233,0)</f>
        <v>1</v>
      </c>
      <c r="G233" s="17">
        <f>IFERROR(C233/D233,0)</f>
        <v>1</v>
      </c>
      <c r="H233" s="135"/>
    </row>
    <row r="234" spans="1:9" x14ac:dyDescent="0.4">
      <c r="A234" s="5">
        <v>233</v>
      </c>
      <c r="B234" s="3" t="s">
        <v>233</v>
      </c>
      <c r="C234" s="45">
        <v>33</v>
      </c>
      <c r="D234" s="5">
        <v>40</v>
      </c>
      <c r="E234" s="5">
        <v>33</v>
      </c>
      <c r="F234" s="17">
        <f>IFERROR(E234/D234,0)</f>
        <v>0.82499999999999996</v>
      </c>
      <c r="G234" s="17">
        <f>IFERROR(C234/D234,0)</f>
        <v>0.82499999999999996</v>
      </c>
      <c r="H234" s="136"/>
    </row>
    <row r="235" spans="1:9" x14ac:dyDescent="0.4">
      <c r="A235" s="5">
        <v>234</v>
      </c>
      <c r="B235" s="3" t="s">
        <v>243</v>
      </c>
      <c r="C235" s="45">
        <v>21</v>
      </c>
      <c r="D235" s="68">
        <f>VLOOKUP(B235,'[2]1-1)갱신주기 미준수기관'!B$6:BK$248,62,FALSE)</f>
        <v>21</v>
      </c>
      <c r="E235" s="5">
        <v>21</v>
      </c>
      <c r="F235" s="17">
        <f>IFERROR(E235/D235,0)</f>
        <v>1</v>
      </c>
      <c r="G235" s="17">
        <f>IFERROR(C235/D235,0)</f>
        <v>1</v>
      </c>
      <c r="H235" s="135"/>
      <c r="I235" s="5" t="s">
        <v>1330</v>
      </c>
    </row>
    <row r="236" spans="1:9" x14ac:dyDescent="0.4">
      <c r="A236" s="5">
        <v>235</v>
      </c>
      <c r="B236" s="3" t="s">
        <v>234</v>
      </c>
      <c r="C236" s="45">
        <v>31</v>
      </c>
      <c r="D236" s="5">
        <v>44</v>
      </c>
      <c r="E236" s="5">
        <v>35</v>
      </c>
      <c r="F236" s="17">
        <f>IFERROR(E236/D236,0)</f>
        <v>0.79545454545454541</v>
      </c>
      <c r="G236" s="19">
        <f>IFERROR(C236/D236,0)</f>
        <v>0.70454545454545459</v>
      </c>
      <c r="H236" s="136" t="s">
        <v>1370</v>
      </c>
      <c r="I236" t="s">
        <v>1086</v>
      </c>
    </row>
    <row r="237" spans="1:9" x14ac:dyDescent="0.4">
      <c r="A237" s="5">
        <v>236</v>
      </c>
      <c r="B237" s="3" t="s">
        <v>235</v>
      </c>
      <c r="C237" s="45">
        <v>25</v>
      </c>
      <c r="D237" s="5">
        <v>25</v>
      </c>
      <c r="E237" s="5">
        <v>25</v>
      </c>
      <c r="F237" s="17">
        <f>IFERROR(E237/D237,0)</f>
        <v>1</v>
      </c>
      <c r="G237" s="17">
        <f>IFERROR(C237/D237,0)</f>
        <v>1</v>
      </c>
      <c r="H237" s="135"/>
    </row>
    <row r="238" spans="1:9" x14ac:dyDescent="0.4">
      <c r="A238" s="5">
        <v>237</v>
      </c>
      <c r="B238" s="3" t="s">
        <v>236</v>
      </c>
      <c r="C238" s="45">
        <v>41</v>
      </c>
      <c r="D238" s="5">
        <v>42</v>
      </c>
      <c r="E238" s="5">
        <v>39</v>
      </c>
      <c r="F238" s="17">
        <f>IFERROR(E238/D238,0)</f>
        <v>0.9285714285714286</v>
      </c>
      <c r="G238" s="18">
        <f>IFERROR(C238/D238,0)</f>
        <v>0.97619047619047616</v>
      </c>
      <c r="H238" s="135" t="s">
        <v>1370</v>
      </c>
    </row>
    <row r="239" spans="1:9" x14ac:dyDescent="0.4">
      <c r="A239" s="5">
        <v>238</v>
      </c>
      <c r="B239" s="3" t="s">
        <v>237</v>
      </c>
      <c r="C239" s="45">
        <v>24</v>
      </c>
      <c r="D239" s="5">
        <v>45</v>
      </c>
      <c r="E239" s="5">
        <v>20</v>
      </c>
      <c r="F239" s="17">
        <f>IFERROR(E239/D239,0)</f>
        <v>0.44444444444444442</v>
      </c>
      <c r="G239" s="18">
        <f>IFERROR(C239/D239,0)</f>
        <v>0.53333333333333333</v>
      </c>
      <c r="H239" s="135" t="s">
        <v>1370</v>
      </c>
    </row>
    <row r="240" spans="1:9" x14ac:dyDescent="0.4">
      <c r="A240" s="5">
        <v>239</v>
      </c>
      <c r="B240" s="3" t="s">
        <v>238</v>
      </c>
      <c r="C240" s="45">
        <v>30</v>
      </c>
      <c r="D240" s="5">
        <v>35</v>
      </c>
      <c r="E240" s="5">
        <v>31</v>
      </c>
      <c r="F240" s="17">
        <f>IFERROR(E240/D240,0)</f>
        <v>0.88571428571428568</v>
      </c>
      <c r="G240" s="19">
        <f>IFERROR(C240/D240,0)</f>
        <v>0.8571428571428571</v>
      </c>
      <c r="H240" s="135" t="s">
        <v>1370</v>
      </c>
      <c r="I240" t="s">
        <v>1087</v>
      </c>
    </row>
    <row r="241" spans="1:8" x14ac:dyDescent="0.4">
      <c r="A241" s="5">
        <v>240</v>
      </c>
      <c r="B241" s="3" t="s">
        <v>239</v>
      </c>
      <c r="C241" s="45">
        <v>28</v>
      </c>
      <c r="D241" s="5">
        <v>37</v>
      </c>
      <c r="E241" s="5">
        <v>28</v>
      </c>
      <c r="F241" s="17">
        <f>IFERROR(E241/D241,0)</f>
        <v>0.7567567567567568</v>
      </c>
      <c r="G241" s="17">
        <f>IFERROR(C241/D241,0)</f>
        <v>0.7567567567567568</v>
      </c>
      <c r="H241" s="135"/>
    </row>
    <row r="242" spans="1:8" x14ac:dyDescent="0.4">
      <c r="A242" s="5">
        <v>241</v>
      </c>
      <c r="B242" s="3" t="s">
        <v>240</v>
      </c>
      <c r="C242" s="45">
        <v>34</v>
      </c>
      <c r="D242" s="5">
        <v>36</v>
      </c>
      <c r="E242" s="5">
        <v>34</v>
      </c>
      <c r="F242" s="17">
        <f>IFERROR(E242/D242,0)</f>
        <v>0.94444444444444442</v>
      </c>
      <c r="G242" s="17">
        <f>IFERROR(C242/D242,0)</f>
        <v>0.94444444444444442</v>
      </c>
      <c r="H242" s="135"/>
    </row>
    <row r="243" spans="1:8" x14ac:dyDescent="0.4">
      <c r="A243" s="5">
        <v>242</v>
      </c>
      <c r="B243" s="3" t="s">
        <v>241</v>
      </c>
      <c r="C243" s="45">
        <v>39</v>
      </c>
      <c r="D243" s="5">
        <v>39</v>
      </c>
      <c r="E243" s="5">
        <v>39</v>
      </c>
      <c r="F243" s="17">
        <f>IFERROR(E243/D243,0)</f>
        <v>1</v>
      </c>
      <c r="G243" s="17">
        <f>IFERROR(C243/D243,0)</f>
        <v>1</v>
      </c>
      <c r="H243" s="135"/>
    </row>
    <row r="244" spans="1:8" x14ac:dyDescent="0.4">
      <c r="A244" s="5">
        <v>243</v>
      </c>
      <c r="B244" s="3" t="s">
        <v>242</v>
      </c>
      <c r="C244" s="45">
        <v>21</v>
      </c>
      <c r="D244" s="5">
        <v>23</v>
      </c>
      <c r="E244" s="5">
        <v>21</v>
      </c>
      <c r="F244" s="17">
        <f>IFERROR(E244/D244,0)</f>
        <v>0.91304347826086951</v>
      </c>
      <c r="G244" s="17">
        <f>IFERROR(C244/D244,0)</f>
        <v>0.91304347826086951</v>
      </c>
      <c r="H244" s="135"/>
    </row>
    <row r="245" spans="1:8" x14ac:dyDescent="0.4">
      <c r="A245" s="5">
        <v>244</v>
      </c>
      <c r="B245" s="3" t="s">
        <v>244</v>
      </c>
      <c r="C245" s="45">
        <v>24</v>
      </c>
      <c r="D245" s="5">
        <v>0</v>
      </c>
      <c r="E245" s="5">
        <v>0</v>
      </c>
      <c r="F245" s="17">
        <f>IFERROR(E245/D245,0)</f>
        <v>0</v>
      </c>
      <c r="G245" s="17">
        <f>IFERROR(C245/D245,0)</f>
        <v>0</v>
      </c>
      <c r="H245" s="135"/>
    </row>
    <row r="246" spans="1:8" ht="18" thickBot="1" x14ac:dyDescent="0.45">
      <c r="A246" s="5">
        <v>245</v>
      </c>
      <c r="B246" s="1" t="s">
        <v>245</v>
      </c>
      <c r="C246" s="45">
        <v>29</v>
      </c>
      <c r="D246" s="5">
        <v>0</v>
      </c>
      <c r="E246" s="5">
        <v>0</v>
      </c>
      <c r="F246" s="17">
        <f>IFERROR(E246/D246,0)</f>
        <v>0</v>
      </c>
      <c r="G246" s="17">
        <f>IFERROR(C246/D246,0)</f>
        <v>0</v>
      </c>
      <c r="H246" s="5"/>
    </row>
    <row r="247" spans="1:8" ht="18" thickBot="1" x14ac:dyDescent="0.45">
      <c r="H247" s="10"/>
    </row>
    <row r="248" spans="1:8" ht="18" thickBot="1" x14ac:dyDescent="0.45">
      <c r="B248" s="59" t="s">
        <v>1088</v>
      </c>
      <c r="C248" s="65" t="s">
        <v>246</v>
      </c>
      <c r="D248" s="66" t="s">
        <v>248</v>
      </c>
      <c r="E248" s="66" t="s">
        <v>249</v>
      </c>
      <c r="F248" s="66" t="s">
        <v>250</v>
      </c>
      <c r="G248" s="67" t="s">
        <v>254</v>
      </c>
      <c r="H248" s="10"/>
    </row>
    <row r="249" spans="1:8" x14ac:dyDescent="0.4">
      <c r="A249">
        <v>1</v>
      </c>
      <c r="B249" s="62" t="s">
        <v>1089</v>
      </c>
      <c r="C249" s="59">
        <v>2</v>
      </c>
      <c r="D249" s="59">
        <v>1</v>
      </c>
      <c r="E249" s="5">
        <v>1</v>
      </c>
      <c r="F249" s="17">
        <f>IFERROR(E249/D249,0)</f>
        <v>1</v>
      </c>
      <c r="G249" s="17">
        <f>IFERROR(C249/D249,0)</f>
        <v>2</v>
      </c>
    </row>
    <row r="250" spans="1:8" x14ac:dyDescent="0.4">
      <c r="A250">
        <v>2</v>
      </c>
      <c r="B250" s="63" t="s">
        <v>1099</v>
      </c>
      <c r="C250" s="59">
        <v>5</v>
      </c>
      <c r="D250" s="5">
        <v>1</v>
      </c>
      <c r="E250" s="5">
        <v>1</v>
      </c>
      <c r="F250" s="17">
        <f t="shared" ref="F250:F259" si="0">IFERROR(E250/D250,0)</f>
        <v>1</v>
      </c>
      <c r="G250" s="17">
        <f t="shared" ref="G250:G259" si="1">IFERROR(C250/D250,0)</f>
        <v>5</v>
      </c>
      <c r="H250" s="61" t="s">
        <v>1100</v>
      </c>
    </row>
    <row r="251" spans="1:8" x14ac:dyDescent="0.4">
      <c r="A251">
        <v>3</v>
      </c>
      <c r="B251" s="63" t="s">
        <v>1090</v>
      </c>
      <c r="C251" s="59">
        <v>1</v>
      </c>
      <c r="D251" s="5">
        <v>1</v>
      </c>
      <c r="E251" s="5">
        <v>1</v>
      </c>
      <c r="F251" s="17">
        <f t="shared" si="0"/>
        <v>1</v>
      </c>
      <c r="G251" s="17">
        <f t="shared" si="1"/>
        <v>1</v>
      </c>
    </row>
    <row r="252" spans="1:8" x14ac:dyDescent="0.4">
      <c r="A252" s="5">
        <v>4</v>
      </c>
      <c r="B252" s="63" t="s">
        <v>1091</v>
      </c>
      <c r="C252" s="59">
        <v>3</v>
      </c>
      <c r="D252" s="60">
        <v>6</v>
      </c>
      <c r="E252" s="60">
        <v>3</v>
      </c>
      <c r="F252" s="17">
        <f t="shared" si="0"/>
        <v>0.5</v>
      </c>
      <c r="G252" s="17">
        <f t="shared" si="1"/>
        <v>0.5</v>
      </c>
    </row>
    <row r="253" spans="1:8" x14ac:dyDescent="0.4">
      <c r="A253" s="5">
        <v>5</v>
      </c>
      <c r="B253" s="63" t="s">
        <v>1092</v>
      </c>
      <c r="C253" s="59">
        <v>0</v>
      </c>
      <c r="D253" s="60">
        <v>0</v>
      </c>
      <c r="E253" s="60">
        <v>0</v>
      </c>
      <c r="F253" s="17">
        <f t="shared" si="0"/>
        <v>0</v>
      </c>
      <c r="G253" s="17">
        <f t="shared" si="1"/>
        <v>0</v>
      </c>
    </row>
    <row r="254" spans="1:8" x14ac:dyDescent="0.4">
      <c r="A254" s="5">
        <v>6</v>
      </c>
      <c r="B254" s="63" t="s">
        <v>1095</v>
      </c>
      <c r="C254" s="59">
        <v>2</v>
      </c>
      <c r="D254" s="60">
        <v>2</v>
      </c>
      <c r="E254" s="60">
        <v>2</v>
      </c>
      <c r="F254" s="17">
        <f t="shared" si="0"/>
        <v>1</v>
      </c>
      <c r="G254" s="17">
        <f t="shared" si="1"/>
        <v>1</v>
      </c>
    </row>
    <row r="255" spans="1:8" x14ac:dyDescent="0.4">
      <c r="A255" s="5">
        <v>7</v>
      </c>
      <c r="B255" s="63" t="s">
        <v>1096</v>
      </c>
      <c r="C255" s="59">
        <v>0</v>
      </c>
      <c r="D255" s="60">
        <v>0</v>
      </c>
      <c r="E255" s="60">
        <v>0</v>
      </c>
      <c r="F255" s="17">
        <f t="shared" si="0"/>
        <v>0</v>
      </c>
      <c r="G255" s="17">
        <f t="shared" si="1"/>
        <v>0</v>
      </c>
    </row>
    <row r="256" spans="1:8" x14ac:dyDescent="0.4">
      <c r="A256" s="5">
        <v>8</v>
      </c>
      <c r="B256" s="63" t="s">
        <v>1097</v>
      </c>
      <c r="C256" s="59">
        <v>0</v>
      </c>
      <c r="D256" s="5">
        <v>0</v>
      </c>
      <c r="E256" s="5">
        <v>0</v>
      </c>
      <c r="F256" s="17">
        <f t="shared" si="0"/>
        <v>0</v>
      </c>
      <c r="G256" s="17">
        <f t="shared" si="1"/>
        <v>0</v>
      </c>
    </row>
    <row r="257" spans="1:9" x14ac:dyDescent="0.4">
      <c r="A257" s="5">
        <v>9</v>
      </c>
      <c r="B257" s="63" t="s">
        <v>1098</v>
      </c>
      <c r="C257" s="59">
        <v>0</v>
      </c>
      <c r="D257" s="5">
        <v>1</v>
      </c>
      <c r="E257" s="5">
        <v>0</v>
      </c>
      <c r="F257" s="17">
        <f t="shared" si="0"/>
        <v>0</v>
      </c>
      <c r="G257" s="17">
        <f t="shared" si="1"/>
        <v>0</v>
      </c>
    </row>
    <row r="258" spans="1:9" x14ac:dyDescent="0.4">
      <c r="A258" s="5">
        <v>10</v>
      </c>
      <c r="B258" s="63" t="s">
        <v>1093</v>
      </c>
      <c r="C258" s="59">
        <v>1</v>
      </c>
      <c r="D258" s="5">
        <v>1</v>
      </c>
      <c r="E258" s="5">
        <v>1</v>
      </c>
      <c r="F258" s="17">
        <f t="shared" si="0"/>
        <v>1</v>
      </c>
      <c r="G258" s="17">
        <f t="shared" si="1"/>
        <v>1</v>
      </c>
    </row>
    <row r="259" spans="1:9" ht="18" thickBot="1" x14ac:dyDescent="0.45">
      <c r="A259" s="5">
        <v>11</v>
      </c>
      <c r="B259" s="64" t="s">
        <v>1094</v>
      </c>
      <c r="C259" s="59">
        <v>4</v>
      </c>
      <c r="D259" s="5">
        <v>4</v>
      </c>
      <c r="E259" s="5">
        <v>4</v>
      </c>
      <c r="F259" s="17">
        <f t="shared" si="0"/>
        <v>1</v>
      </c>
      <c r="G259" s="17">
        <f t="shared" si="1"/>
        <v>1</v>
      </c>
    </row>
    <row r="260" spans="1:9" ht="18" thickBot="1" x14ac:dyDescent="0.45">
      <c r="A260" s="5"/>
      <c r="H260" s="5"/>
    </row>
    <row r="261" spans="1:9" ht="18" thickBot="1" x14ac:dyDescent="0.45">
      <c r="A261" s="5"/>
      <c r="B261" t="s">
        <v>1101</v>
      </c>
      <c r="C261" s="65" t="s">
        <v>246</v>
      </c>
      <c r="D261" s="66" t="s">
        <v>248</v>
      </c>
      <c r="E261" s="66" t="s">
        <v>249</v>
      </c>
      <c r="F261" s="66" t="s">
        <v>250</v>
      </c>
      <c r="G261" s="67" t="s">
        <v>254</v>
      </c>
      <c r="H261" s="5"/>
    </row>
    <row r="262" spans="1:9" x14ac:dyDescent="0.4">
      <c r="A262" s="68">
        <v>1</v>
      </c>
      <c r="B262" s="62" t="s">
        <v>677</v>
      </c>
      <c r="C262" s="38">
        <f>COUNTIF(중앙_데이터2!$E$2:$E$16,기관별_요약!B262)</f>
        <v>1</v>
      </c>
      <c r="D262" s="38">
        <v>2</v>
      </c>
      <c r="E262" s="38">
        <v>2</v>
      </c>
      <c r="F262" s="17">
        <f>IFERROR(E262/D262,0)</f>
        <v>1</v>
      </c>
      <c r="G262" s="17">
        <f>IFERROR(C262/D262,0)</f>
        <v>0.5</v>
      </c>
      <c r="H262" s="5"/>
    </row>
    <row r="263" spans="1:9" x14ac:dyDescent="0.4">
      <c r="A263" s="68">
        <v>2</v>
      </c>
      <c r="B263" s="63" t="s">
        <v>678</v>
      </c>
      <c r="C263" s="38">
        <f>COUNTIF(중앙_데이터2!$E$2:$E$16,기관별_요약!B263)</f>
        <v>8</v>
      </c>
      <c r="D263" s="38">
        <v>17</v>
      </c>
      <c r="E263" s="38">
        <v>20</v>
      </c>
      <c r="F263" s="17">
        <f t="shared" ref="F263:F270" si="2">IFERROR(E263/D263,0)</f>
        <v>1.1764705882352942</v>
      </c>
      <c r="G263" s="17">
        <f t="shared" ref="G263:G270" si="3">IFERROR(C263/D263,0)</f>
        <v>0.47058823529411764</v>
      </c>
      <c r="H263" s="5"/>
    </row>
    <row r="264" spans="1:9" x14ac:dyDescent="0.4">
      <c r="A264" s="68">
        <v>3</v>
      </c>
      <c r="B264" s="63" t="s">
        <v>679</v>
      </c>
      <c r="C264" s="38">
        <f>COUNTIF(중앙_데이터2!$E$2:$E$16,기관별_요약!B264)</f>
        <v>0</v>
      </c>
      <c r="D264" s="38">
        <v>3</v>
      </c>
      <c r="E264" s="38">
        <v>3</v>
      </c>
      <c r="F264" s="17">
        <f t="shared" si="2"/>
        <v>1</v>
      </c>
      <c r="G264" s="17">
        <f t="shared" si="3"/>
        <v>0</v>
      </c>
      <c r="H264" s="5"/>
    </row>
    <row r="265" spans="1:9" x14ac:dyDescent="0.4">
      <c r="A265" s="68">
        <v>4</v>
      </c>
      <c r="B265" s="63" t="s">
        <v>680</v>
      </c>
      <c r="C265" s="38">
        <f>COUNTIF(중앙_데이터2!$E$2:$E$16,기관별_요약!B265)</f>
        <v>0</v>
      </c>
      <c r="D265" s="38">
        <v>3</v>
      </c>
      <c r="E265" s="38">
        <v>3</v>
      </c>
      <c r="F265" s="17">
        <f t="shared" si="2"/>
        <v>1</v>
      </c>
      <c r="G265" s="17">
        <f t="shared" si="3"/>
        <v>0</v>
      </c>
      <c r="H265" s="5"/>
    </row>
    <row r="266" spans="1:9" x14ac:dyDescent="0.4">
      <c r="A266" s="68">
        <v>5</v>
      </c>
      <c r="B266" s="63" t="s">
        <v>681</v>
      </c>
      <c r="C266" s="38">
        <f>COUNTIF(중앙_데이터2!$E$2:$E$16,기관별_요약!B266)</f>
        <v>3</v>
      </c>
      <c r="D266" s="38">
        <v>19</v>
      </c>
      <c r="E266" s="38">
        <v>19</v>
      </c>
      <c r="F266" s="17">
        <f t="shared" si="2"/>
        <v>1</v>
      </c>
      <c r="G266" s="17">
        <f t="shared" si="3"/>
        <v>0.15789473684210525</v>
      </c>
      <c r="H266" s="5"/>
    </row>
    <row r="267" spans="1:9" x14ac:dyDescent="0.4">
      <c r="A267" s="68">
        <v>6</v>
      </c>
      <c r="B267" s="63" t="s">
        <v>682</v>
      </c>
      <c r="C267" s="38">
        <f>COUNTIF(중앙_데이터2!$E$2:$E$16,기관별_요약!B267)</f>
        <v>0</v>
      </c>
      <c r="D267" s="38">
        <v>1</v>
      </c>
      <c r="E267" s="38">
        <v>0</v>
      </c>
      <c r="F267" s="17">
        <f t="shared" si="2"/>
        <v>0</v>
      </c>
      <c r="G267" s="17">
        <f t="shared" si="3"/>
        <v>0</v>
      </c>
      <c r="H267" s="5"/>
    </row>
    <row r="268" spans="1:9" x14ac:dyDescent="0.4">
      <c r="A268" s="68">
        <v>7</v>
      </c>
      <c r="B268" s="63" t="s">
        <v>683</v>
      </c>
      <c r="C268" s="38">
        <f>COUNTIF(중앙_데이터2!$E$2:$E$16,기관별_요약!B268)</f>
        <v>1</v>
      </c>
      <c r="D268" s="38">
        <v>2</v>
      </c>
      <c r="E268" s="38">
        <v>2</v>
      </c>
      <c r="F268" s="17">
        <f t="shared" si="2"/>
        <v>1</v>
      </c>
      <c r="G268" s="17">
        <f t="shared" si="3"/>
        <v>0.5</v>
      </c>
      <c r="H268" s="5"/>
    </row>
    <row r="269" spans="1:9" x14ac:dyDescent="0.4">
      <c r="A269" s="68">
        <v>8</v>
      </c>
      <c r="B269" s="63" t="s">
        <v>684</v>
      </c>
      <c r="C269" s="38">
        <f>COUNTIF(중앙_데이터2!$E$2:$E$16,기관별_요약!B269)</f>
        <v>0</v>
      </c>
      <c r="D269" s="38">
        <v>16</v>
      </c>
      <c r="E269" s="38">
        <v>16</v>
      </c>
      <c r="F269" s="17">
        <f t="shared" si="2"/>
        <v>1</v>
      </c>
      <c r="G269" s="17">
        <f t="shared" si="3"/>
        <v>0</v>
      </c>
      <c r="H269" s="5"/>
    </row>
    <row r="270" spans="1:9" ht="18" thickBot="1" x14ac:dyDescent="0.45">
      <c r="A270" s="68">
        <v>9</v>
      </c>
      <c r="B270" s="64" t="s">
        <v>685</v>
      </c>
      <c r="C270" s="38">
        <f>COUNTIF(중앙_데이터2!$E$2:$E$16,기관별_요약!B270)</f>
        <v>0</v>
      </c>
      <c r="D270" s="38">
        <v>3</v>
      </c>
      <c r="E270" s="38">
        <v>3</v>
      </c>
      <c r="F270" s="17">
        <f t="shared" si="2"/>
        <v>1</v>
      </c>
      <c r="G270" s="17">
        <f t="shared" si="3"/>
        <v>0</v>
      </c>
      <c r="H270" s="5"/>
      <c r="I270" s="38"/>
    </row>
    <row r="271" spans="1:9" x14ac:dyDescent="0.4">
      <c r="H271" s="38"/>
    </row>
    <row r="272" spans="1:9" x14ac:dyDescent="0.4">
      <c r="H272" s="5"/>
    </row>
  </sheetData>
  <autoFilter ref="A1:I246">
    <sortState ref="A2:I246">
      <sortCondition ref="A1:A246"/>
    </sortState>
  </autoFilter>
  <mergeCells count="3">
    <mergeCell ref="L1:M1"/>
    <mergeCell ref="L3:M3"/>
    <mergeCell ref="O4:P5"/>
  </mergeCells>
  <phoneticPr fontId="8" type="noConversion"/>
  <pageMargins left="0.7" right="0.7" top="0.75" bottom="0.75" header="0.3" footer="0.3"/>
  <pageSetup paperSize="8" orientation="portrait" horizontalDpi="4294967292" verticalDpi="300" r:id="rId1"/>
  <drawing r:id="rId2"/>
  <legacyDrawing r:id="rId3"/>
  <controls>
    <mc:AlternateContent xmlns:mc="http://schemas.openxmlformats.org/markup-compatibility/2006">
      <mc:Choice Requires="x14">
        <control shapeId="1030" r:id="rId4" name="refresh">
          <controlPr defaultSize="0" autoLine="0" r:id="rId5">
            <anchor moveWithCells="1">
              <from>
                <xdr:col>13</xdr:col>
                <xdr:colOff>647700</xdr:colOff>
                <xdr:row>0</xdr:row>
                <xdr:rowOff>213360</xdr:rowOff>
              </from>
              <to>
                <xdr:col>16</xdr:col>
                <xdr:colOff>15240</xdr:colOff>
                <xdr:row>3</xdr:row>
                <xdr:rowOff>0</xdr:rowOff>
              </to>
            </anchor>
          </controlPr>
        </control>
      </mc:Choice>
      <mc:Fallback>
        <control shapeId="1030" r:id="rId4" name="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3"/>
  <sheetViews>
    <sheetView workbookViewId="0">
      <selection activeCell="K119" sqref="K119"/>
    </sheetView>
  </sheetViews>
  <sheetFormatPr defaultRowHeight="17.399999999999999" x14ac:dyDescent="0.4"/>
  <cols>
    <col min="1" max="1" width="5" bestFit="1" customWidth="1"/>
    <col min="2" max="2" width="23.8984375" customWidth="1"/>
    <col min="3" max="11" width="10.796875" customWidth="1"/>
  </cols>
  <sheetData>
    <row r="1" spans="1:11" x14ac:dyDescent="0.4">
      <c r="A1" s="107" t="s">
        <v>1266</v>
      </c>
      <c r="B1" s="108" t="s">
        <v>1267</v>
      </c>
      <c r="C1" s="109" t="s">
        <v>1268</v>
      </c>
      <c r="D1" s="110" t="s">
        <v>1269</v>
      </c>
      <c r="E1" s="108" t="s">
        <v>1270</v>
      </c>
      <c r="F1" s="131" t="s">
        <v>1328</v>
      </c>
      <c r="G1" s="132" t="s">
        <v>1329</v>
      </c>
      <c r="H1" s="108" t="s">
        <v>1271</v>
      </c>
      <c r="I1" s="111" t="s">
        <v>1272</v>
      </c>
      <c r="J1" s="112" t="s">
        <v>1273</v>
      </c>
      <c r="K1" s="113" t="s">
        <v>1274</v>
      </c>
    </row>
    <row r="2" spans="1:11" x14ac:dyDescent="0.4">
      <c r="A2" s="114">
        <v>1</v>
      </c>
      <c r="B2" s="115" t="s">
        <v>1124</v>
      </c>
      <c r="C2" s="5">
        <v>200</v>
      </c>
      <c r="D2" s="5">
        <v>193</v>
      </c>
      <c r="E2" s="116">
        <f>IFERROR(ROUND(D2/C2*100,0),"100")</f>
        <v>97</v>
      </c>
      <c r="F2" s="133">
        <v>227</v>
      </c>
      <c r="G2" s="134">
        <v>219</v>
      </c>
      <c r="H2" s="116">
        <f>IFERROR(ROUND(G2/F2*100,0),"100")</f>
        <v>96</v>
      </c>
      <c r="I2" s="117">
        <f>C2-F2</f>
        <v>-27</v>
      </c>
      <c r="J2" s="118">
        <f>D2-G2</f>
        <v>-26</v>
      </c>
      <c r="K2" s="119">
        <f>E2-H2</f>
        <v>1</v>
      </c>
    </row>
    <row r="3" spans="1:11" x14ac:dyDescent="0.4">
      <c r="A3" s="114">
        <v>2</v>
      </c>
      <c r="B3" s="115" t="s">
        <v>1003</v>
      </c>
      <c r="C3" s="5">
        <v>198</v>
      </c>
      <c r="D3" s="5">
        <v>196</v>
      </c>
      <c r="E3" s="116">
        <f>IFERROR(ROUND(D3/C3*100,0),"100")</f>
        <v>99</v>
      </c>
      <c r="F3" s="133">
        <v>223</v>
      </c>
      <c r="G3" s="134">
        <v>219</v>
      </c>
      <c r="H3" s="116">
        <f t="shared" ref="H3:H66" si="0">IFERROR(ROUND(G3/F3*100,0),"100")</f>
        <v>98</v>
      </c>
      <c r="I3" s="117">
        <f t="shared" ref="I3:I8" si="1">C3-F3</f>
        <v>-25</v>
      </c>
      <c r="J3" s="118">
        <f t="shared" ref="I3:K66" si="2">D3-G3</f>
        <v>-23</v>
      </c>
      <c r="K3" s="119">
        <f t="shared" si="2"/>
        <v>1</v>
      </c>
    </row>
    <row r="4" spans="1:11" x14ac:dyDescent="0.4">
      <c r="A4" s="114">
        <v>3</v>
      </c>
      <c r="B4" s="115" t="s">
        <v>1113</v>
      </c>
      <c r="C4" s="5">
        <v>202</v>
      </c>
      <c r="D4" s="5">
        <v>191</v>
      </c>
      <c r="E4" s="116">
        <f t="shared" ref="E4:E66" si="3">IFERROR(ROUND(D4/C4*100,0),"100")</f>
        <v>95</v>
      </c>
      <c r="F4" s="133">
        <v>221</v>
      </c>
      <c r="G4" s="134">
        <v>217</v>
      </c>
      <c r="H4" s="116">
        <f t="shared" si="0"/>
        <v>98</v>
      </c>
      <c r="I4" s="117">
        <f t="shared" si="1"/>
        <v>-19</v>
      </c>
      <c r="J4" s="118">
        <f t="shared" si="2"/>
        <v>-26</v>
      </c>
      <c r="K4" s="119">
        <f t="shared" si="2"/>
        <v>-3</v>
      </c>
    </row>
    <row r="5" spans="1:11" x14ac:dyDescent="0.4">
      <c r="A5" s="114">
        <v>4</v>
      </c>
      <c r="B5" s="115" t="s">
        <v>259</v>
      </c>
      <c r="C5" s="5">
        <v>1</v>
      </c>
      <c r="D5" s="5">
        <v>1</v>
      </c>
      <c r="E5" s="116">
        <f t="shared" ref="E5:E15" si="4">IFERROR(ROUND(D5/C5*100,0),"100")</f>
        <v>100</v>
      </c>
      <c r="F5" s="133">
        <v>1</v>
      </c>
      <c r="G5" s="134">
        <v>1</v>
      </c>
      <c r="H5" s="116">
        <f t="shared" si="0"/>
        <v>100</v>
      </c>
      <c r="I5" s="117">
        <f t="shared" si="1"/>
        <v>0</v>
      </c>
      <c r="J5" s="118">
        <f t="shared" si="2"/>
        <v>0</v>
      </c>
      <c r="K5" s="119">
        <f t="shared" si="2"/>
        <v>0</v>
      </c>
    </row>
    <row r="6" spans="1:11" x14ac:dyDescent="0.4">
      <c r="A6" s="114">
        <v>5</v>
      </c>
      <c r="B6" s="115" t="s">
        <v>260</v>
      </c>
      <c r="C6" s="5">
        <v>1</v>
      </c>
      <c r="D6" s="5">
        <v>1</v>
      </c>
      <c r="E6" s="116">
        <f t="shared" si="4"/>
        <v>100</v>
      </c>
      <c r="F6" s="133">
        <v>1</v>
      </c>
      <c r="G6" s="134">
        <v>1</v>
      </c>
      <c r="H6" s="116">
        <f t="shared" si="0"/>
        <v>100</v>
      </c>
      <c r="I6" s="117">
        <f t="shared" si="1"/>
        <v>0</v>
      </c>
      <c r="J6" s="118">
        <f t="shared" si="2"/>
        <v>0</v>
      </c>
      <c r="K6" s="119">
        <f t="shared" si="2"/>
        <v>0</v>
      </c>
    </row>
    <row r="7" spans="1:11" x14ac:dyDescent="0.4">
      <c r="A7" s="114">
        <v>6</v>
      </c>
      <c r="B7" s="115" t="s">
        <v>261</v>
      </c>
      <c r="C7" s="5">
        <v>1</v>
      </c>
      <c r="D7" s="5">
        <v>1</v>
      </c>
      <c r="E7" s="116">
        <f t="shared" si="4"/>
        <v>100</v>
      </c>
      <c r="F7" s="133">
        <v>1</v>
      </c>
      <c r="G7" s="134">
        <v>1</v>
      </c>
      <c r="H7" s="116">
        <f t="shared" si="0"/>
        <v>100</v>
      </c>
      <c r="I7" s="117">
        <f t="shared" si="1"/>
        <v>0</v>
      </c>
      <c r="J7" s="118">
        <f t="shared" si="2"/>
        <v>0</v>
      </c>
      <c r="K7" s="119">
        <f t="shared" si="2"/>
        <v>0</v>
      </c>
    </row>
    <row r="8" spans="1:11" x14ac:dyDescent="0.4">
      <c r="A8" s="114">
        <v>7</v>
      </c>
      <c r="B8" s="115" t="s">
        <v>262</v>
      </c>
      <c r="C8" s="5">
        <v>1</v>
      </c>
      <c r="D8" s="5">
        <v>1</v>
      </c>
      <c r="E8" s="116">
        <f t="shared" si="4"/>
        <v>100</v>
      </c>
      <c r="F8" s="133">
        <v>1</v>
      </c>
      <c r="G8" s="134">
        <v>1</v>
      </c>
      <c r="H8" s="116">
        <f t="shared" si="0"/>
        <v>100</v>
      </c>
      <c r="I8" s="117">
        <f t="shared" si="1"/>
        <v>0</v>
      </c>
      <c r="J8" s="118">
        <f t="shared" si="2"/>
        <v>0</v>
      </c>
      <c r="K8" s="119">
        <f t="shared" si="2"/>
        <v>0</v>
      </c>
    </row>
    <row r="9" spans="1:11" x14ac:dyDescent="0.4">
      <c r="A9" s="114">
        <v>8</v>
      </c>
      <c r="B9" s="115" t="s">
        <v>1142</v>
      </c>
      <c r="C9" s="5">
        <v>192</v>
      </c>
      <c r="D9" s="5">
        <v>185</v>
      </c>
      <c r="E9" s="116">
        <f t="shared" si="4"/>
        <v>96</v>
      </c>
      <c r="F9" s="133">
        <v>205</v>
      </c>
      <c r="G9" s="134">
        <v>201</v>
      </c>
      <c r="H9" s="116">
        <f t="shared" si="0"/>
        <v>98</v>
      </c>
      <c r="I9" s="117">
        <f t="shared" si="2"/>
        <v>-13</v>
      </c>
      <c r="J9" s="118">
        <f t="shared" si="2"/>
        <v>-16</v>
      </c>
      <c r="K9" s="119">
        <f t="shared" si="2"/>
        <v>-2</v>
      </c>
    </row>
    <row r="10" spans="1:11" x14ac:dyDescent="0.4">
      <c r="A10" s="114">
        <v>9</v>
      </c>
      <c r="B10" s="115" t="s">
        <v>1275</v>
      </c>
      <c r="C10" s="5">
        <v>1</v>
      </c>
      <c r="D10" s="5">
        <v>1</v>
      </c>
      <c r="E10" s="116">
        <f t="shared" si="4"/>
        <v>100</v>
      </c>
      <c r="F10" s="133">
        <v>1</v>
      </c>
      <c r="G10" s="134">
        <v>1</v>
      </c>
      <c r="H10" s="116">
        <f t="shared" si="0"/>
        <v>100</v>
      </c>
      <c r="I10" s="117">
        <f t="shared" si="2"/>
        <v>0</v>
      </c>
      <c r="J10" s="118">
        <f t="shared" si="2"/>
        <v>0</v>
      </c>
      <c r="K10" s="119">
        <f t="shared" si="2"/>
        <v>0</v>
      </c>
    </row>
    <row r="11" spans="1:11" x14ac:dyDescent="0.4">
      <c r="A11" s="114">
        <v>10</v>
      </c>
      <c r="B11" s="115" t="s">
        <v>1112</v>
      </c>
      <c r="C11" s="5">
        <v>191</v>
      </c>
      <c r="D11" s="5">
        <v>183</v>
      </c>
      <c r="E11" s="116">
        <f t="shared" si="4"/>
        <v>96</v>
      </c>
      <c r="F11" s="133">
        <v>205</v>
      </c>
      <c r="G11" s="134">
        <v>195</v>
      </c>
      <c r="H11" s="116">
        <f t="shared" si="0"/>
        <v>95</v>
      </c>
      <c r="I11" s="117">
        <f t="shared" si="2"/>
        <v>-14</v>
      </c>
      <c r="J11" s="118">
        <f t="shared" si="2"/>
        <v>-12</v>
      </c>
      <c r="K11" s="119">
        <f t="shared" si="2"/>
        <v>1</v>
      </c>
    </row>
    <row r="12" spans="1:11" x14ac:dyDescent="0.4">
      <c r="A12" s="114">
        <v>11</v>
      </c>
      <c r="B12" s="115" t="s">
        <v>1141</v>
      </c>
      <c r="C12" s="5">
        <v>180</v>
      </c>
      <c r="D12" s="5">
        <v>175</v>
      </c>
      <c r="E12" s="116">
        <f t="shared" si="4"/>
        <v>97</v>
      </c>
      <c r="F12" s="133">
        <v>200</v>
      </c>
      <c r="G12" s="134">
        <v>199</v>
      </c>
      <c r="H12" s="116">
        <f t="shared" si="0"/>
        <v>100</v>
      </c>
      <c r="I12" s="117">
        <f t="shared" si="2"/>
        <v>-20</v>
      </c>
      <c r="J12" s="118">
        <f t="shared" si="2"/>
        <v>-24</v>
      </c>
      <c r="K12" s="119">
        <f t="shared" si="2"/>
        <v>-3</v>
      </c>
    </row>
    <row r="13" spans="1:11" x14ac:dyDescent="0.4">
      <c r="A13" s="114">
        <v>12</v>
      </c>
      <c r="B13" s="115" t="s">
        <v>264</v>
      </c>
      <c r="C13" s="5">
        <v>1</v>
      </c>
      <c r="D13" s="5">
        <v>1</v>
      </c>
      <c r="E13" s="116">
        <f t="shared" si="4"/>
        <v>100</v>
      </c>
      <c r="F13" s="133">
        <v>1</v>
      </c>
      <c r="G13" s="134">
        <v>1</v>
      </c>
      <c r="H13" s="116">
        <f t="shared" si="0"/>
        <v>100</v>
      </c>
      <c r="I13" s="117">
        <f t="shared" si="2"/>
        <v>0</v>
      </c>
      <c r="J13" s="118">
        <f t="shared" si="2"/>
        <v>0</v>
      </c>
      <c r="K13" s="119">
        <f t="shared" si="2"/>
        <v>0</v>
      </c>
    </row>
    <row r="14" spans="1:11" x14ac:dyDescent="0.4">
      <c r="A14" s="114">
        <v>13</v>
      </c>
      <c r="B14" s="115" t="s">
        <v>265</v>
      </c>
      <c r="C14" s="5">
        <v>1</v>
      </c>
      <c r="D14" s="5">
        <v>1</v>
      </c>
      <c r="E14" s="116">
        <f t="shared" si="4"/>
        <v>100</v>
      </c>
      <c r="F14" s="133">
        <v>1</v>
      </c>
      <c r="G14" s="134">
        <v>1</v>
      </c>
      <c r="H14" s="116">
        <f t="shared" si="0"/>
        <v>100</v>
      </c>
      <c r="I14" s="117">
        <f t="shared" si="2"/>
        <v>0</v>
      </c>
      <c r="J14" s="118">
        <f t="shared" si="2"/>
        <v>0</v>
      </c>
      <c r="K14" s="119">
        <f t="shared" si="2"/>
        <v>0</v>
      </c>
    </row>
    <row r="15" spans="1:11" x14ac:dyDescent="0.4">
      <c r="A15" s="114">
        <v>14</v>
      </c>
      <c r="B15" s="115" t="s">
        <v>1111</v>
      </c>
      <c r="C15" s="5">
        <v>207</v>
      </c>
      <c r="D15" s="5">
        <v>206</v>
      </c>
      <c r="E15" s="116">
        <f t="shared" si="4"/>
        <v>100</v>
      </c>
      <c r="F15" s="133">
        <v>231</v>
      </c>
      <c r="G15" s="134">
        <v>227</v>
      </c>
      <c r="H15" s="116">
        <f t="shared" si="0"/>
        <v>98</v>
      </c>
      <c r="I15" s="117">
        <f t="shared" si="2"/>
        <v>-24</v>
      </c>
      <c r="J15" s="118">
        <f t="shared" si="2"/>
        <v>-21</v>
      </c>
      <c r="K15" s="119">
        <f t="shared" si="2"/>
        <v>2</v>
      </c>
    </row>
    <row r="16" spans="1:11" x14ac:dyDescent="0.4">
      <c r="A16" s="114">
        <v>15</v>
      </c>
      <c r="B16" s="115" t="s">
        <v>1102</v>
      </c>
      <c r="C16" s="5">
        <v>196</v>
      </c>
      <c r="D16" s="5">
        <v>193</v>
      </c>
      <c r="E16" s="116">
        <f t="shared" si="3"/>
        <v>98</v>
      </c>
      <c r="F16" s="133">
        <v>224</v>
      </c>
      <c r="G16" s="134">
        <v>218</v>
      </c>
      <c r="H16" s="116">
        <f t="shared" si="0"/>
        <v>97</v>
      </c>
      <c r="I16" s="117">
        <f t="shared" si="2"/>
        <v>-28</v>
      </c>
      <c r="J16" s="118">
        <f t="shared" si="2"/>
        <v>-25</v>
      </c>
      <c r="K16" s="119">
        <f t="shared" si="2"/>
        <v>1</v>
      </c>
    </row>
    <row r="17" spans="1:11" x14ac:dyDescent="0.4">
      <c r="A17" s="114">
        <v>16</v>
      </c>
      <c r="B17" s="115" t="s">
        <v>1103</v>
      </c>
      <c r="C17" s="5">
        <v>104</v>
      </c>
      <c r="D17" s="5">
        <v>100</v>
      </c>
      <c r="E17" s="116">
        <f t="shared" si="3"/>
        <v>96</v>
      </c>
      <c r="F17" s="133">
        <v>106</v>
      </c>
      <c r="G17" s="134">
        <v>105</v>
      </c>
      <c r="H17" s="116">
        <f t="shared" si="0"/>
        <v>99</v>
      </c>
      <c r="I17" s="117">
        <f t="shared" si="2"/>
        <v>-2</v>
      </c>
      <c r="J17" s="118">
        <f t="shared" si="2"/>
        <v>-5</v>
      </c>
      <c r="K17" s="119">
        <f t="shared" si="2"/>
        <v>-3</v>
      </c>
    </row>
    <row r="18" spans="1:11" x14ac:dyDescent="0.4">
      <c r="A18" s="114">
        <v>17</v>
      </c>
      <c r="B18" s="115" t="s">
        <v>1110</v>
      </c>
      <c r="C18" s="5">
        <v>148</v>
      </c>
      <c r="D18" s="5">
        <v>146</v>
      </c>
      <c r="E18" s="116">
        <f t="shared" si="3"/>
        <v>99</v>
      </c>
      <c r="F18" s="133">
        <v>175</v>
      </c>
      <c r="G18" s="134">
        <v>171</v>
      </c>
      <c r="H18" s="116">
        <f t="shared" si="0"/>
        <v>98</v>
      </c>
      <c r="I18" s="117">
        <f t="shared" si="2"/>
        <v>-27</v>
      </c>
      <c r="J18" s="118">
        <f t="shared" si="2"/>
        <v>-25</v>
      </c>
      <c r="K18" s="119">
        <f t="shared" si="2"/>
        <v>1</v>
      </c>
    </row>
    <row r="19" spans="1:11" x14ac:dyDescent="0.4">
      <c r="A19" s="114">
        <v>18</v>
      </c>
      <c r="B19" s="115" t="s">
        <v>1276</v>
      </c>
      <c r="C19" s="5">
        <v>1</v>
      </c>
      <c r="D19" s="5">
        <v>1</v>
      </c>
      <c r="E19" s="116">
        <f t="shared" si="3"/>
        <v>100</v>
      </c>
      <c r="F19" s="133">
        <v>1</v>
      </c>
      <c r="G19" s="134">
        <v>1</v>
      </c>
      <c r="H19" s="116">
        <f t="shared" si="0"/>
        <v>100</v>
      </c>
      <c r="I19" s="117">
        <f t="shared" si="2"/>
        <v>0</v>
      </c>
      <c r="J19" s="118">
        <f t="shared" si="2"/>
        <v>0</v>
      </c>
      <c r="K19" s="119">
        <f t="shared" si="2"/>
        <v>0</v>
      </c>
    </row>
    <row r="20" spans="1:11" x14ac:dyDescent="0.4">
      <c r="A20" s="114">
        <v>19</v>
      </c>
      <c r="B20" s="115" t="s">
        <v>283</v>
      </c>
      <c r="C20" s="5">
        <v>1</v>
      </c>
      <c r="D20" s="5">
        <v>1</v>
      </c>
      <c r="E20" s="116">
        <f t="shared" si="3"/>
        <v>100</v>
      </c>
      <c r="F20" s="133">
        <v>1</v>
      </c>
      <c r="G20" s="134">
        <v>1</v>
      </c>
      <c r="H20" s="116">
        <f t="shared" si="0"/>
        <v>100</v>
      </c>
      <c r="I20" s="117">
        <f t="shared" si="2"/>
        <v>0</v>
      </c>
      <c r="J20" s="118">
        <f t="shared" si="2"/>
        <v>0</v>
      </c>
      <c r="K20" s="119">
        <f t="shared" si="2"/>
        <v>0</v>
      </c>
    </row>
    <row r="21" spans="1:11" x14ac:dyDescent="0.4">
      <c r="A21" s="114">
        <v>20</v>
      </c>
      <c r="B21" s="115" t="s">
        <v>266</v>
      </c>
      <c r="C21" s="5">
        <v>1</v>
      </c>
      <c r="D21" s="5">
        <v>1</v>
      </c>
      <c r="E21" s="116">
        <f t="shared" si="3"/>
        <v>100</v>
      </c>
      <c r="F21" s="133">
        <v>1</v>
      </c>
      <c r="G21" s="134">
        <v>1</v>
      </c>
      <c r="H21" s="116">
        <f t="shared" si="0"/>
        <v>100</v>
      </c>
      <c r="I21" s="117">
        <f t="shared" si="2"/>
        <v>0</v>
      </c>
      <c r="J21" s="118">
        <f t="shared" si="2"/>
        <v>0</v>
      </c>
      <c r="K21" s="119">
        <f t="shared" si="2"/>
        <v>0</v>
      </c>
    </row>
    <row r="22" spans="1:11" x14ac:dyDescent="0.4">
      <c r="A22" s="114">
        <v>21</v>
      </c>
      <c r="B22" s="115" t="s">
        <v>267</v>
      </c>
      <c r="C22" s="5">
        <v>1</v>
      </c>
      <c r="D22" s="5">
        <v>1</v>
      </c>
      <c r="E22" s="116">
        <f t="shared" si="3"/>
        <v>100</v>
      </c>
      <c r="F22" s="133">
        <v>1</v>
      </c>
      <c r="G22" s="134">
        <v>1</v>
      </c>
      <c r="H22" s="116">
        <f t="shared" si="0"/>
        <v>100</v>
      </c>
      <c r="I22" s="117">
        <f t="shared" si="2"/>
        <v>0</v>
      </c>
      <c r="J22" s="118">
        <f t="shared" si="2"/>
        <v>0</v>
      </c>
      <c r="K22" s="119">
        <f t="shared" si="2"/>
        <v>0</v>
      </c>
    </row>
    <row r="23" spans="1:11" x14ac:dyDescent="0.4">
      <c r="A23" s="114">
        <v>22</v>
      </c>
      <c r="B23" s="115" t="s">
        <v>1109</v>
      </c>
      <c r="C23" s="5">
        <v>195</v>
      </c>
      <c r="D23" s="5">
        <v>190</v>
      </c>
      <c r="E23" s="116">
        <f t="shared" si="3"/>
        <v>97</v>
      </c>
      <c r="F23" s="133">
        <v>213</v>
      </c>
      <c r="G23" s="134">
        <v>204</v>
      </c>
      <c r="H23" s="116">
        <f t="shared" si="0"/>
        <v>96</v>
      </c>
      <c r="I23" s="117">
        <f t="shared" si="2"/>
        <v>-18</v>
      </c>
      <c r="J23" s="118">
        <f t="shared" si="2"/>
        <v>-14</v>
      </c>
      <c r="K23" s="119">
        <f t="shared" si="2"/>
        <v>1</v>
      </c>
    </row>
    <row r="24" spans="1:11" x14ac:dyDescent="0.4">
      <c r="A24" s="114">
        <v>23</v>
      </c>
      <c r="B24" s="115" t="s">
        <v>1123</v>
      </c>
      <c r="C24" s="5">
        <v>198</v>
      </c>
      <c r="D24" s="5">
        <v>191</v>
      </c>
      <c r="E24" s="116">
        <f t="shared" si="3"/>
        <v>96</v>
      </c>
      <c r="F24" s="133">
        <v>215</v>
      </c>
      <c r="G24" s="134">
        <v>210</v>
      </c>
      <c r="H24" s="116">
        <f t="shared" si="0"/>
        <v>98</v>
      </c>
      <c r="I24" s="117">
        <f t="shared" si="2"/>
        <v>-17</v>
      </c>
      <c r="J24" s="118">
        <f t="shared" si="2"/>
        <v>-19</v>
      </c>
      <c r="K24" s="119">
        <f t="shared" si="2"/>
        <v>-2</v>
      </c>
    </row>
    <row r="25" spans="1:11" x14ac:dyDescent="0.4">
      <c r="A25" s="114">
        <v>24</v>
      </c>
      <c r="B25" s="115" t="s">
        <v>256</v>
      </c>
      <c r="C25" s="5">
        <v>1</v>
      </c>
      <c r="D25" s="5">
        <v>1</v>
      </c>
      <c r="E25" s="116">
        <f t="shared" si="3"/>
        <v>100</v>
      </c>
      <c r="F25" s="133">
        <v>1</v>
      </c>
      <c r="G25" s="134">
        <v>1</v>
      </c>
      <c r="H25" s="116">
        <f t="shared" si="0"/>
        <v>100</v>
      </c>
      <c r="I25" s="117">
        <f t="shared" si="2"/>
        <v>0</v>
      </c>
      <c r="J25" s="118">
        <f t="shared" si="2"/>
        <v>0</v>
      </c>
      <c r="K25" s="119">
        <f t="shared" si="2"/>
        <v>0</v>
      </c>
    </row>
    <row r="26" spans="1:11" x14ac:dyDescent="0.4">
      <c r="A26" s="114">
        <v>25</v>
      </c>
      <c r="B26" s="115" t="s">
        <v>268</v>
      </c>
      <c r="C26" s="5">
        <v>1</v>
      </c>
      <c r="D26" s="5">
        <v>1</v>
      </c>
      <c r="E26" s="116">
        <f t="shared" si="3"/>
        <v>100</v>
      </c>
      <c r="F26" s="133">
        <v>1</v>
      </c>
      <c r="G26" s="134">
        <v>1</v>
      </c>
      <c r="H26" s="116">
        <f t="shared" si="0"/>
        <v>100</v>
      </c>
      <c r="I26" s="117">
        <f t="shared" si="2"/>
        <v>0</v>
      </c>
      <c r="J26" s="118">
        <f t="shared" si="2"/>
        <v>0</v>
      </c>
      <c r="K26" s="119">
        <f t="shared" si="2"/>
        <v>0</v>
      </c>
    </row>
    <row r="27" spans="1:11" x14ac:dyDescent="0.4">
      <c r="A27" s="114">
        <v>26</v>
      </c>
      <c r="B27" s="115" t="s">
        <v>269</v>
      </c>
      <c r="C27" s="5">
        <v>1</v>
      </c>
      <c r="D27" s="5">
        <v>1</v>
      </c>
      <c r="E27" s="116">
        <f t="shared" si="3"/>
        <v>100</v>
      </c>
      <c r="F27" s="133">
        <v>1</v>
      </c>
      <c r="G27" s="134">
        <v>1</v>
      </c>
      <c r="H27" s="116">
        <f t="shared" si="0"/>
        <v>100</v>
      </c>
      <c r="I27" s="117">
        <f t="shared" si="2"/>
        <v>0</v>
      </c>
      <c r="J27" s="118">
        <f t="shared" si="2"/>
        <v>0</v>
      </c>
      <c r="K27" s="119">
        <f t="shared" si="2"/>
        <v>0</v>
      </c>
    </row>
    <row r="28" spans="1:11" x14ac:dyDescent="0.4">
      <c r="A28" s="114">
        <v>27</v>
      </c>
      <c r="B28" s="115" t="s">
        <v>277</v>
      </c>
      <c r="C28" s="5">
        <v>1</v>
      </c>
      <c r="D28" s="5">
        <v>1</v>
      </c>
      <c r="E28" s="116">
        <f t="shared" si="3"/>
        <v>100</v>
      </c>
      <c r="F28" s="133">
        <v>1</v>
      </c>
      <c r="G28" s="134">
        <v>1</v>
      </c>
      <c r="H28" s="116">
        <f t="shared" si="0"/>
        <v>100</v>
      </c>
      <c r="I28" s="117">
        <f t="shared" si="2"/>
        <v>0</v>
      </c>
      <c r="J28" s="118">
        <f t="shared" si="2"/>
        <v>0</v>
      </c>
      <c r="K28" s="119">
        <f t="shared" si="2"/>
        <v>0</v>
      </c>
    </row>
    <row r="29" spans="1:11" x14ac:dyDescent="0.4">
      <c r="A29" s="114">
        <v>28</v>
      </c>
      <c r="B29" s="115" t="s">
        <v>1277</v>
      </c>
      <c r="C29" s="5">
        <v>1</v>
      </c>
      <c r="D29" s="5">
        <v>1</v>
      </c>
      <c r="E29" s="116">
        <f t="shared" si="3"/>
        <v>100</v>
      </c>
      <c r="F29" s="133">
        <v>1</v>
      </c>
      <c r="G29" s="134">
        <v>1</v>
      </c>
      <c r="H29" s="116">
        <f t="shared" si="0"/>
        <v>100</v>
      </c>
      <c r="I29" s="117">
        <f t="shared" si="2"/>
        <v>0</v>
      </c>
      <c r="J29" s="118">
        <f t="shared" si="2"/>
        <v>0</v>
      </c>
      <c r="K29" s="119">
        <f t="shared" si="2"/>
        <v>0</v>
      </c>
    </row>
    <row r="30" spans="1:11" x14ac:dyDescent="0.4">
      <c r="A30" s="114">
        <v>29</v>
      </c>
      <c r="B30" s="115" t="s">
        <v>1278</v>
      </c>
      <c r="C30" s="5">
        <v>1</v>
      </c>
      <c r="D30" s="5">
        <v>1</v>
      </c>
      <c r="E30" s="116">
        <f t="shared" si="3"/>
        <v>100</v>
      </c>
      <c r="F30" s="133">
        <v>1</v>
      </c>
      <c r="G30" s="134">
        <v>1</v>
      </c>
      <c r="H30" s="116">
        <f t="shared" si="0"/>
        <v>100</v>
      </c>
      <c r="I30" s="117">
        <f t="shared" si="2"/>
        <v>0</v>
      </c>
      <c r="J30" s="118">
        <f t="shared" si="2"/>
        <v>0</v>
      </c>
      <c r="K30" s="119">
        <f t="shared" si="2"/>
        <v>0</v>
      </c>
    </row>
    <row r="31" spans="1:11" x14ac:dyDescent="0.4">
      <c r="A31" s="114">
        <v>30</v>
      </c>
      <c r="B31" s="115" t="s">
        <v>1279</v>
      </c>
      <c r="C31" s="5">
        <v>1</v>
      </c>
      <c r="D31" s="5">
        <v>1</v>
      </c>
      <c r="E31" s="116">
        <f t="shared" si="3"/>
        <v>100</v>
      </c>
      <c r="F31" s="133">
        <v>1</v>
      </c>
      <c r="G31" s="134">
        <v>1</v>
      </c>
      <c r="H31" s="116">
        <f t="shared" si="0"/>
        <v>100</v>
      </c>
      <c r="I31" s="117">
        <f t="shared" si="2"/>
        <v>0</v>
      </c>
      <c r="J31" s="118">
        <f t="shared" si="2"/>
        <v>0</v>
      </c>
      <c r="K31" s="119">
        <f t="shared" si="2"/>
        <v>0</v>
      </c>
    </row>
    <row r="32" spans="1:11" x14ac:dyDescent="0.4">
      <c r="A32" s="114">
        <v>31</v>
      </c>
      <c r="B32" s="115" t="s">
        <v>1280</v>
      </c>
      <c r="C32" s="5">
        <v>1</v>
      </c>
      <c r="D32" s="5">
        <v>1</v>
      </c>
      <c r="E32" s="116">
        <f t="shared" si="3"/>
        <v>100</v>
      </c>
      <c r="F32" s="133">
        <v>1</v>
      </c>
      <c r="G32" s="134">
        <v>1</v>
      </c>
      <c r="H32" s="116">
        <f t="shared" si="0"/>
        <v>100</v>
      </c>
      <c r="I32" s="117">
        <f t="shared" si="2"/>
        <v>0</v>
      </c>
      <c r="J32" s="118">
        <f t="shared" si="2"/>
        <v>0</v>
      </c>
      <c r="K32" s="119">
        <f t="shared" si="2"/>
        <v>0</v>
      </c>
    </row>
    <row r="33" spans="1:11" x14ac:dyDescent="0.4">
      <c r="A33" s="114">
        <v>32</v>
      </c>
      <c r="B33" s="115" t="s">
        <v>1281</v>
      </c>
      <c r="C33" s="5">
        <v>1</v>
      </c>
      <c r="D33" s="5">
        <v>1</v>
      </c>
      <c r="E33" s="116">
        <f t="shared" si="3"/>
        <v>100</v>
      </c>
      <c r="F33" s="133">
        <v>1</v>
      </c>
      <c r="G33" s="134">
        <v>1</v>
      </c>
      <c r="H33" s="116">
        <f t="shared" si="0"/>
        <v>100</v>
      </c>
      <c r="I33" s="117">
        <f t="shared" si="2"/>
        <v>0</v>
      </c>
      <c r="J33" s="118">
        <f t="shared" si="2"/>
        <v>0</v>
      </c>
      <c r="K33" s="119">
        <f t="shared" si="2"/>
        <v>0</v>
      </c>
    </row>
    <row r="34" spans="1:11" x14ac:dyDescent="0.4">
      <c r="A34" s="114">
        <v>33</v>
      </c>
      <c r="B34" s="115" t="s">
        <v>1282</v>
      </c>
      <c r="C34" s="5">
        <v>1</v>
      </c>
      <c r="D34" s="5">
        <v>1</v>
      </c>
      <c r="E34" s="116">
        <f t="shared" si="3"/>
        <v>100</v>
      </c>
      <c r="F34" s="133">
        <v>1</v>
      </c>
      <c r="G34" s="134">
        <v>1</v>
      </c>
      <c r="H34" s="116">
        <f t="shared" si="0"/>
        <v>100</v>
      </c>
      <c r="I34" s="117">
        <f t="shared" si="2"/>
        <v>0</v>
      </c>
      <c r="J34" s="118">
        <f t="shared" si="2"/>
        <v>0</v>
      </c>
      <c r="K34" s="119">
        <f t="shared" si="2"/>
        <v>0</v>
      </c>
    </row>
    <row r="35" spans="1:11" x14ac:dyDescent="0.4">
      <c r="A35" s="114">
        <v>34</v>
      </c>
      <c r="B35" s="115" t="s">
        <v>1283</v>
      </c>
      <c r="C35" s="5">
        <v>1</v>
      </c>
      <c r="D35" s="5">
        <v>1</v>
      </c>
      <c r="E35" s="116">
        <f t="shared" si="3"/>
        <v>100</v>
      </c>
      <c r="F35" s="133">
        <v>1</v>
      </c>
      <c r="G35" s="134">
        <v>1</v>
      </c>
      <c r="H35" s="116">
        <f t="shared" si="0"/>
        <v>100</v>
      </c>
      <c r="I35" s="117">
        <f t="shared" si="2"/>
        <v>0</v>
      </c>
      <c r="J35" s="118">
        <f t="shared" si="2"/>
        <v>0</v>
      </c>
      <c r="K35" s="119">
        <f t="shared" si="2"/>
        <v>0</v>
      </c>
    </row>
    <row r="36" spans="1:11" x14ac:dyDescent="0.4">
      <c r="A36" s="114">
        <v>35</v>
      </c>
      <c r="B36" s="115" t="s">
        <v>1284</v>
      </c>
      <c r="C36" s="5">
        <v>1</v>
      </c>
      <c r="D36" s="5">
        <v>1</v>
      </c>
      <c r="E36" s="116">
        <f t="shared" si="3"/>
        <v>100</v>
      </c>
      <c r="F36" s="133">
        <v>1</v>
      </c>
      <c r="G36" s="134">
        <v>1</v>
      </c>
      <c r="H36" s="116">
        <f t="shared" si="0"/>
        <v>100</v>
      </c>
      <c r="I36" s="117">
        <f t="shared" si="2"/>
        <v>0</v>
      </c>
      <c r="J36" s="118">
        <f t="shared" si="2"/>
        <v>0</v>
      </c>
      <c r="K36" s="119">
        <f t="shared" si="2"/>
        <v>0</v>
      </c>
    </row>
    <row r="37" spans="1:11" x14ac:dyDescent="0.4">
      <c r="A37" s="114">
        <v>36</v>
      </c>
      <c r="B37" s="115" t="s">
        <v>1285</v>
      </c>
      <c r="C37" s="5">
        <v>1</v>
      </c>
      <c r="D37" s="5">
        <v>1</v>
      </c>
      <c r="E37" s="116">
        <f t="shared" si="3"/>
        <v>100</v>
      </c>
      <c r="F37" s="133">
        <v>1</v>
      </c>
      <c r="G37" s="134">
        <v>1</v>
      </c>
      <c r="H37" s="116">
        <f t="shared" si="0"/>
        <v>100</v>
      </c>
      <c r="I37" s="117">
        <f t="shared" si="2"/>
        <v>0</v>
      </c>
      <c r="J37" s="118">
        <f t="shared" si="2"/>
        <v>0</v>
      </c>
      <c r="K37" s="119">
        <f t="shared" si="2"/>
        <v>0</v>
      </c>
    </row>
    <row r="38" spans="1:11" x14ac:dyDescent="0.4">
      <c r="A38" s="114">
        <v>37</v>
      </c>
      <c r="B38" s="115" t="s">
        <v>1286</v>
      </c>
      <c r="C38" s="5">
        <v>1</v>
      </c>
      <c r="D38" s="5">
        <v>1</v>
      </c>
      <c r="E38" s="116">
        <f t="shared" si="3"/>
        <v>100</v>
      </c>
      <c r="F38" s="133">
        <v>1</v>
      </c>
      <c r="G38" s="134">
        <v>1</v>
      </c>
      <c r="H38" s="116">
        <f t="shared" si="0"/>
        <v>100</v>
      </c>
      <c r="I38" s="117">
        <f t="shared" si="2"/>
        <v>0</v>
      </c>
      <c r="J38" s="118">
        <f t="shared" si="2"/>
        <v>0</v>
      </c>
      <c r="K38" s="119">
        <f t="shared" si="2"/>
        <v>0</v>
      </c>
    </row>
    <row r="39" spans="1:11" x14ac:dyDescent="0.4">
      <c r="A39" s="114">
        <v>38</v>
      </c>
      <c r="B39" s="115" t="s">
        <v>287</v>
      </c>
      <c r="C39" s="5">
        <v>1</v>
      </c>
      <c r="D39" s="5">
        <v>1</v>
      </c>
      <c r="E39" s="116">
        <f t="shared" si="3"/>
        <v>100</v>
      </c>
      <c r="F39" s="133">
        <v>1</v>
      </c>
      <c r="G39" s="134">
        <v>1</v>
      </c>
      <c r="H39" s="116">
        <f t="shared" si="0"/>
        <v>100</v>
      </c>
      <c r="I39" s="117">
        <f t="shared" si="2"/>
        <v>0</v>
      </c>
      <c r="J39" s="118">
        <f t="shared" si="2"/>
        <v>0</v>
      </c>
      <c r="K39" s="119">
        <f t="shared" si="2"/>
        <v>0</v>
      </c>
    </row>
    <row r="40" spans="1:11" x14ac:dyDescent="0.4">
      <c r="A40" s="114">
        <v>39</v>
      </c>
      <c r="B40" s="115" t="s">
        <v>290</v>
      </c>
      <c r="C40" s="5">
        <v>1</v>
      </c>
      <c r="D40" s="5">
        <v>1</v>
      </c>
      <c r="E40" s="116">
        <f t="shared" si="3"/>
        <v>100</v>
      </c>
      <c r="F40" s="133">
        <v>1</v>
      </c>
      <c r="G40" s="134">
        <v>1</v>
      </c>
      <c r="H40" s="116">
        <f t="shared" si="0"/>
        <v>100</v>
      </c>
      <c r="I40" s="117">
        <f t="shared" si="2"/>
        <v>0</v>
      </c>
      <c r="J40" s="118">
        <f t="shared" si="2"/>
        <v>0</v>
      </c>
      <c r="K40" s="119">
        <f t="shared" si="2"/>
        <v>0</v>
      </c>
    </row>
    <row r="41" spans="1:11" x14ac:dyDescent="0.4">
      <c r="A41" s="114">
        <v>40</v>
      </c>
      <c r="B41" s="115" t="s">
        <v>741</v>
      </c>
      <c r="C41" s="5">
        <v>1</v>
      </c>
      <c r="D41" s="5">
        <v>1</v>
      </c>
      <c r="E41" s="116">
        <f t="shared" si="3"/>
        <v>100</v>
      </c>
      <c r="F41" s="133">
        <v>1</v>
      </c>
      <c r="G41" s="134">
        <v>1</v>
      </c>
      <c r="H41" s="116">
        <f t="shared" si="0"/>
        <v>100</v>
      </c>
      <c r="I41" s="117">
        <f t="shared" si="2"/>
        <v>0</v>
      </c>
      <c r="J41" s="118">
        <f t="shared" si="2"/>
        <v>0</v>
      </c>
      <c r="K41" s="119">
        <f t="shared" si="2"/>
        <v>0</v>
      </c>
    </row>
    <row r="42" spans="1:11" x14ac:dyDescent="0.4">
      <c r="A42" s="114">
        <v>41</v>
      </c>
      <c r="B42" s="115" t="s">
        <v>1287</v>
      </c>
      <c r="C42" s="5">
        <v>3</v>
      </c>
      <c r="D42" s="5">
        <v>3</v>
      </c>
      <c r="E42" s="116">
        <f t="shared" si="3"/>
        <v>100</v>
      </c>
      <c r="F42" s="133">
        <v>6</v>
      </c>
      <c r="G42" s="134">
        <v>6</v>
      </c>
      <c r="H42" s="116">
        <f t="shared" si="0"/>
        <v>100</v>
      </c>
      <c r="I42" s="117">
        <f t="shared" si="2"/>
        <v>-3</v>
      </c>
      <c r="J42" s="118">
        <f t="shared" si="2"/>
        <v>-3</v>
      </c>
      <c r="K42" s="119">
        <f t="shared" si="2"/>
        <v>0</v>
      </c>
    </row>
    <row r="43" spans="1:11" x14ac:dyDescent="0.4">
      <c r="A43" s="114">
        <v>42</v>
      </c>
      <c r="B43" s="115" t="s">
        <v>1288</v>
      </c>
      <c r="C43" s="5">
        <v>3</v>
      </c>
      <c r="D43" s="5">
        <v>3</v>
      </c>
      <c r="E43" s="116">
        <f t="shared" si="3"/>
        <v>100</v>
      </c>
      <c r="F43" s="133">
        <v>6</v>
      </c>
      <c r="G43" s="134">
        <v>6</v>
      </c>
      <c r="H43" s="116">
        <f t="shared" si="0"/>
        <v>100</v>
      </c>
      <c r="I43" s="117">
        <f t="shared" si="2"/>
        <v>-3</v>
      </c>
      <c r="J43" s="118">
        <f t="shared" si="2"/>
        <v>-3</v>
      </c>
      <c r="K43" s="119">
        <f t="shared" si="2"/>
        <v>0</v>
      </c>
    </row>
    <row r="44" spans="1:11" x14ac:dyDescent="0.4">
      <c r="A44" s="114">
        <v>43</v>
      </c>
      <c r="B44" s="115" t="s">
        <v>1289</v>
      </c>
      <c r="C44" s="5">
        <v>4</v>
      </c>
      <c r="D44" s="5">
        <v>4</v>
      </c>
      <c r="E44" s="116">
        <f t="shared" si="3"/>
        <v>100</v>
      </c>
      <c r="F44" s="133">
        <v>6</v>
      </c>
      <c r="G44" s="134">
        <v>6</v>
      </c>
      <c r="H44" s="116">
        <f t="shared" si="0"/>
        <v>100</v>
      </c>
      <c r="I44" s="117">
        <f t="shared" si="2"/>
        <v>-2</v>
      </c>
      <c r="J44" s="118">
        <f t="shared" si="2"/>
        <v>-2</v>
      </c>
      <c r="K44" s="119">
        <f t="shared" si="2"/>
        <v>0</v>
      </c>
    </row>
    <row r="45" spans="1:11" x14ac:dyDescent="0.4">
      <c r="A45" s="114">
        <v>44</v>
      </c>
      <c r="B45" s="115" t="s">
        <v>270</v>
      </c>
      <c r="C45" s="5">
        <v>1</v>
      </c>
      <c r="D45" s="5">
        <v>1</v>
      </c>
      <c r="E45" s="116">
        <f t="shared" si="3"/>
        <v>100</v>
      </c>
      <c r="F45" s="133">
        <v>1</v>
      </c>
      <c r="G45" s="134">
        <v>1</v>
      </c>
      <c r="H45" s="116">
        <f t="shared" si="0"/>
        <v>100</v>
      </c>
      <c r="I45" s="117">
        <f t="shared" si="2"/>
        <v>0</v>
      </c>
      <c r="J45" s="118">
        <f t="shared" si="2"/>
        <v>0</v>
      </c>
      <c r="K45" s="119">
        <f t="shared" si="2"/>
        <v>0</v>
      </c>
    </row>
    <row r="46" spans="1:11" x14ac:dyDescent="0.4">
      <c r="A46" s="114">
        <v>45</v>
      </c>
      <c r="B46" s="115" t="s">
        <v>1131</v>
      </c>
      <c r="C46" s="5">
        <v>85</v>
      </c>
      <c r="D46" s="5">
        <v>79</v>
      </c>
      <c r="E46" s="116">
        <f t="shared" si="3"/>
        <v>93</v>
      </c>
      <c r="F46" s="133">
        <v>78</v>
      </c>
      <c r="G46" s="134">
        <v>74</v>
      </c>
      <c r="H46" s="116">
        <f t="shared" si="0"/>
        <v>95</v>
      </c>
      <c r="I46" s="117">
        <f t="shared" si="2"/>
        <v>7</v>
      </c>
      <c r="J46" s="118">
        <f t="shared" si="2"/>
        <v>5</v>
      </c>
      <c r="K46" s="119">
        <f t="shared" si="2"/>
        <v>-2</v>
      </c>
    </row>
    <row r="47" spans="1:11" x14ac:dyDescent="0.4">
      <c r="A47" s="114">
        <v>46</v>
      </c>
      <c r="B47" s="115" t="s">
        <v>1290</v>
      </c>
      <c r="C47" s="5">
        <v>188</v>
      </c>
      <c r="D47" s="5">
        <v>182</v>
      </c>
      <c r="E47" s="116">
        <f t="shared" si="3"/>
        <v>97</v>
      </c>
      <c r="F47" s="133">
        <v>209</v>
      </c>
      <c r="G47" s="134">
        <v>201</v>
      </c>
      <c r="H47" s="116">
        <f t="shared" si="0"/>
        <v>96</v>
      </c>
      <c r="I47" s="117">
        <f t="shared" si="2"/>
        <v>-21</v>
      </c>
      <c r="J47" s="118">
        <f t="shared" si="2"/>
        <v>-19</v>
      </c>
      <c r="K47" s="119">
        <f t="shared" si="2"/>
        <v>1</v>
      </c>
    </row>
    <row r="48" spans="1:11" x14ac:dyDescent="0.4">
      <c r="A48" s="114">
        <v>47</v>
      </c>
      <c r="B48" s="115" t="s">
        <v>1291</v>
      </c>
      <c r="C48" s="5">
        <v>163</v>
      </c>
      <c r="D48" s="5">
        <v>158</v>
      </c>
      <c r="E48" s="116">
        <f t="shared" si="3"/>
        <v>97</v>
      </c>
      <c r="F48" s="133">
        <v>175</v>
      </c>
      <c r="G48" s="134">
        <v>170</v>
      </c>
      <c r="H48" s="116">
        <f t="shared" si="0"/>
        <v>97</v>
      </c>
      <c r="I48" s="117">
        <f t="shared" si="2"/>
        <v>-12</v>
      </c>
      <c r="J48" s="118">
        <f t="shared" si="2"/>
        <v>-12</v>
      </c>
      <c r="K48" s="119">
        <f t="shared" si="2"/>
        <v>0</v>
      </c>
    </row>
    <row r="49" spans="1:11" x14ac:dyDescent="0.4">
      <c r="A49" s="114">
        <v>48</v>
      </c>
      <c r="B49" s="115" t="s">
        <v>1130</v>
      </c>
      <c r="C49" s="5">
        <v>98</v>
      </c>
      <c r="D49" s="5">
        <v>96</v>
      </c>
      <c r="E49" s="116">
        <f t="shared" si="3"/>
        <v>98</v>
      </c>
      <c r="F49" s="133">
        <v>111</v>
      </c>
      <c r="G49" s="134">
        <v>104</v>
      </c>
      <c r="H49" s="116">
        <f t="shared" si="0"/>
        <v>94</v>
      </c>
      <c r="I49" s="117">
        <f t="shared" si="2"/>
        <v>-13</v>
      </c>
      <c r="J49" s="118">
        <f t="shared" si="2"/>
        <v>-8</v>
      </c>
      <c r="K49" s="119">
        <f t="shared" si="2"/>
        <v>4</v>
      </c>
    </row>
    <row r="50" spans="1:11" x14ac:dyDescent="0.4">
      <c r="A50" s="114">
        <v>49</v>
      </c>
      <c r="B50" s="115" t="s">
        <v>1292</v>
      </c>
      <c r="C50" s="5">
        <v>182</v>
      </c>
      <c r="D50" s="5">
        <v>177</v>
      </c>
      <c r="E50" s="116">
        <f t="shared" si="3"/>
        <v>97</v>
      </c>
      <c r="F50" s="133">
        <v>194</v>
      </c>
      <c r="G50" s="134">
        <v>192</v>
      </c>
      <c r="H50" s="116">
        <f t="shared" si="0"/>
        <v>99</v>
      </c>
      <c r="I50" s="117">
        <f t="shared" si="2"/>
        <v>-12</v>
      </c>
      <c r="J50" s="118">
        <f t="shared" si="2"/>
        <v>-15</v>
      </c>
      <c r="K50" s="119">
        <f t="shared" si="2"/>
        <v>-2</v>
      </c>
    </row>
    <row r="51" spans="1:11" x14ac:dyDescent="0.4">
      <c r="A51" s="114">
        <v>50</v>
      </c>
      <c r="B51" s="115" t="s">
        <v>1293</v>
      </c>
      <c r="C51" s="5">
        <v>1</v>
      </c>
      <c r="D51" s="5">
        <v>1</v>
      </c>
      <c r="E51" s="116">
        <f t="shared" si="3"/>
        <v>100</v>
      </c>
      <c r="F51" s="133">
        <v>1</v>
      </c>
      <c r="G51" s="134">
        <v>1</v>
      </c>
      <c r="H51" s="116">
        <f t="shared" si="0"/>
        <v>100</v>
      </c>
      <c r="I51" s="117">
        <f t="shared" si="2"/>
        <v>0</v>
      </c>
      <c r="J51" s="118">
        <f t="shared" si="2"/>
        <v>0</v>
      </c>
      <c r="K51" s="119">
        <f t="shared" si="2"/>
        <v>0</v>
      </c>
    </row>
    <row r="52" spans="1:11" x14ac:dyDescent="0.4">
      <c r="A52" s="114">
        <v>51</v>
      </c>
      <c r="B52" s="115" t="s">
        <v>1294</v>
      </c>
      <c r="C52" s="5">
        <v>130</v>
      </c>
      <c r="D52" s="5">
        <v>128</v>
      </c>
      <c r="E52" s="116">
        <f t="shared" si="3"/>
        <v>98</v>
      </c>
      <c r="F52" s="133">
        <v>139</v>
      </c>
      <c r="G52" s="134">
        <v>138</v>
      </c>
      <c r="H52" s="116">
        <f t="shared" si="0"/>
        <v>99</v>
      </c>
      <c r="I52" s="117">
        <f t="shared" si="2"/>
        <v>-9</v>
      </c>
      <c r="J52" s="118">
        <f t="shared" si="2"/>
        <v>-10</v>
      </c>
      <c r="K52" s="119">
        <f t="shared" si="2"/>
        <v>-1</v>
      </c>
    </row>
    <row r="53" spans="1:11" x14ac:dyDescent="0.4">
      <c r="A53" s="114">
        <v>52</v>
      </c>
      <c r="B53" s="115" t="s">
        <v>1122</v>
      </c>
      <c r="C53" s="5">
        <v>198</v>
      </c>
      <c r="D53" s="5">
        <v>194</v>
      </c>
      <c r="E53" s="116">
        <f t="shared" si="3"/>
        <v>98</v>
      </c>
      <c r="F53" s="133">
        <v>219</v>
      </c>
      <c r="G53" s="134">
        <v>216</v>
      </c>
      <c r="H53" s="116">
        <f t="shared" si="0"/>
        <v>99</v>
      </c>
      <c r="I53" s="117">
        <f t="shared" si="2"/>
        <v>-21</v>
      </c>
      <c r="J53" s="118">
        <f t="shared" si="2"/>
        <v>-22</v>
      </c>
      <c r="K53" s="119">
        <f t="shared" si="2"/>
        <v>-1</v>
      </c>
    </row>
    <row r="54" spans="1:11" x14ac:dyDescent="0.4">
      <c r="A54" s="114">
        <v>53</v>
      </c>
      <c r="B54" s="115" t="s">
        <v>295</v>
      </c>
      <c r="C54" s="5">
        <v>1</v>
      </c>
      <c r="D54" s="5">
        <v>1</v>
      </c>
      <c r="E54" s="116">
        <f t="shared" si="3"/>
        <v>100</v>
      </c>
      <c r="F54" s="133">
        <v>1</v>
      </c>
      <c r="G54" s="134">
        <v>1</v>
      </c>
      <c r="H54" s="116">
        <f t="shared" si="0"/>
        <v>100</v>
      </c>
      <c r="I54" s="117">
        <f t="shared" si="2"/>
        <v>0</v>
      </c>
      <c r="J54" s="118">
        <f t="shared" si="2"/>
        <v>0</v>
      </c>
      <c r="K54" s="119">
        <f t="shared" si="2"/>
        <v>0</v>
      </c>
    </row>
    <row r="55" spans="1:11" x14ac:dyDescent="0.4">
      <c r="A55" s="114">
        <v>54</v>
      </c>
      <c r="B55" s="115" t="s">
        <v>1133</v>
      </c>
      <c r="C55" s="5">
        <v>186</v>
      </c>
      <c r="D55" s="5">
        <v>178</v>
      </c>
      <c r="E55" s="116">
        <f t="shared" si="3"/>
        <v>96</v>
      </c>
      <c r="F55" s="133">
        <v>135</v>
      </c>
      <c r="G55" s="134">
        <v>128</v>
      </c>
      <c r="H55" s="116">
        <f t="shared" si="0"/>
        <v>95</v>
      </c>
      <c r="I55" s="117">
        <f t="shared" si="2"/>
        <v>51</v>
      </c>
      <c r="J55" s="118">
        <f t="shared" si="2"/>
        <v>50</v>
      </c>
      <c r="K55" s="119">
        <f t="shared" si="2"/>
        <v>1</v>
      </c>
    </row>
    <row r="56" spans="1:11" x14ac:dyDescent="0.4">
      <c r="A56" s="114">
        <v>55</v>
      </c>
      <c r="B56" s="115" t="s">
        <v>279</v>
      </c>
      <c r="C56" s="5">
        <v>1</v>
      </c>
      <c r="D56" s="5">
        <v>1</v>
      </c>
      <c r="E56" s="116">
        <f t="shared" si="3"/>
        <v>100</v>
      </c>
      <c r="F56" s="133">
        <v>1</v>
      </c>
      <c r="G56" s="134">
        <v>1</v>
      </c>
      <c r="H56" s="116">
        <f t="shared" si="0"/>
        <v>100</v>
      </c>
      <c r="I56" s="117">
        <f t="shared" si="2"/>
        <v>0</v>
      </c>
      <c r="J56" s="118">
        <f t="shared" si="2"/>
        <v>0</v>
      </c>
      <c r="K56" s="119">
        <f t="shared" si="2"/>
        <v>0</v>
      </c>
    </row>
    <row r="57" spans="1:11" x14ac:dyDescent="0.4">
      <c r="A57" s="114">
        <v>56</v>
      </c>
      <c r="B57" s="115" t="s">
        <v>1295</v>
      </c>
      <c r="C57" s="5">
        <v>1</v>
      </c>
      <c r="D57" s="5">
        <v>1</v>
      </c>
      <c r="E57" s="116">
        <f t="shared" si="3"/>
        <v>100</v>
      </c>
      <c r="F57" s="133">
        <v>1</v>
      </c>
      <c r="G57" s="134">
        <v>1</v>
      </c>
      <c r="H57" s="116">
        <f t="shared" si="0"/>
        <v>100</v>
      </c>
      <c r="I57" s="117">
        <f t="shared" si="2"/>
        <v>0</v>
      </c>
      <c r="J57" s="118">
        <f t="shared" si="2"/>
        <v>0</v>
      </c>
      <c r="K57" s="119">
        <f t="shared" si="2"/>
        <v>0</v>
      </c>
    </row>
    <row r="58" spans="1:11" x14ac:dyDescent="0.4">
      <c r="A58" s="114">
        <v>57</v>
      </c>
      <c r="B58" s="115" t="s">
        <v>1296</v>
      </c>
      <c r="C58" s="5">
        <v>52</v>
      </c>
      <c r="D58" s="5">
        <v>45</v>
      </c>
      <c r="E58" s="116">
        <f t="shared" si="3"/>
        <v>87</v>
      </c>
      <c r="F58" s="133">
        <v>49</v>
      </c>
      <c r="G58" s="134">
        <v>44</v>
      </c>
      <c r="H58" s="116">
        <f t="shared" si="0"/>
        <v>90</v>
      </c>
      <c r="I58" s="117">
        <f t="shared" si="2"/>
        <v>3</v>
      </c>
      <c r="J58" s="118">
        <f t="shared" si="2"/>
        <v>1</v>
      </c>
      <c r="K58" s="119">
        <f t="shared" si="2"/>
        <v>-3</v>
      </c>
    </row>
    <row r="59" spans="1:11" x14ac:dyDescent="0.4">
      <c r="A59" s="114">
        <v>58</v>
      </c>
      <c r="B59" s="115" t="s">
        <v>1151</v>
      </c>
      <c r="C59" s="5">
        <v>87</v>
      </c>
      <c r="D59" s="5">
        <v>80</v>
      </c>
      <c r="E59" s="116">
        <f t="shared" si="3"/>
        <v>92</v>
      </c>
      <c r="F59" s="133">
        <v>94</v>
      </c>
      <c r="G59" s="134">
        <v>87</v>
      </c>
      <c r="H59" s="116">
        <f t="shared" si="0"/>
        <v>93</v>
      </c>
      <c r="I59" s="117">
        <f t="shared" si="2"/>
        <v>-7</v>
      </c>
      <c r="J59" s="118">
        <f t="shared" si="2"/>
        <v>-7</v>
      </c>
      <c r="K59" s="119">
        <f t="shared" si="2"/>
        <v>-1</v>
      </c>
    </row>
    <row r="60" spans="1:11" x14ac:dyDescent="0.4">
      <c r="A60" s="114">
        <v>59</v>
      </c>
      <c r="B60" s="115" t="s">
        <v>1107</v>
      </c>
      <c r="C60" s="5">
        <v>65</v>
      </c>
      <c r="D60" s="5">
        <v>43</v>
      </c>
      <c r="E60" s="116">
        <f t="shared" si="3"/>
        <v>66</v>
      </c>
      <c r="F60" s="133">
        <v>36</v>
      </c>
      <c r="G60" s="134">
        <v>24</v>
      </c>
      <c r="H60" s="116">
        <f t="shared" si="0"/>
        <v>67</v>
      </c>
      <c r="I60" s="117">
        <f t="shared" si="2"/>
        <v>29</v>
      </c>
      <c r="J60" s="118">
        <f t="shared" si="2"/>
        <v>19</v>
      </c>
      <c r="K60" s="119">
        <f t="shared" si="2"/>
        <v>-1</v>
      </c>
    </row>
    <row r="61" spans="1:11" x14ac:dyDescent="0.4">
      <c r="A61" s="114">
        <v>60</v>
      </c>
      <c r="B61" s="115" t="s">
        <v>1137</v>
      </c>
      <c r="C61" s="5">
        <v>136</v>
      </c>
      <c r="D61" s="5">
        <v>130</v>
      </c>
      <c r="E61" s="116">
        <f t="shared" si="3"/>
        <v>96</v>
      </c>
      <c r="F61" s="133">
        <v>143</v>
      </c>
      <c r="G61" s="134">
        <v>136</v>
      </c>
      <c r="H61" s="116">
        <f t="shared" si="0"/>
        <v>95</v>
      </c>
      <c r="I61" s="117">
        <f t="shared" si="2"/>
        <v>-7</v>
      </c>
      <c r="J61" s="118">
        <f t="shared" si="2"/>
        <v>-6</v>
      </c>
      <c r="K61" s="119">
        <f t="shared" si="2"/>
        <v>1</v>
      </c>
    </row>
    <row r="62" spans="1:11" x14ac:dyDescent="0.4">
      <c r="A62" s="114">
        <v>61</v>
      </c>
      <c r="B62" s="115" t="s">
        <v>1136</v>
      </c>
      <c r="C62" s="5">
        <v>168</v>
      </c>
      <c r="D62" s="5">
        <v>165</v>
      </c>
      <c r="E62" s="116">
        <f t="shared" si="3"/>
        <v>98</v>
      </c>
      <c r="F62" s="133">
        <v>190</v>
      </c>
      <c r="G62" s="134">
        <v>184</v>
      </c>
      <c r="H62" s="116">
        <f t="shared" si="0"/>
        <v>97</v>
      </c>
      <c r="I62" s="117">
        <f t="shared" si="2"/>
        <v>-22</v>
      </c>
      <c r="J62" s="118">
        <f t="shared" si="2"/>
        <v>-19</v>
      </c>
      <c r="K62" s="119">
        <f t="shared" si="2"/>
        <v>1</v>
      </c>
    </row>
    <row r="63" spans="1:11" x14ac:dyDescent="0.4">
      <c r="A63" s="114">
        <v>62</v>
      </c>
      <c r="B63" s="115" t="s">
        <v>1106</v>
      </c>
      <c r="C63" s="5">
        <v>202</v>
      </c>
      <c r="D63" s="5">
        <v>201</v>
      </c>
      <c r="E63" s="116">
        <f t="shared" si="3"/>
        <v>100</v>
      </c>
      <c r="F63" s="133">
        <v>227</v>
      </c>
      <c r="G63" s="134">
        <v>223</v>
      </c>
      <c r="H63" s="116">
        <f t="shared" si="0"/>
        <v>98</v>
      </c>
      <c r="I63" s="117">
        <f t="shared" si="2"/>
        <v>-25</v>
      </c>
      <c r="J63" s="118">
        <f t="shared" si="2"/>
        <v>-22</v>
      </c>
      <c r="K63" s="119">
        <f t="shared" si="2"/>
        <v>2</v>
      </c>
    </row>
    <row r="64" spans="1:11" x14ac:dyDescent="0.4">
      <c r="A64" s="114">
        <v>63</v>
      </c>
      <c r="B64" s="115" t="s">
        <v>280</v>
      </c>
      <c r="C64" s="5">
        <v>1</v>
      </c>
      <c r="D64" s="5">
        <v>1</v>
      </c>
      <c r="E64" s="116">
        <f t="shared" si="3"/>
        <v>100</v>
      </c>
      <c r="F64" s="133">
        <v>1</v>
      </c>
      <c r="G64" s="134">
        <v>1</v>
      </c>
      <c r="H64" s="116">
        <f t="shared" si="0"/>
        <v>100</v>
      </c>
      <c r="I64" s="117">
        <f t="shared" si="2"/>
        <v>0</v>
      </c>
      <c r="J64" s="118">
        <f t="shared" si="2"/>
        <v>0</v>
      </c>
      <c r="K64" s="119">
        <f t="shared" si="2"/>
        <v>0</v>
      </c>
    </row>
    <row r="65" spans="1:11" x14ac:dyDescent="0.4">
      <c r="A65" s="114">
        <v>64</v>
      </c>
      <c r="B65" s="115" t="s">
        <v>1297</v>
      </c>
      <c r="C65" s="5">
        <v>144</v>
      </c>
      <c r="D65" s="5">
        <v>127</v>
      </c>
      <c r="E65" s="116">
        <f t="shared" si="3"/>
        <v>88</v>
      </c>
      <c r="F65" s="133">
        <v>153</v>
      </c>
      <c r="G65" s="134">
        <v>139</v>
      </c>
      <c r="H65" s="116">
        <f t="shared" si="0"/>
        <v>91</v>
      </c>
      <c r="I65" s="117">
        <f t="shared" si="2"/>
        <v>-9</v>
      </c>
      <c r="J65" s="118">
        <f t="shared" si="2"/>
        <v>-12</v>
      </c>
      <c r="K65" s="119">
        <f t="shared" si="2"/>
        <v>-3</v>
      </c>
    </row>
    <row r="66" spans="1:11" x14ac:dyDescent="0.4">
      <c r="A66" s="114">
        <v>65</v>
      </c>
      <c r="B66" s="115" t="s">
        <v>1298</v>
      </c>
      <c r="C66" s="5">
        <v>1</v>
      </c>
      <c r="D66" s="5">
        <v>1</v>
      </c>
      <c r="E66" s="116">
        <f t="shared" si="3"/>
        <v>100</v>
      </c>
      <c r="F66" s="133">
        <v>1</v>
      </c>
      <c r="G66" s="134">
        <v>1</v>
      </c>
      <c r="H66" s="116">
        <f t="shared" si="0"/>
        <v>100</v>
      </c>
      <c r="I66" s="117">
        <f t="shared" si="2"/>
        <v>0</v>
      </c>
      <c r="J66" s="118">
        <f t="shared" si="2"/>
        <v>0</v>
      </c>
      <c r="K66" s="119">
        <f t="shared" si="2"/>
        <v>0</v>
      </c>
    </row>
    <row r="67" spans="1:11" x14ac:dyDescent="0.4">
      <c r="A67" s="114">
        <v>66</v>
      </c>
      <c r="B67" s="115" t="s">
        <v>1299</v>
      </c>
      <c r="C67" s="5">
        <v>151</v>
      </c>
      <c r="D67" s="5">
        <v>139</v>
      </c>
      <c r="E67" s="116">
        <f t="shared" ref="E67:E121" si="5">IFERROR(ROUND(D67/C67*100,0),"100")</f>
        <v>92</v>
      </c>
      <c r="F67" s="133">
        <v>157</v>
      </c>
      <c r="G67" s="134">
        <v>147</v>
      </c>
      <c r="H67" s="116">
        <f t="shared" ref="H67:H121" si="6">IFERROR(ROUND(G67/F67*100,0),"100")</f>
        <v>94</v>
      </c>
      <c r="I67" s="117">
        <f t="shared" ref="I67:K121" si="7">C67-F67</f>
        <v>-6</v>
      </c>
      <c r="J67" s="118">
        <f t="shared" si="7"/>
        <v>-8</v>
      </c>
      <c r="K67" s="119">
        <f t="shared" si="7"/>
        <v>-2</v>
      </c>
    </row>
    <row r="68" spans="1:11" x14ac:dyDescent="0.4">
      <c r="A68" s="114">
        <v>67</v>
      </c>
      <c r="B68" s="115" t="s">
        <v>1138</v>
      </c>
      <c r="C68" s="5">
        <v>138</v>
      </c>
      <c r="D68" s="5">
        <v>125</v>
      </c>
      <c r="E68" s="116">
        <f t="shared" si="5"/>
        <v>91</v>
      </c>
      <c r="F68" s="133">
        <v>136</v>
      </c>
      <c r="G68" s="134">
        <v>125</v>
      </c>
      <c r="H68" s="116">
        <f t="shared" si="6"/>
        <v>92</v>
      </c>
      <c r="I68" s="117">
        <f t="shared" si="7"/>
        <v>2</v>
      </c>
      <c r="J68" s="118">
        <f t="shared" si="7"/>
        <v>0</v>
      </c>
      <c r="K68" s="119">
        <f t="shared" si="7"/>
        <v>-1</v>
      </c>
    </row>
    <row r="69" spans="1:11" x14ac:dyDescent="0.4">
      <c r="A69" s="114">
        <v>68</v>
      </c>
      <c r="B69" s="115" t="s">
        <v>869</v>
      </c>
      <c r="C69" s="5">
        <v>1</v>
      </c>
      <c r="D69" s="5">
        <v>1</v>
      </c>
      <c r="E69" s="116">
        <f t="shared" si="5"/>
        <v>100</v>
      </c>
      <c r="F69" s="133">
        <v>1</v>
      </c>
      <c r="G69" s="134">
        <v>1</v>
      </c>
      <c r="H69" s="116">
        <f t="shared" si="6"/>
        <v>100</v>
      </c>
      <c r="I69" s="117">
        <f t="shared" si="7"/>
        <v>0</v>
      </c>
      <c r="J69" s="118">
        <f t="shared" si="7"/>
        <v>0</v>
      </c>
      <c r="K69" s="119">
        <f t="shared" si="7"/>
        <v>0</v>
      </c>
    </row>
    <row r="70" spans="1:11" x14ac:dyDescent="0.4">
      <c r="A70" s="114">
        <v>69</v>
      </c>
      <c r="B70" s="115" t="s">
        <v>871</v>
      </c>
      <c r="C70" s="5">
        <v>1</v>
      </c>
      <c r="D70" s="5">
        <v>1</v>
      </c>
      <c r="E70" s="116">
        <f t="shared" si="5"/>
        <v>100</v>
      </c>
      <c r="F70" s="133">
        <v>1</v>
      </c>
      <c r="G70" s="134">
        <v>1</v>
      </c>
      <c r="H70" s="116">
        <f t="shared" si="6"/>
        <v>100</v>
      </c>
      <c r="I70" s="117">
        <f t="shared" si="7"/>
        <v>0</v>
      </c>
      <c r="J70" s="118">
        <f t="shared" si="7"/>
        <v>0</v>
      </c>
      <c r="K70" s="119">
        <f t="shared" si="7"/>
        <v>0</v>
      </c>
    </row>
    <row r="71" spans="1:11" x14ac:dyDescent="0.4">
      <c r="A71" s="114">
        <v>70</v>
      </c>
      <c r="B71" s="115" t="s">
        <v>874</v>
      </c>
      <c r="C71" s="5">
        <v>1</v>
      </c>
      <c r="D71" s="5">
        <v>1</v>
      </c>
      <c r="E71" s="116">
        <f t="shared" si="5"/>
        <v>100</v>
      </c>
      <c r="F71" s="133">
        <v>1</v>
      </c>
      <c r="G71" s="134">
        <v>1</v>
      </c>
      <c r="H71" s="116">
        <f t="shared" si="6"/>
        <v>100</v>
      </c>
      <c r="I71" s="117">
        <f t="shared" si="7"/>
        <v>0</v>
      </c>
      <c r="J71" s="118">
        <f t="shared" si="7"/>
        <v>0</v>
      </c>
      <c r="K71" s="119">
        <f t="shared" si="7"/>
        <v>0</v>
      </c>
    </row>
    <row r="72" spans="1:11" x14ac:dyDescent="0.4">
      <c r="A72" s="114">
        <v>71</v>
      </c>
      <c r="B72" s="115" t="s">
        <v>1300</v>
      </c>
      <c r="C72" s="5">
        <v>1</v>
      </c>
      <c r="D72" s="5">
        <v>1</v>
      </c>
      <c r="E72" s="116">
        <f t="shared" si="5"/>
        <v>100</v>
      </c>
      <c r="F72" s="133">
        <v>1</v>
      </c>
      <c r="G72" s="134">
        <v>1</v>
      </c>
      <c r="H72" s="116">
        <f t="shared" si="6"/>
        <v>100</v>
      </c>
      <c r="I72" s="117">
        <f t="shared" si="7"/>
        <v>0</v>
      </c>
      <c r="J72" s="118">
        <f t="shared" si="7"/>
        <v>0</v>
      </c>
      <c r="K72" s="119">
        <f t="shared" si="7"/>
        <v>0</v>
      </c>
    </row>
    <row r="73" spans="1:11" x14ac:dyDescent="0.4">
      <c r="A73" s="114">
        <v>72</v>
      </c>
      <c r="B73" s="115" t="s">
        <v>1301</v>
      </c>
      <c r="C73" s="5">
        <v>1</v>
      </c>
      <c r="D73" s="5">
        <v>1</v>
      </c>
      <c r="E73" s="116">
        <f t="shared" si="5"/>
        <v>100</v>
      </c>
      <c r="F73" s="133">
        <v>1</v>
      </c>
      <c r="G73" s="134">
        <v>1</v>
      </c>
      <c r="H73" s="116">
        <f t="shared" si="6"/>
        <v>100</v>
      </c>
      <c r="I73" s="117">
        <f t="shared" si="7"/>
        <v>0</v>
      </c>
      <c r="J73" s="118">
        <f t="shared" si="7"/>
        <v>0</v>
      </c>
      <c r="K73" s="119">
        <f t="shared" si="7"/>
        <v>0</v>
      </c>
    </row>
    <row r="74" spans="1:11" x14ac:dyDescent="0.4">
      <c r="A74" s="114">
        <v>73</v>
      </c>
      <c r="B74" s="115" t="s">
        <v>1302</v>
      </c>
      <c r="C74" s="5">
        <v>1</v>
      </c>
      <c r="D74" s="5">
        <v>1</v>
      </c>
      <c r="E74" s="116">
        <f t="shared" si="5"/>
        <v>100</v>
      </c>
      <c r="F74" s="133">
        <v>1</v>
      </c>
      <c r="G74" s="134">
        <v>1</v>
      </c>
      <c r="H74" s="116">
        <f t="shared" si="6"/>
        <v>100</v>
      </c>
      <c r="I74" s="117">
        <f t="shared" si="7"/>
        <v>0</v>
      </c>
      <c r="J74" s="118">
        <f t="shared" si="7"/>
        <v>0</v>
      </c>
      <c r="K74" s="119">
        <f t="shared" si="7"/>
        <v>0</v>
      </c>
    </row>
    <row r="75" spans="1:11" x14ac:dyDescent="0.4">
      <c r="A75" s="114">
        <v>74</v>
      </c>
      <c r="B75" s="115" t="s">
        <v>1303</v>
      </c>
      <c r="C75" s="5">
        <v>1</v>
      </c>
      <c r="D75" s="5">
        <v>1</v>
      </c>
      <c r="E75" s="116">
        <f t="shared" si="5"/>
        <v>100</v>
      </c>
      <c r="F75" s="133">
        <v>1</v>
      </c>
      <c r="G75" s="134">
        <v>1</v>
      </c>
      <c r="H75" s="116">
        <f t="shared" si="6"/>
        <v>100</v>
      </c>
      <c r="I75" s="117">
        <f t="shared" si="7"/>
        <v>0</v>
      </c>
      <c r="J75" s="118">
        <f t="shared" si="7"/>
        <v>0</v>
      </c>
      <c r="K75" s="119">
        <f t="shared" si="7"/>
        <v>0</v>
      </c>
    </row>
    <row r="76" spans="1:11" x14ac:dyDescent="0.4">
      <c r="A76" s="114">
        <v>75</v>
      </c>
      <c r="B76" s="115" t="s">
        <v>1304</v>
      </c>
      <c r="C76" s="5">
        <v>1</v>
      </c>
      <c r="D76" s="5">
        <v>1</v>
      </c>
      <c r="E76" s="116">
        <f t="shared" si="5"/>
        <v>100</v>
      </c>
      <c r="F76" s="133">
        <v>1</v>
      </c>
      <c r="G76" s="134">
        <v>1</v>
      </c>
      <c r="H76" s="116">
        <f t="shared" si="6"/>
        <v>100</v>
      </c>
      <c r="I76" s="117">
        <f t="shared" si="7"/>
        <v>0</v>
      </c>
      <c r="J76" s="118">
        <f t="shared" si="7"/>
        <v>0</v>
      </c>
      <c r="K76" s="119">
        <f t="shared" si="7"/>
        <v>0</v>
      </c>
    </row>
    <row r="77" spans="1:11" x14ac:dyDescent="0.4">
      <c r="A77" s="114">
        <v>76</v>
      </c>
      <c r="B77" s="115" t="s">
        <v>1305</v>
      </c>
      <c r="C77" s="5">
        <v>1</v>
      </c>
      <c r="D77" s="5">
        <v>1</v>
      </c>
      <c r="E77" s="116">
        <f t="shared" si="5"/>
        <v>100</v>
      </c>
      <c r="F77" s="133">
        <v>1</v>
      </c>
      <c r="G77" s="134">
        <v>1</v>
      </c>
      <c r="H77" s="116">
        <f t="shared" si="6"/>
        <v>100</v>
      </c>
      <c r="I77" s="117">
        <f t="shared" si="7"/>
        <v>0</v>
      </c>
      <c r="J77" s="118">
        <f t="shared" si="7"/>
        <v>0</v>
      </c>
      <c r="K77" s="119">
        <f t="shared" si="7"/>
        <v>0</v>
      </c>
    </row>
    <row r="78" spans="1:11" x14ac:dyDescent="0.4">
      <c r="A78" s="114">
        <v>77</v>
      </c>
      <c r="B78" s="115" t="s">
        <v>1306</v>
      </c>
      <c r="C78" s="5">
        <v>1</v>
      </c>
      <c r="D78" s="5">
        <v>1</v>
      </c>
      <c r="E78" s="116">
        <f t="shared" si="5"/>
        <v>100</v>
      </c>
      <c r="F78" s="133">
        <v>1</v>
      </c>
      <c r="G78" s="134">
        <v>1</v>
      </c>
      <c r="H78" s="116">
        <f t="shared" si="6"/>
        <v>100</v>
      </c>
      <c r="I78" s="117">
        <f t="shared" si="7"/>
        <v>0</v>
      </c>
      <c r="J78" s="118">
        <f t="shared" si="7"/>
        <v>0</v>
      </c>
      <c r="K78" s="119">
        <f t="shared" si="7"/>
        <v>0</v>
      </c>
    </row>
    <row r="79" spans="1:11" x14ac:dyDescent="0.4">
      <c r="A79" s="114">
        <v>78</v>
      </c>
      <c r="B79" s="115" t="s">
        <v>1307</v>
      </c>
      <c r="C79" s="5">
        <v>1</v>
      </c>
      <c r="D79" s="5">
        <v>1</v>
      </c>
      <c r="E79" s="116">
        <f t="shared" si="5"/>
        <v>100</v>
      </c>
      <c r="F79" s="133">
        <v>1</v>
      </c>
      <c r="G79" s="134">
        <v>1</v>
      </c>
      <c r="H79" s="116">
        <f t="shared" si="6"/>
        <v>100</v>
      </c>
      <c r="I79" s="117">
        <f t="shared" si="7"/>
        <v>0</v>
      </c>
      <c r="J79" s="118">
        <f t="shared" si="7"/>
        <v>0</v>
      </c>
      <c r="K79" s="119">
        <f t="shared" si="7"/>
        <v>0</v>
      </c>
    </row>
    <row r="80" spans="1:11" x14ac:dyDescent="0.4">
      <c r="A80" s="114">
        <v>79</v>
      </c>
      <c r="B80" s="115" t="s">
        <v>1308</v>
      </c>
      <c r="C80" s="5">
        <v>1</v>
      </c>
      <c r="D80" s="5">
        <v>1</v>
      </c>
      <c r="E80" s="116">
        <f t="shared" si="5"/>
        <v>100</v>
      </c>
      <c r="F80" s="133">
        <v>1</v>
      </c>
      <c r="G80" s="134">
        <v>1</v>
      </c>
      <c r="H80" s="116">
        <f t="shared" si="6"/>
        <v>100</v>
      </c>
      <c r="I80" s="117">
        <f t="shared" si="7"/>
        <v>0</v>
      </c>
      <c r="J80" s="118">
        <f t="shared" si="7"/>
        <v>0</v>
      </c>
      <c r="K80" s="119">
        <f t="shared" si="7"/>
        <v>0</v>
      </c>
    </row>
    <row r="81" spans="1:11" x14ac:dyDescent="0.4">
      <c r="A81" s="114">
        <v>80</v>
      </c>
      <c r="B81" s="115" t="s">
        <v>1147</v>
      </c>
      <c r="C81" s="5">
        <v>58</v>
      </c>
      <c r="D81" s="5">
        <v>48</v>
      </c>
      <c r="E81" s="116">
        <f t="shared" si="5"/>
        <v>83</v>
      </c>
      <c r="F81" s="133">
        <v>58</v>
      </c>
      <c r="G81" s="134">
        <v>48</v>
      </c>
      <c r="H81" s="116">
        <f t="shared" si="6"/>
        <v>83</v>
      </c>
      <c r="I81" s="117">
        <f t="shared" si="7"/>
        <v>0</v>
      </c>
      <c r="J81" s="118">
        <f t="shared" si="7"/>
        <v>0</v>
      </c>
      <c r="K81" s="119">
        <f t="shared" si="7"/>
        <v>0</v>
      </c>
    </row>
    <row r="82" spans="1:11" x14ac:dyDescent="0.4">
      <c r="A82" s="114">
        <v>81</v>
      </c>
      <c r="B82" s="115" t="s">
        <v>1309</v>
      </c>
      <c r="C82" s="5">
        <v>121</v>
      </c>
      <c r="D82" s="5">
        <v>107</v>
      </c>
      <c r="E82" s="116">
        <f t="shared" si="5"/>
        <v>88</v>
      </c>
      <c r="F82" s="133">
        <v>125</v>
      </c>
      <c r="G82" s="134">
        <v>111</v>
      </c>
      <c r="H82" s="116">
        <f t="shared" si="6"/>
        <v>89</v>
      </c>
      <c r="I82" s="117">
        <f t="shared" si="7"/>
        <v>-4</v>
      </c>
      <c r="J82" s="118">
        <f t="shared" si="7"/>
        <v>-4</v>
      </c>
      <c r="K82" s="119">
        <f t="shared" si="7"/>
        <v>-1</v>
      </c>
    </row>
    <row r="83" spans="1:11" x14ac:dyDescent="0.4">
      <c r="A83" s="114">
        <v>82</v>
      </c>
      <c r="B83" s="115" t="s">
        <v>1310</v>
      </c>
      <c r="C83" s="5">
        <v>1</v>
      </c>
      <c r="D83" s="5">
        <v>1</v>
      </c>
      <c r="E83" s="116">
        <f t="shared" si="5"/>
        <v>100</v>
      </c>
      <c r="F83" s="133">
        <v>1</v>
      </c>
      <c r="G83" s="134">
        <v>1</v>
      </c>
      <c r="H83" s="116">
        <f t="shared" si="6"/>
        <v>100</v>
      </c>
      <c r="I83" s="117">
        <f t="shared" si="7"/>
        <v>0</v>
      </c>
      <c r="J83" s="118">
        <f t="shared" si="7"/>
        <v>0</v>
      </c>
      <c r="K83" s="119">
        <f t="shared" si="7"/>
        <v>0</v>
      </c>
    </row>
    <row r="84" spans="1:11" x14ac:dyDescent="0.4">
      <c r="A84" s="114">
        <v>83</v>
      </c>
      <c r="B84" s="115" t="s">
        <v>1311</v>
      </c>
      <c r="C84" s="5">
        <v>14</v>
      </c>
      <c r="D84" s="5">
        <v>7</v>
      </c>
      <c r="E84" s="116">
        <f t="shared" si="5"/>
        <v>50</v>
      </c>
      <c r="F84" s="133">
        <v>19</v>
      </c>
      <c r="G84" s="134">
        <v>16</v>
      </c>
      <c r="H84" s="116">
        <f t="shared" si="6"/>
        <v>84</v>
      </c>
      <c r="I84" s="117">
        <f t="shared" si="7"/>
        <v>-5</v>
      </c>
      <c r="J84" s="118">
        <f t="shared" si="7"/>
        <v>-9</v>
      </c>
      <c r="K84" s="119">
        <f t="shared" si="7"/>
        <v>-34</v>
      </c>
    </row>
    <row r="85" spans="1:11" x14ac:dyDescent="0.4">
      <c r="A85" s="114">
        <v>84</v>
      </c>
      <c r="B85" s="115" t="s">
        <v>1312</v>
      </c>
      <c r="C85" s="5">
        <v>151</v>
      </c>
      <c r="D85" s="5">
        <v>144</v>
      </c>
      <c r="E85" s="116">
        <f t="shared" si="5"/>
        <v>95</v>
      </c>
      <c r="F85" s="133">
        <v>164</v>
      </c>
      <c r="G85" s="134">
        <v>155</v>
      </c>
      <c r="H85" s="116">
        <f t="shared" si="6"/>
        <v>95</v>
      </c>
      <c r="I85" s="117">
        <f t="shared" si="7"/>
        <v>-13</v>
      </c>
      <c r="J85" s="118">
        <f t="shared" si="7"/>
        <v>-11</v>
      </c>
      <c r="K85" s="119">
        <f t="shared" si="7"/>
        <v>0</v>
      </c>
    </row>
    <row r="86" spans="1:11" x14ac:dyDescent="0.4">
      <c r="A86" s="114">
        <v>85</v>
      </c>
      <c r="B86" s="115" t="s">
        <v>1313</v>
      </c>
      <c r="C86" s="5">
        <v>1</v>
      </c>
      <c r="D86" s="5">
        <v>1</v>
      </c>
      <c r="E86" s="116">
        <f t="shared" si="5"/>
        <v>100</v>
      </c>
      <c r="F86" s="133">
        <v>1</v>
      </c>
      <c r="G86" s="134">
        <v>1</v>
      </c>
      <c r="H86" s="116">
        <f t="shared" si="6"/>
        <v>100</v>
      </c>
      <c r="I86" s="117">
        <f t="shared" si="7"/>
        <v>0</v>
      </c>
      <c r="J86" s="118">
        <f t="shared" si="7"/>
        <v>0</v>
      </c>
      <c r="K86" s="119">
        <f t="shared" si="7"/>
        <v>0</v>
      </c>
    </row>
    <row r="87" spans="1:11" x14ac:dyDescent="0.4">
      <c r="A87" s="114">
        <v>86</v>
      </c>
      <c r="B87" s="115" t="s">
        <v>1314</v>
      </c>
      <c r="C87" s="5">
        <v>1</v>
      </c>
      <c r="D87" s="5">
        <v>1</v>
      </c>
      <c r="E87" s="116">
        <f t="shared" si="5"/>
        <v>100</v>
      </c>
      <c r="F87" s="133">
        <v>1</v>
      </c>
      <c r="G87" s="134">
        <v>1</v>
      </c>
      <c r="H87" s="116">
        <f t="shared" si="6"/>
        <v>100</v>
      </c>
      <c r="I87" s="117">
        <f t="shared" si="7"/>
        <v>0</v>
      </c>
      <c r="J87" s="118">
        <f t="shared" si="7"/>
        <v>0</v>
      </c>
      <c r="K87" s="119">
        <f t="shared" si="7"/>
        <v>0</v>
      </c>
    </row>
    <row r="88" spans="1:11" x14ac:dyDescent="0.4">
      <c r="A88" s="114">
        <v>87</v>
      </c>
      <c r="B88" s="115" t="s">
        <v>1315</v>
      </c>
      <c r="C88" s="5">
        <v>1</v>
      </c>
      <c r="D88" s="5">
        <v>1</v>
      </c>
      <c r="E88" s="116">
        <f t="shared" si="5"/>
        <v>100</v>
      </c>
      <c r="F88" s="133">
        <v>1</v>
      </c>
      <c r="G88" s="134">
        <v>1</v>
      </c>
      <c r="H88" s="116">
        <f t="shared" si="6"/>
        <v>100</v>
      </c>
      <c r="I88" s="117">
        <f t="shared" si="7"/>
        <v>0</v>
      </c>
      <c r="J88" s="118">
        <f t="shared" si="7"/>
        <v>0</v>
      </c>
      <c r="K88" s="119">
        <f t="shared" si="7"/>
        <v>0</v>
      </c>
    </row>
    <row r="89" spans="1:11" x14ac:dyDescent="0.4">
      <c r="A89" s="114">
        <v>88</v>
      </c>
      <c r="B89" s="115" t="s">
        <v>1316</v>
      </c>
      <c r="C89" s="5">
        <v>167</v>
      </c>
      <c r="D89" s="5">
        <v>164</v>
      </c>
      <c r="E89" s="116">
        <f t="shared" si="5"/>
        <v>98</v>
      </c>
      <c r="F89" s="133">
        <v>175</v>
      </c>
      <c r="G89" s="134">
        <v>170</v>
      </c>
      <c r="H89" s="116">
        <f t="shared" si="6"/>
        <v>97</v>
      </c>
      <c r="I89" s="117">
        <f t="shared" si="7"/>
        <v>-8</v>
      </c>
      <c r="J89" s="118">
        <f t="shared" si="7"/>
        <v>-6</v>
      </c>
      <c r="K89" s="119">
        <f t="shared" si="7"/>
        <v>1</v>
      </c>
    </row>
    <row r="90" spans="1:11" x14ac:dyDescent="0.4">
      <c r="A90" s="114">
        <v>89</v>
      </c>
      <c r="B90" s="115" t="s">
        <v>1121</v>
      </c>
      <c r="C90" s="5">
        <v>197</v>
      </c>
      <c r="D90" s="5">
        <v>194</v>
      </c>
      <c r="E90" s="116">
        <f t="shared" si="5"/>
        <v>98</v>
      </c>
      <c r="F90" s="133">
        <v>218</v>
      </c>
      <c r="G90" s="134">
        <v>214</v>
      </c>
      <c r="H90" s="116">
        <f t="shared" si="6"/>
        <v>98</v>
      </c>
      <c r="I90" s="117">
        <f t="shared" si="7"/>
        <v>-21</v>
      </c>
      <c r="J90" s="118">
        <f t="shared" si="7"/>
        <v>-20</v>
      </c>
      <c r="K90" s="119">
        <f t="shared" si="7"/>
        <v>0</v>
      </c>
    </row>
    <row r="91" spans="1:11" x14ac:dyDescent="0.4">
      <c r="A91" s="114">
        <v>90</v>
      </c>
      <c r="B91" s="115" t="s">
        <v>837</v>
      </c>
      <c r="C91" s="5">
        <v>37</v>
      </c>
      <c r="D91" s="5">
        <v>32</v>
      </c>
      <c r="E91" s="116">
        <f t="shared" si="5"/>
        <v>86</v>
      </c>
      <c r="F91" s="133">
        <v>42</v>
      </c>
      <c r="G91" s="134">
        <v>38</v>
      </c>
      <c r="H91" s="116">
        <f t="shared" si="6"/>
        <v>90</v>
      </c>
      <c r="I91" s="117">
        <f t="shared" si="7"/>
        <v>-5</v>
      </c>
      <c r="J91" s="118">
        <f t="shared" si="7"/>
        <v>-6</v>
      </c>
      <c r="K91" s="119">
        <f t="shared" si="7"/>
        <v>-4</v>
      </c>
    </row>
    <row r="92" spans="1:11" x14ac:dyDescent="0.4">
      <c r="A92" s="114">
        <v>91</v>
      </c>
      <c r="B92" s="115" t="s">
        <v>1317</v>
      </c>
      <c r="C92" s="5">
        <v>1</v>
      </c>
      <c r="D92" s="5">
        <v>1</v>
      </c>
      <c r="E92" s="116">
        <f t="shared" si="5"/>
        <v>100</v>
      </c>
      <c r="F92" s="133">
        <v>1</v>
      </c>
      <c r="G92" s="134">
        <v>1</v>
      </c>
      <c r="H92" s="116">
        <f t="shared" si="6"/>
        <v>100</v>
      </c>
      <c r="I92" s="117">
        <f t="shared" si="7"/>
        <v>0</v>
      </c>
      <c r="J92" s="118">
        <f t="shared" si="7"/>
        <v>0</v>
      </c>
      <c r="K92" s="119">
        <f t="shared" si="7"/>
        <v>0</v>
      </c>
    </row>
    <row r="93" spans="1:11" x14ac:dyDescent="0.4">
      <c r="A93" s="114">
        <v>92</v>
      </c>
      <c r="B93" s="115" t="s">
        <v>1318</v>
      </c>
      <c r="C93" s="5">
        <v>24</v>
      </c>
      <c r="D93" s="5">
        <v>11</v>
      </c>
      <c r="E93" s="116">
        <f t="shared" si="5"/>
        <v>46</v>
      </c>
      <c r="F93" s="133">
        <v>27</v>
      </c>
      <c r="G93" s="134">
        <v>14</v>
      </c>
      <c r="H93" s="116">
        <f t="shared" si="6"/>
        <v>52</v>
      </c>
      <c r="I93" s="117">
        <f t="shared" si="7"/>
        <v>-3</v>
      </c>
      <c r="J93" s="118">
        <f t="shared" si="7"/>
        <v>-3</v>
      </c>
      <c r="K93" s="119">
        <f t="shared" si="7"/>
        <v>-6</v>
      </c>
    </row>
    <row r="94" spans="1:11" x14ac:dyDescent="0.4">
      <c r="A94" s="114">
        <v>93</v>
      </c>
      <c r="B94" s="115" t="s">
        <v>1319</v>
      </c>
      <c r="C94" s="5">
        <v>78</v>
      </c>
      <c r="D94" s="5">
        <v>73</v>
      </c>
      <c r="E94" s="116">
        <f t="shared" si="5"/>
        <v>94</v>
      </c>
      <c r="F94" s="133">
        <v>80</v>
      </c>
      <c r="G94" s="134">
        <v>74</v>
      </c>
      <c r="H94" s="116">
        <f t="shared" si="6"/>
        <v>93</v>
      </c>
      <c r="I94" s="117">
        <f t="shared" si="7"/>
        <v>-2</v>
      </c>
      <c r="J94" s="118">
        <f t="shared" si="7"/>
        <v>-1</v>
      </c>
      <c r="K94" s="119">
        <f t="shared" si="7"/>
        <v>1</v>
      </c>
    </row>
    <row r="95" spans="1:11" x14ac:dyDescent="0.4">
      <c r="A95" s="114">
        <v>94</v>
      </c>
      <c r="B95" s="115" t="s">
        <v>273</v>
      </c>
      <c r="C95" s="5">
        <v>1</v>
      </c>
      <c r="D95" s="5">
        <v>1</v>
      </c>
      <c r="E95" s="116">
        <f t="shared" si="5"/>
        <v>100</v>
      </c>
      <c r="F95" s="133">
        <v>1</v>
      </c>
      <c r="G95" s="134">
        <v>1</v>
      </c>
      <c r="H95" s="116">
        <f t="shared" si="6"/>
        <v>100</v>
      </c>
      <c r="I95" s="117">
        <f t="shared" si="7"/>
        <v>0</v>
      </c>
      <c r="J95" s="118">
        <f t="shared" si="7"/>
        <v>0</v>
      </c>
      <c r="K95" s="119">
        <f t="shared" si="7"/>
        <v>0</v>
      </c>
    </row>
    <row r="96" spans="1:11" x14ac:dyDescent="0.4">
      <c r="A96" s="114">
        <v>95</v>
      </c>
      <c r="B96" s="115" t="s">
        <v>1145</v>
      </c>
      <c r="C96" s="5">
        <v>69</v>
      </c>
      <c r="D96" s="5">
        <v>37</v>
      </c>
      <c r="E96" s="116">
        <f t="shared" si="5"/>
        <v>54</v>
      </c>
      <c r="F96" s="133">
        <v>62</v>
      </c>
      <c r="G96" s="134">
        <v>37</v>
      </c>
      <c r="H96" s="116">
        <f t="shared" si="6"/>
        <v>60</v>
      </c>
      <c r="I96" s="117">
        <f t="shared" si="7"/>
        <v>7</v>
      </c>
      <c r="J96" s="118">
        <f t="shared" si="7"/>
        <v>0</v>
      </c>
      <c r="K96" s="119">
        <f t="shared" si="7"/>
        <v>-6</v>
      </c>
    </row>
    <row r="97" spans="1:11" x14ac:dyDescent="0.4">
      <c r="A97" s="114">
        <v>96</v>
      </c>
      <c r="B97" s="115" t="s">
        <v>293</v>
      </c>
      <c r="C97" s="5">
        <v>1</v>
      </c>
      <c r="D97" s="5">
        <v>1</v>
      </c>
      <c r="E97" s="116">
        <f t="shared" si="5"/>
        <v>100</v>
      </c>
      <c r="F97" s="133">
        <v>1</v>
      </c>
      <c r="G97" s="134">
        <v>1</v>
      </c>
      <c r="H97" s="116">
        <f t="shared" si="6"/>
        <v>100</v>
      </c>
      <c r="I97" s="117">
        <f t="shared" si="7"/>
        <v>0</v>
      </c>
      <c r="J97" s="118">
        <f t="shared" si="7"/>
        <v>0</v>
      </c>
      <c r="K97" s="119">
        <f t="shared" si="7"/>
        <v>0</v>
      </c>
    </row>
    <row r="98" spans="1:11" x14ac:dyDescent="0.4">
      <c r="A98" s="114">
        <v>97</v>
      </c>
      <c r="B98" s="115" t="s">
        <v>276</v>
      </c>
      <c r="C98" s="5">
        <v>1</v>
      </c>
      <c r="D98" s="5">
        <v>1</v>
      </c>
      <c r="E98" s="116">
        <f t="shared" si="5"/>
        <v>100</v>
      </c>
      <c r="F98" s="133">
        <v>1</v>
      </c>
      <c r="G98" s="134">
        <v>1</v>
      </c>
      <c r="H98" s="116">
        <f t="shared" si="6"/>
        <v>100</v>
      </c>
      <c r="I98" s="117">
        <f t="shared" si="7"/>
        <v>0</v>
      </c>
      <c r="J98" s="118">
        <f t="shared" si="7"/>
        <v>0</v>
      </c>
      <c r="K98" s="119">
        <f t="shared" si="7"/>
        <v>0</v>
      </c>
    </row>
    <row r="99" spans="1:11" x14ac:dyDescent="0.4">
      <c r="A99" s="114">
        <v>98</v>
      </c>
      <c r="B99" s="115" t="s">
        <v>1320</v>
      </c>
      <c r="C99" s="5">
        <v>23</v>
      </c>
      <c r="D99" s="5">
        <v>18</v>
      </c>
      <c r="E99" s="116">
        <f t="shared" si="5"/>
        <v>78</v>
      </c>
      <c r="F99" s="133">
        <v>22</v>
      </c>
      <c r="G99" s="134">
        <v>21</v>
      </c>
      <c r="H99" s="116">
        <f t="shared" si="6"/>
        <v>95</v>
      </c>
      <c r="I99" s="117">
        <f t="shared" si="7"/>
        <v>1</v>
      </c>
      <c r="J99" s="118">
        <f t="shared" si="7"/>
        <v>-3</v>
      </c>
      <c r="K99" s="119">
        <f t="shared" si="7"/>
        <v>-17</v>
      </c>
    </row>
    <row r="100" spans="1:11" x14ac:dyDescent="0.4">
      <c r="A100" s="114">
        <v>99</v>
      </c>
      <c r="B100" s="115" t="s">
        <v>1321</v>
      </c>
      <c r="C100" s="5">
        <v>78</v>
      </c>
      <c r="D100" s="5">
        <v>49</v>
      </c>
      <c r="E100" s="116">
        <f t="shared" si="5"/>
        <v>63</v>
      </c>
      <c r="F100" s="133">
        <v>65</v>
      </c>
      <c r="G100" s="134">
        <v>44</v>
      </c>
      <c r="H100" s="116">
        <f t="shared" si="6"/>
        <v>68</v>
      </c>
      <c r="I100" s="117">
        <f t="shared" si="7"/>
        <v>13</v>
      </c>
      <c r="J100" s="118">
        <f t="shared" si="7"/>
        <v>5</v>
      </c>
      <c r="K100" s="119">
        <f t="shared" si="7"/>
        <v>-5</v>
      </c>
    </row>
    <row r="101" spans="1:11" x14ac:dyDescent="0.4">
      <c r="A101" s="114">
        <v>100</v>
      </c>
      <c r="B101" s="115" t="s">
        <v>1135</v>
      </c>
      <c r="C101" s="5">
        <v>69</v>
      </c>
      <c r="D101" s="5">
        <v>53</v>
      </c>
      <c r="E101" s="116">
        <f t="shared" si="5"/>
        <v>77</v>
      </c>
      <c r="F101" s="133">
        <v>61</v>
      </c>
      <c r="G101" s="134">
        <v>47</v>
      </c>
      <c r="H101" s="116">
        <f t="shared" si="6"/>
        <v>77</v>
      </c>
      <c r="I101" s="117">
        <f t="shared" si="7"/>
        <v>8</v>
      </c>
      <c r="J101" s="118">
        <f t="shared" si="7"/>
        <v>6</v>
      </c>
      <c r="K101" s="119">
        <f t="shared" si="7"/>
        <v>0</v>
      </c>
    </row>
    <row r="102" spans="1:11" x14ac:dyDescent="0.4">
      <c r="A102" s="114">
        <v>101</v>
      </c>
      <c r="B102" s="115" t="s">
        <v>817</v>
      </c>
      <c r="C102" s="5">
        <v>120</v>
      </c>
      <c r="D102" s="5">
        <v>89</v>
      </c>
      <c r="E102" s="116">
        <f t="shared" si="5"/>
        <v>74</v>
      </c>
      <c r="F102" s="133">
        <v>127</v>
      </c>
      <c r="G102" s="134">
        <v>108</v>
      </c>
      <c r="H102" s="116">
        <f t="shared" si="6"/>
        <v>85</v>
      </c>
      <c r="I102" s="117">
        <f t="shared" si="7"/>
        <v>-7</v>
      </c>
      <c r="J102" s="118">
        <f t="shared" si="7"/>
        <v>-19</v>
      </c>
      <c r="K102" s="119">
        <f t="shared" si="7"/>
        <v>-11</v>
      </c>
    </row>
    <row r="103" spans="1:11" x14ac:dyDescent="0.4">
      <c r="A103" s="114">
        <v>102</v>
      </c>
      <c r="B103" s="115" t="s">
        <v>1144</v>
      </c>
      <c r="C103" s="5">
        <v>65</v>
      </c>
      <c r="D103" s="5">
        <v>38</v>
      </c>
      <c r="E103" s="116">
        <f t="shared" si="5"/>
        <v>58</v>
      </c>
      <c r="F103" s="133">
        <v>51</v>
      </c>
      <c r="G103" s="134">
        <v>31</v>
      </c>
      <c r="H103" s="116">
        <f t="shared" si="6"/>
        <v>61</v>
      </c>
      <c r="I103" s="117">
        <f t="shared" si="7"/>
        <v>14</v>
      </c>
      <c r="J103" s="118">
        <f t="shared" si="7"/>
        <v>7</v>
      </c>
      <c r="K103" s="119">
        <f t="shared" si="7"/>
        <v>-3</v>
      </c>
    </row>
    <row r="104" spans="1:11" x14ac:dyDescent="0.4">
      <c r="A104" s="114">
        <v>103</v>
      </c>
      <c r="B104" s="115" t="s">
        <v>1157</v>
      </c>
      <c r="C104" s="5">
        <v>33</v>
      </c>
      <c r="D104" s="5">
        <v>21</v>
      </c>
      <c r="E104" s="116">
        <f t="shared" si="5"/>
        <v>64</v>
      </c>
      <c r="F104" s="133">
        <v>32</v>
      </c>
      <c r="G104" s="134">
        <v>21</v>
      </c>
      <c r="H104" s="116">
        <f t="shared" si="6"/>
        <v>66</v>
      </c>
      <c r="I104" s="117">
        <f t="shared" si="7"/>
        <v>1</v>
      </c>
      <c r="J104" s="118">
        <f t="shared" si="7"/>
        <v>0</v>
      </c>
      <c r="K104" s="119">
        <f t="shared" si="7"/>
        <v>-2</v>
      </c>
    </row>
    <row r="105" spans="1:11" x14ac:dyDescent="0.4">
      <c r="A105" s="114">
        <v>104</v>
      </c>
      <c r="B105" s="115" t="s">
        <v>292</v>
      </c>
      <c r="C105" s="5">
        <v>10</v>
      </c>
      <c r="D105" s="5">
        <v>2</v>
      </c>
      <c r="E105" s="116">
        <f t="shared" si="5"/>
        <v>20</v>
      </c>
      <c r="F105" s="133">
        <v>12</v>
      </c>
      <c r="G105" s="134">
        <v>7</v>
      </c>
      <c r="H105" s="116">
        <f t="shared" si="6"/>
        <v>58</v>
      </c>
      <c r="I105" s="117">
        <f t="shared" si="7"/>
        <v>-2</v>
      </c>
      <c r="J105" s="118">
        <f t="shared" si="7"/>
        <v>-5</v>
      </c>
      <c r="K105" s="119">
        <f t="shared" si="7"/>
        <v>-38</v>
      </c>
    </row>
    <row r="106" spans="1:11" x14ac:dyDescent="0.4">
      <c r="A106" s="114">
        <v>105</v>
      </c>
      <c r="B106" s="115" t="s">
        <v>1120</v>
      </c>
      <c r="C106" s="5">
        <v>193</v>
      </c>
      <c r="D106" s="5">
        <v>186</v>
      </c>
      <c r="E106" s="116">
        <f t="shared" si="5"/>
        <v>96</v>
      </c>
      <c r="F106" s="133">
        <v>207</v>
      </c>
      <c r="G106" s="134">
        <v>198</v>
      </c>
      <c r="H106" s="116">
        <f t="shared" si="6"/>
        <v>96</v>
      </c>
      <c r="I106" s="117">
        <f t="shared" si="7"/>
        <v>-14</v>
      </c>
      <c r="J106" s="118">
        <f t="shared" si="7"/>
        <v>-12</v>
      </c>
      <c r="K106" s="119">
        <f t="shared" si="7"/>
        <v>0</v>
      </c>
    </row>
    <row r="107" spans="1:11" x14ac:dyDescent="0.4">
      <c r="A107" s="114">
        <v>106</v>
      </c>
      <c r="B107" s="115" t="s">
        <v>1143</v>
      </c>
      <c r="C107" s="5">
        <v>41</v>
      </c>
      <c r="D107" s="5">
        <v>27</v>
      </c>
      <c r="E107" s="116">
        <f t="shared" si="5"/>
        <v>66</v>
      </c>
      <c r="F107" s="133">
        <v>28</v>
      </c>
      <c r="G107" s="134">
        <v>21</v>
      </c>
      <c r="H107" s="116">
        <f t="shared" si="6"/>
        <v>75</v>
      </c>
      <c r="I107" s="117">
        <f t="shared" si="7"/>
        <v>13</v>
      </c>
      <c r="J107" s="118">
        <f t="shared" si="7"/>
        <v>6</v>
      </c>
      <c r="K107" s="119">
        <f t="shared" si="7"/>
        <v>-9</v>
      </c>
    </row>
    <row r="108" spans="1:11" x14ac:dyDescent="0.4">
      <c r="A108" s="114">
        <v>107</v>
      </c>
      <c r="B108" s="115" t="s">
        <v>274</v>
      </c>
      <c r="C108" s="5">
        <v>1</v>
      </c>
      <c r="D108" s="5">
        <v>1</v>
      </c>
      <c r="E108" s="116">
        <f t="shared" si="5"/>
        <v>100</v>
      </c>
      <c r="F108" s="133">
        <v>1</v>
      </c>
      <c r="G108" s="134">
        <v>1</v>
      </c>
      <c r="H108" s="116">
        <f t="shared" si="6"/>
        <v>100</v>
      </c>
      <c r="I108" s="117">
        <f t="shared" si="7"/>
        <v>0</v>
      </c>
      <c r="J108" s="118">
        <f t="shared" si="7"/>
        <v>0</v>
      </c>
      <c r="K108" s="119">
        <f t="shared" si="7"/>
        <v>0</v>
      </c>
    </row>
    <row r="109" spans="1:11" x14ac:dyDescent="0.4">
      <c r="A109" s="114">
        <v>108</v>
      </c>
      <c r="B109" s="115" t="s">
        <v>1322</v>
      </c>
      <c r="C109" s="5">
        <v>124</v>
      </c>
      <c r="D109" s="5">
        <v>116</v>
      </c>
      <c r="E109" s="116">
        <f t="shared" si="5"/>
        <v>94</v>
      </c>
      <c r="F109" s="133">
        <v>121</v>
      </c>
      <c r="G109" s="134">
        <v>115</v>
      </c>
      <c r="H109" s="116">
        <f t="shared" si="6"/>
        <v>95</v>
      </c>
      <c r="I109" s="117">
        <f t="shared" si="7"/>
        <v>3</v>
      </c>
      <c r="J109" s="118">
        <f t="shared" si="7"/>
        <v>1</v>
      </c>
      <c r="K109" s="119">
        <f t="shared" si="7"/>
        <v>-1</v>
      </c>
    </row>
    <row r="110" spans="1:11" x14ac:dyDescent="0.4">
      <c r="A110" s="114">
        <v>109</v>
      </c>
      <c r="B110" s="115" t="s">
        <v>1119</v>
      </c>
      <c r="C110" s="5">
        <v>95</v>
      </c>
      <c r="D110" s="5">
        <v>91</v>
      </c>
      <c r="E110" s="116">
        <f t="shared" si="5"/>
        <v>96</v>
      </c>
      <c r="F110" s="133">
        <v>107</v>
      </c>
      <c r="G110" s="134">
        <v>97</v>
      </c>
      <c r="H110" s="116">
        <f t="shared" si="6"/>
        <v>91</v>
      </c>
      <c r="I110" s="117">
        <f t="shared" si="7"/>
        <v>-12</v>
      </c>
      <c r="J110" s="118">
        <f t="shared" si="7"/>
        <v>-6</v>
      </c>
      <c r="K110" s="119">
        <f t="shared" si="7"/>
        <v>5</v>
      </c>
    </row>
    <row r="111" spans="1:11" x14ac:dyDescent="0.4">
      <c r="A111" s="114">
        <v>110</v>
      </c>
      <c r="B111" s="115" t="s">
        <v>1323</v>
      </c>
      <c r="C111" s="5">
        <v>140</v>
      </c>
      <c r="D111" s="5">
        <v>124</v>
      </c>
      <c r="E111" s="116">
        <f t="shared" si="5"/>
        <v>89</v>
      </c>
      <c r="F111" s="133">
        <v>140</v>
      </c>
      <c r="G111" s="134">
        <v>130</v>
      </c>
      <c r="H111" s="116">
        <f t="shared" si="6"/>
        <v>93</v>
      </c>
      <c r="I111" s="117">
        <f t="shared" si="7"/>
        <v>0</v>
      </c>
      <c r="J111" s="118">
        <f t="shared" si="7"/>
        <v>-6</v>
      </c>
      <c r="K111" s="119">
        <f t="shared" si="7"/>
        <v>-4</v>
      </c>
    </row>
    <row r="112" spans="1:11" x14ac:dyDescent="0.4">
      <c r="A112" s="114">
        <v>111</v>
      </c>
      <c r="B112" s="115" t="s">
        <v>1152</v>
      </c>
      <c r="C112" s="5">
        <v>32</v>
      </c>
      <c r="D112" s="5">
        <v>20</v>
      </c>
      <c r="E112" s="116">
        <f t="shared" si="5"/>
        <v>63</v>
      </c>
      <c r="F112" s="133">
        <v>30</v>
      </c>
      <c r="G112" s="134">
        <v>23</v>
      </c>
      <c r="H112" s="116">
        <f t="shared" si="6"/>
        <v>77</v>
      </c>
      <c r="I112" s="117">
        <f t="shared" si="7"/>
        <v>2</v>
      </c>
      <c r="J112" s="118">
        <f t="shared" si="7"/>
        <v>-3</v>
      </c>
      <c r="K112" s="119">
        <f t="shared" si="7"/>
        <v>-14</v>
      </c>
    </row>
    <row r="113" spans="1:11" x14ac:dyDescent="0.4">
      <c r="A113" s="114">
        <v>112</v>
      </c>
      <c r="B113" s="115" t="s">
        <v>1324</v>
      </c>
      <c r="C113" s="5">
        <v>144</v>
      </c>
      <c r="D113" s="5">
        <v>132</v>
      </c>
      <c r="E113" s="116">
        <f t="shared" si="5"/>
        <v>92</v>
      </c>
      <c r="F113" s="133">
        <v>137</v>
      </c>
      <c r="G113" s="134">
        <v>125</v>
      </c>
      <c r="H113" s="116">
        <f t="shared" si="6"/>
        <v>91</v>
      </c>
      <c r="I113" s="117">
        <f t="shared" si="7"/>
        <v>7</v>
      </c>
      <c r="J113" s="118">
        <f t="shared" si="7"/>
        <v>7</v>
      </c>
      <c r="K113" s="119">
        <f t="shared" si="7"/>
        <v>1</v>
      </c>
    </row>
    <row r="114" spans="1:11" x14ac:dyDescent="0.4">
      <c r="A114" s="114">
        <v>113</v>
      </c>
      <c r="B114" s="115" t="s">
        <v>1052</v>
      </c>
      <c r="C114" s="5">
        <v>178</v>
      </c>
      <c r="D114" s="5">
        <v>176</v>
      </c>
      <c r="E114" s="116">
        <f t="shared" si="5"/>
        <v>99</v>
      </c>
      <c r="F114" s="133">
        <v>178</v>
      </c>
      <c r="G114" s="134">
        <v>165</v>
      </c>
      <c r="H114" s="116">
        <f t="shared" si="6"/>
        <v>93</v>
      </c>
      <c r="I114" s="117">
        <f t="shared" si="7"/>
        <v>0</v>
      </c>
      <c r="J114" s="118">
        <f t="shared" si="7"/>
        <v>11</v>
      </c>
      <c r="K114" s="119">
        <f t="shared" si="7"/>
        <v>6</v>
      </c>
    </row>
    <row r="115" spans="1:11" x14ac:dyDescent="0.4">
      <c r="A115" s="114">
        <v>114</v>
      </c>
      <c r="B115" s="115" t="s">
        <v>1149</v>
      </c>
      <c r="C115" s="5">
        <v>85</v>
      </c>
      <c r="D115" s="5">
        <v>81</v>
      </c>
      <c r="E115" s="116">
        <f t="shared" si="5"/>
        <v>95</v>
      </c>
      <c r="F115" s="133">
        <v>92</v>
      </c>
      <c r="G115" s="134">
        <v>85</v>
      </c>
      <c r="H115" s="116">
        <f t="shared" si="6"/>
        <v>92</v>
      </c>
      <c r="I115" s="117">
        <f t="shared" si="7"/>
        <v>-7</v>
      </c>
      <c r="J115" s="118">
        <f t="shared" si="7"/>
        <v>-4</v>
      </c>
      <c r="K115" s="119">
        <f t="shared" si="7"/>
        <v>3</v>
      </c>
    </row>
    <row r="116" spans="1:11" x14ac:dyDescent="0.4">
      <c r="A116" s="114">
        <v>115</v>
      </c>
      <c r="B116" s="115" t="s">
        <v>1155</v>
      </c>
      <c r="C116" s="5">
        <v>48</v>
      </c>
      <c r="D116" s="5">
        <v>41</v>
      </c>
      <c r="E116" s="116">
        <f t="shared" si="5"/>
        <v>85</v>
      </c>
      <c r="F116" s="133">
        <v>52</v>
      </c>
      <c r="G116" s="134">
        <v>50</v>
      </c>
      <c r="H116" s="116">
        <f t="shared" si="6"/>
        <v>96</v>
      </c>
      <c r="I116" s="117">
        <f t="shared" si="7"/>
        <v>-4</v>
      </c>
      <c r="J116" s="118">
        <f t="shared" si="7"/>
        <v>-9</v>
      </c>
      <c r="K116" s="119">
        <f t="shared" si="7"/>
        <v>-11</v>
      </c>
    </row>
    <row r="117" spans="1:11" x14ac:dyDescent="0.4">
      <c r="A117" s="114">
        <v>116</v>
      </c>
      <c r="B117" s="115" t="s">
        <v>1325</v>
      </c>
      <c r="C117" s="5">
        <v>1</v>
      </c>
      <c r="D117" s="5">
        <v>1</v>
      </c>
      <c r="E117" s="116">
        <f t="shared" si="5"/>
        <v>100</v>
      </c>
      <c r="F117" s="133">
        <v>1</v>
      </c>
      <c r="G117" s="134">
        <v>1</v>
      </c>
      <c r="H117" s="116">
        <f t="shared" si="6"/>
        <v>100</v>
      </c>
      <c r="I117" s="117">
        <f t="shared" si="7"/>
        <v>0</v>
      </c>
      <c r="J117" s="118">
        <f t="shared" si="7"/>
        <v>0</v>
      </c>
      <c r="K117" s="119">
        <f t="shared" si="7"/>
        <v>0</v>
      </c>
    </row>
    <row r="118" spans="1:11" x14ac:dyDescent="0.4">
      <c r="A118" s="114">
        <v>117</v>
      </c>
      <c r="B118" s="115" t="s">
        <v>1153</v>
      </c>
      <c r="C118" s="5">
        <v>1</v>
      </c>
      <c r="D118" s="5">
        <v>1</v>
      </c>
      <c r="E118" s="116">
        <f t="shared" si="5"/>
        <v>100</v>
      </c>
      <c r="F118" s="133">
        <v>1</v>
      </c>
      <c r="G118" s="134">
        <v>1</v>
      </c>
      <c r="H118" s="116">
        <f t="shared" si="6"/>
        <v>100</v>
      </c>
      <c r="I118" s="117">
        <f t="shared" si="7"/>
        <v>0</v>
      </c>
      <c r="J118" s="118">
        <f t="shared" si="7"/>
        <v>0</v>
      </c>
      <c r="K118" s="119">
        <f t="shared" si="7"/>
        <v>0</v>
      </c>
    </row>
    <row r="119" spans="1:11" x14ac:dyDescent="0.4">
      <c r="A119" s="114">
        <v>118</v>
      </c>
      <c r="B119" s="115" t="s">
        <v>1134</v>
      </c>
      <c r="C119" s="5">
        <v>70</v>
      </c>
      <c r="D119" s="5">
        <v>52</v>
      </c>
      <c r="E119" s="116">
        <f t="shared" si="5"/>
        <v>74</v>
      </c>
      <c r="F119" s="133">
        <v>69</v>
      </c>
      <c r="G119" s="134">
        <v>62</v>
      </c>
      <c r="H119" s="116">
        <f t="shared" si="6"/>
        <v>90</v>
      </c>
      <c r="I119" s="117">
        <f t="shared" si="7"/>
        <v>1</v>
      </c>
      <c r="J119" s="118">
        <f t="shared" si="7"/>
        <v>-10</v>
      </c>
      <c r="K119" s="119">
        <f t="shared" si="7"/>
        <v>-16</v>
      </c>
    </row>
    <row r="120" spans="1:11" x14ac:dyDescent="0.4">
      <c r="A120" s="114">
        <v>119</v>
      </c>
      <c r="B120" s="115" t="s">
        <v>1326</v>
      </c>
      <c r="C120" s="5">
        <v>16</v>
      </c>
      <c r="D120" s="5">
        <v>12</v>
      </c>
      <c r="E120" s="116">
        <f t="shared" si="5"/>
        <v>75</v>
      </c>
      <c r="F120" s="133">
        <v>13</v>
      </c>
      <c r="G120" s="134">
        <v>11</v>
      </c>
      <c r="H120" s="116">
        <f t="shared" si="6"/>
        <v>85</v>
      </c>
      <c r="I120" s="117">
        <f t="shared" si="7"/>
        <v>3</v>
      </c>
      <c r="J120" s="118">
        <f t="shared" si="7"/>
        <v>1</v>
      </c>
      <c r="K120" s="119">
        <f t="shared" si="7"/>
        <v>-10</v>
      </c>
    </row>
    <row r="121" spans="1:11" ht="18" thickBot="1" x14ac:dyDescent="0.45">
      <c r="A121" s="120">
        <v>120</v>
      </c>
      <c r="B121" s="121" t="s">
        <v>1104</v>
      </c>
      <c r="C121" s="5">
        <v>119</v>
      </c>
      <c r="D121" s="5">
        <v>104</v>
      </c>
      <c r="E121" s="122">
        <f t="shared" si="5"/>
        <v>87</v>
      </c>
      <c r="F121" s="133">
        <v>122</v>
      </c>
      <c r="G121" s="134">
        <v>100</v>
      </c>
      <c r="H121" s="122">
        <f t="shared" si="6"/>
        <v>82</v>
      </c>
      <c r="I121" s="123">
        <f t="shared" si="7"/>
        <v>-3</v>
      </c>
      <c r="J121" s="124">
        <f t="shared" si="7"/>
        <v>4</v>
      </c>
      <c r="K121" s="125">
        <f t="shared" si="7"/>
        <v>5</v>
      </c>
    </row>
    <row r="122" spans="1:11" ht="18" thickBot="1" x14ac:dyDescent="0.45">
      <c r="A122" s="143" t="s">
        <v>1327</v>
      </c>
      <c r="B122" s="144"/>
      <c r="C122" s="126">
        <f>SUBTOTAL(9,C2:C121)</f>
        <v>7251</v>
      </c>
      <c r="D122" s="126">
        <f>SUBTOTAL(9,D2:D121)</f>
        <v>6713</v>
      </c>
      <c r="E122" s="128">
        <f>D122/C122*100</f>
        <v>92.580333747069361</v>
      </c>
      <c r="F122" s="126">
        <f>SUBTOTAL(9,F2:F121)</f>
        <v>7602</v>
      </c>
      <c r="G122" s="126">
        <f>SUBTOTAL(9,G2:G121)</f>
        <v>7131</v>
      </c>
      <c r="H122" s="128">
        <f>G122/F122*100</f>
        <v>93.804262036306241</v>
      </c>
      <c r="I122" s="129">
        <f>SUBTOTAL(9,I2:I121)</f>
        <v>-351</v>
      </c>
      <c r="J122" s="127">
        <f>SUBTOTAL(9,J2:J121)</f>
        <v>-418</v>
      </c>
      <c r="K122" s="130">
        <f>E122-H122</f>
        <v>-1.2239282892368806</v>
      </c>
    </row>
    <row r="123" spans="1:11" x14ac:dyDescent="0.4">
      <c r="D123" s="5"/>
      <c r="F123" s="5"/>
      <c r="G123" s="5"/>
    </row>
  </sheetData>
  <autoFilter ref="A1:K122"/>
  <mergeCells count="1">
    <mergeCell ref="A122:B122"/>
  </mergeCells>
  <phoneticPr fontId="8" type="noConversion"/>
  <conditionalFormatting sqref="E3:E12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{3672B125-6CC5-40C2-B712-BA8442D23F16}</x14:id>
        </ext>
      </extLst>
    </cfRule>
  </conditionalFormatting>
  <conditionalFormatting sqref="H2:H12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{7BAC2FBE-9CBF-454F-86E3-F2F5B35C6E40}</x14:id>
        </ext>
      </extLst>
    </cfRule>
  </conditionalFormatting>
  <conditionalFormatting sqref="K2:K12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{DF67E005-E288-415E-BECF-DBD5ED1F4164}</x14:id>
        </ext>
      </extLst>
    </cfRule>
  </conditionalFormatting>
  <conditionalFormatting sqref="I2:I12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{9D482CA1-27A7-4B3E-91CE-18198B52A513}</x14:id>
        </ext>
      </extLst>
    </cfRule>
  </conditionalFormatting>
  <conditionalFormatting sqref="J2:J12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{93EE9AB8-4C3E-4EC0-B752-D5918D5DA691}</x14:id>
        </ext>
      </extLst>
    </cfRule>
  </conditionalFormatting>
  <conditionalFormatting sqref="E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{1E99A561-4648-4DB9-9F33-A7C6CF15EBEA}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72B125-6CC5-40C2-B712-BA8442D23F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E3:E121</xm:sqref>
        </x14:conditionalFormatting>
        <x14:conditionalFormatting xmlns:xm="http://schemas.microsoft.com/office/excel/2006/main">
          <x14:cfRule type="dataBar" id="{7BAC2FBE-9CBF-454F-86E3-F2F5B35C6E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H2:H121</xm:sqref>
        </x14:conditionalFormatting>
        <x14:conditionalFormatting xmlns:xm="http://schemas.microsoft.com/office/excel/2006/main">
          <x14:cfRule type="dataBar" id="{DF67E005-E288-415E-BECF-DBD5ED1F41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K2:K121</xm:sqref>
        </x14:conditionalFormatting>
        <x14:conditionalFormatting xmlns:xm="http://schemas.microsoft.com/office/excel/2006/main">
          <x14:cfRule type="dataBar" id="{9D482CA1-27A7-4B3E-91CE-18198B52A5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I2:I121</xm:sqref>
        </x14:conditionalFormatting>
        <x14:conditionalFormatting xmlns:xm="http://schemas.microsoft.com/office/excel/2006/main">
          <x14:cfRule type="dataBar" id="{93EE9AB8-4C3E-4EC0-B752-D5918D5DA6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J2:J121</xm:sqref>
        </x14:conditionalFormatting>
        <x14:conditionalFormatting xmlns:xm="http://schemas.microsoft.com/office/excel/2006/main">
          <x14:cfRule type="dataBar" id="{1E99A561-4648-4DB9-9F33-A7C6CF15E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P295"/>
  <sheetViews>
    <sheetView zoomScale="70" zoomScaleNormal="70" workbookViewId="0">
      <selection activeCell="J29" sqref="J29"/>
    </sheetView>
  </sheetViews>
  <sheetFormatPr defaultRowHeight="17.399999999999999" x14ac:dyDescent="0.4"/>
  <cols>
    <col min="1" max="1" width="5.3984375" bestFit="1" customWidth="1"/>
    <col min="2" max="2" width="24.3984375" style="69" bestFit="1" customWidth="1"/>
    <col min="3" max="3" width="5.3984375" style="69" bestFit="1" customWidth="1"/>
    <col min="4" max="68" width="8.796875" style="69"/>
    <col min="69" max="69" width="26" style="69" bestFit="1" customWidth="1"/>
    <col min="70" max="16384" width="8.796875" style="69"/>
  </cols>
  <sheetData>
    <row r="1" spans="1:58" ht="18" thickBot="1" x14ac:dyDescent="0.45">
      <c r="A1" s="76" t="s">
        <v>247</v>
      </c>
      <c r="B1" s="76" t="s">
        <v>1158</v>
      </c>
      <c r="C1" s="81" t="s">
        <v>1160</v>
      </c>
      <c r="D1" s="80" t="s">
        <v>1159</v>
      </c>
    </row>
    <row r="2" spans="1:58" x14ac:dyDescent="0.4">
      <c r="A2" s="69">
        <v>1</v>
      </c>
      <c r="B2" s="77" t="s">
        <v>1</v>
      </c>
      <c r="C2" s="82">
        <f t="shared" ref="C2:C65" si="0">COUNTA(D2:XFD2)</f>
        <v>0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</row>
    <row r="3" spans="1:58" x14ac:dyDescent="0.4">
      <c r="A3" s="69">
        <v>2</v>
      </c>
      <c r="B3" s="78" t="s">
        <v>22</v>
      </c>
      <c r="C3" s="83">
        <f t="shared" si="0"/>
        <v>9</v>
      </c>
      <c r="D3" s="72" t="s">
        <v>1124</v>
      </c>
      <c r="E3" s="72" t="s">
        <v>1113</v>
      </c>
      <c r="F3" s="72" t="s">
        <v>1102</v>
      </c>
      <c r="G3" s="72" t="s">
        <v>1156</v>
      </c>
      <c r="H3" s="72" t="s">
        <v>1146</v>
      </c>
      <c r="I3" s="72" t="s">
        <v>1118</v>
      </c>
      <c r="J3" s="72" t="s">
        <v>1117</v>
      </c>
      <c r="K3" s="72" t="s">
        <v>1149</v>
      </c>
      <c r="L3" s="72" t="s">
        <v>1155</v>
      </c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</row>
    <row r="4" spans="1:58" x14ac:dyDescent="0.4">
      <c r="A4" s="69">
        <v>3</v>
      </c>
      <c r="B4" s="78" t="s">
        <v>2</v>
      </c>
      <c r="C4" s="83">
        <f t="shared" si="0"/>
        <v>1</v>
      </c>
      <c r="D4" s="72" t="s">
        <v>1109</v>
      </c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</row>
    <row r="5" spans="1:58" x14ac:dyDescent="0.4">
      <c r="A5" s="69">
        <v>4</v>
      </c>
      <c r="B5" s="78" t="s">
        <v>3</v>
      </c>
      <c r="C5" s="83">
        <f t="shared" si="0"/>
        <v>0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</row>
    <row r="6" spans="1:58" x14ac:dyDescent="0.4">
      <c r="A6" s="69">
        <v>5</v>
      </c>
      <c r="B6" s="78" t="s">
        <v>4</v>
      </c>
      <c r="C6" s="83">
        <f t="shared" si="0"/>
        <v>0</v>
      </c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</row>
    <row r="7" spans="1:58" x14ac:dyDescent="0.4">
      <c r="A7" s="69">
        <v>6</v>
      </c>
      <c r="B7" s="78" t="s">
        <v>5</v>
      </c>
      <c r="C7" s="83">
        <f t="shared" si="0"/>
        <v>16</v>
      </c>
      <c r="D7" s="72" t="s">
        <v>1113</v>
      </c>
      <c r="E7" s="72" t="s">
        <v>1142</v>
      </c>
      <c r="F7" s="72" t="s">
        <v>1112</v>
      </c>
      <c r="G7" s="72" t="s">
        <v>1102</v>
      </c>
      <c r="H7" s="72" t="s">
        <v>1109</v>
      </c>
      <c r="I7" s="72" t="s">
        <v>1123</v>
      </c>
      <c r="J7" s="72" t="s">
        <v>1122</v>
      </c>
      <c r="K7" s="72" t="s">
        <v>1129</v>
      </c>
      <c r="L7" s="72" t="s">
        <v>1128</v>
      </c>
      <c r="M7" s="72" t="s">
        <v>1121</v>
      </c>
      <c r="N7" s="72" t="s">
        <v>1143</v>
      </c>
      <c r="O7" s="72" t="s">
        <v>1118</v>
      </c>
      <c r="P7" s="72" t="s">
        <v>1117</v>
      </c>
      <c r="Q7" s="72" t="s">
        <v>1149</v>
      </c>
      <c r="R7" s="72" t="s">
        <v>1155</v>
      </c>
      <c r="S7" s="72" t="s">
        <v>1134</v>
      </c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</row>
    <row r="8" spans="1:58" x14ac:dyDescent="0.4">
      <c r="A8" s="69">
        <v>7</v>
      </c>
      <c r="B8" s="78" t="s">
        <v>6</v>
      </c>
      <c r="C8" s="83">
        <f t="shared" si="0"/>
        <v>0</v>
      </c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</row>
    <row r="9" spans="1:58" x14ac:dyDescent="0.4">
      <c r="A9" s="69">
        <v>8</v>
      </c>
      <c r="B9" s="78" t="s">
        <v>7</v>
      </c>
      <c r="C9" s="83">
        <f t="shared" si="0"/>
        <v>14</v>
      </c>
      <c r="D9" s="72" t="s">
        <v>1124</v>
      </c>
      <c r="E9" s="72" t="s">
        <v>1141</v>
      </c>
      <c r="F9" s="72" t="s">
        <v>1132</v>
      </c>
      <c r="G9" s="72" t="s">
        <v>1122</v>
      </c>
      <c r="H9" s="72" t="s">
        <v>1156</v>
      </c>
      <c r="I9" s="72" t="s">
        <v>1151</v>
      </c>
      <c r="J9" s="72" t="s">
        <v>1137</v>
      </c>
      <c r="K9" s="72" t="s">
        <v>1136</v>
      </c>
      <c r="L9" s="72" t="s">
        <v>1139</v>
      </c>
      <c r="M9" s="72" t="s">
        <v>1128</v>
      </c>
      <c r="N9" s="72" t="s">
        <v>1120</v>
      </c>
      <c r="O9" s="72" t="s">
        <v>1118</v>
      </c>
      <c r="P9" s="72" t="s">
        <v>1155</v>
      </c>
      <c r="Q9" s="72" t="s">
        <v>1104</v>
      </c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</row>
    <row r="10" spans="1:58" x14ac:dyDescent="0.4">
      <c r="A10" s="69">
        <v>9</v>
      </c>
      <c r="B10" s="78" t="s">
        <v>8</v>
      </c>
      <c r="C10" s="83">
        <f t="shared" si="0"/>
        <v>2</v>
      </c>
      <c r="D10" s="72" t="s">
        <v>1102</v>
      </c>
      <c r="E10" s="72" t="s">
        <v>1109</v>
      </c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</row>
    <row r="11" spans="1:58" x14ac:dyDescent="0.4">
      <c r="A11" s="69">
        <v>10</v>
      </c>
      <c r="B11" s="78" t="s">
        <v>9</v>
      </c>
      <c r="C11" s="83">
        <f t="shared" si="0"/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</row>
    <row r="12" spans="1:58" x14ac:dyDescent="0.4">
      <c r="A12" s="69">
        <v>11</v>
      </c>
      <c r="B12" s="78" t="s">
        <v>23</v>
      </c>
      <c r="C12" s="83">
        <f t="shared" si="0"/>
        <v>22</v>
      </c>
      <c r="D12" s="72" t="s">
        <v>1124</v>
      </c>
      <c r="E12" s="72" t="s">
        <v>1114</v>
      </c>
      <c r="F12" s="72" t="s">
        <v>1113</v>
      </c>
      <c r="G12" s="72" t="s">
        <v>1142</v>
      </c>
      <c r="H12" s="72" t="s">
        <v>1112</v>
      </c>
      <c r="I12" s="72" t="s">
        <v>1141</v>
      </c>
      <c r="J12" s="72" t="s">
        <v>1111</v>
      </c>
      <c r="K12" s="72" t="s">
        <v>1102</v>
      </c>
      <c r="L12" s="72" t="s">
        <v>1110</v>
      </c>
      <c r="M12" s="72" t="s">
        <v>1109</v>
      </c>
      <c r="N12" s="72" t="s">
        <v>1123</v>
      </c>
      <c r="O12" s="72" t="s">
        <v>1125</v>
      </c>
      <c r="P12" s="72" t="s">
        <v>1132</v>
      </c>
      <c r="Q12" s="72" t="s">
        <v>1108</v>
      </c>
      <c r="R12" s="72" t="s">
        <v>1122</v>
      </c>
      <c r="S12" s="72" t="s">
        <v>1133</v>
      </c>
      <c r="T12" s="72" t="s">
        <v>1137</v>
      </c>
      <c r="U12" s="72" t="s">
        <v>1106</v>
      </c>
      <c r="V12" s="72" t="s">
        <v>1105</v>
      </c>
      <c r="W12" s="72" t="s">
        <v>1138</v>
      </c>
      <c r="X12" s="72" t="s">
        <v>1129</v>
      </c>
      <c r="Y12" s="72" t="s">
        <v>1155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</row>
    <row r="13" spans="1:58" x14ac:dyDescent="0.4">
      <c r="A13" s="69">
        <v>12</v>
      </c>
      <c r="B13" s="78" t="s">
        <v>10</v>
      </c>
      <c r="C13" s="83">
        <f t="shared" si="0"/>
        <v>0</v>
      </c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</row>
    <row r="14" spans="1:58" x14ac:dyDescent="0.4">
      <c r="A14" s="69">
        <v>13</v>
      </c>
      <c r="B14" s="78" t="s">
        <v>11</v>
      </c>
      <c r="C14" s="83">
        <f t="shared" si="0"/>
        <v>5</v>
      </c>
      <c r="D14" s="72" t="s">
        <v>1113</v>
      </c>
      <c r="E14" s="72" t="s">
        <v>1142</v>
      </c>
      <c r="F14" s="72" t="s">
        <v>1112</v>
      </c>
      <c r="G14" s="72" t="s">
        <v>1149</v>
      </c>
      <c r="H14" s="72" t="s">
        <v>1155</v>
      </c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</row>
    <row r="15" spans="1:58" x14ac:dyDescent="0.4">
      <c r="A15" s="69">
        <v>14</v>
      </c>
      <c r="B15" s="78" t="s">
        <v>12</v>
      </c>
      <c r="C15" s="83">
        <f t="shared" si="0"/>
        <v>14</v>
      </c>
      <c r="D15" s="72" t="s">
        <v>1124</v>
      </c>
      <c r="E15" s="72" t="s">
        <v>1112</v>
      </c>
      <c r="F15" s="72" t="s">
        <v>1141</v>
      </c>
      <c r="G15" s="72" t="s">
        <v>1102</v>
      </c>
      <c r="H15" s="72" t="s">
        <v>1109</v>
      </c>
      <c r="I15" s="72" t="s">
        <v>1125</v>
      </c>
      <c r="J15" s="72" t="s">
        <v>1105</v>
      </c>
      <c r="K15" s="72" t="s">
        <v>1147</v>
      </c>
      <c r="L15" s="72" t="s">
        <v>1135</v>
      </c>
      <c r="M15" s="72" t="s">
        <v>1157</v>
      </c>
      <c r="N15" s="72" t="s">
        <v>1119</v>
      </c>
      <c r="O15" s="72" t="s">
        <v>1118</v>
      </c>
      <c r="P15" s="72" t="s">
        <v>1117</v>
      </c>
      <c r="Q15" s="72" t="s">
        <v>1149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</row>
    <row r="16" spans="1:58" x14ac:dyDescent="0.4">
      <c r="A16" s="69">
        <v>15</v>
      </c>
      <c r="B16" s="78" t="s">
        <v>24</v>
      </c>
      <c r="C16" s="83">
        <f t="shared" si="0"/>
        <v>4</v>
      </c>
      <c r="D16" s="72" t="s">
        <v>1113</v>
      </c>
      <c r="E16" s="72" t="s">
        <v>1142</v>
      </c>
      <c r="F16" s="72" t="s">
        <v>1151</v>
      </c>
      <c r="G16" s="72" t="s">
        <v>817</v>
      </c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</row>
    <row r="17" spans="1:55" x14ac:dyDescent="0.4">
      <c r="A17" s="69">
        <v>16</v>
      </c>
      <c r="B17" s="78" t="s">
        <v>13</v>
      </c>
      <c r="C17" s="83">
        <f t="shared" si="0"/>
        <v>0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</row>
    <row r="18" spans="1:55" x14ac:dyDescent="0.4">
      <c r="A18" s="69">
        <v>17</v>
      </c>
      <c r="B18" s="78" t="s">
        <v>14</v>
      </c>
      <c r="C18" s="83">
        <f t="shared" si="0"/>
        <v>0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</row>
    <row r="19" spans="1:55" x14ac:dyDescent="0.4">
      <c r="A19" s="69">
        <v>18</v>
      </c>
      <c r="B19" s="78" t="s">
        <v>25</v>
      </c>
      <c r="C19" s="83">
        <f t="shared" si="0"/>
        <v>0</v>
      </c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</row>
    <row r="20" spans="1:55" x14ac:dyDescent="0.4">
      <c r="A20" s="69">
        <v>19</v>
      </c>
      <c r="B20" s="78" t="s">
        <v>15</v>
      </c>
      <c r="C20" s="83">
        <f t="shared" si="0"/>
        <v>0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</row>
    <row r="21" spans="1:55" x14ac:dyDescent="0.4">
      <c r="A21" s="69">
        <v>20</v>
      </c>
      <c r="B21" s="78" t="s">
        <v>16</v>
      </c>
      <c r="C21" s="83">
        <f t="shared" si="0"/>
        <v>9</v>
      </c>
      <c r="D21" s="72" t="s">
        <v>1142</v>
      </c>
      <c r="E21" s="72" t="s">
        <v>1112</v>
      </c>
      <c r="F21" s="72" t="s">
        <v>1123</v>
      </c>
      <c r="G21" s="72" t="s">
        <v>1151</v>
      </c>
      <c r="H21" s="72" t="s">
        <v>1137</v>
      </c>
      <c r="I21" s="72" t="s">
        <v>1146</v>
      </c>
      <c r="J21" s="72" t="s">
        <v>1116</v>
      </c>
      <c r="K21" s="72" t="s">
        <v>1149</v>
      </c>
      <c r="L21" s="72" t="s">
        <v>1155</v>
      </c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</row>
    <row r="22" spans="1:55" x14ac:dyDescent="0.4">
      <c r="A22" s="69">
        <v>21</v>
      </c>
      <c r="B22" s="78" t="s">
        <v>17</v>
      </c>
      <c r="C22" s="83">
        <f t="shared" si="0"/>
        <v>0</v>
      </c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</row>
    <row r="23" spans="1:55" x14ac:dyDescent="0.4">
      <c r="A23" s="69">
        <v>22</v>
      </c>
      <c r="B23" s="78" t="s">
        <v>18</v>
      </c>
      <c r="C23" s="83">
        <f t="shared" si="0"/>
        <v>0</v>
      </c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</row>
    <row r="24" spans="1:55" x14ac:dyDescent="0.4">
      <c r="A24" s="69">
        <v>23</v>
      </c>
      <c r="B24" s="78" t="s">
        <v>19</v>
      </c>
      <c r="C24" s="83">
        <f t="shared" si="0"/>
        <v>5</v>
      </c>
      <c r="D24" s="72" t="s">
        <v>1112</v>
      </c>
      <c r="E24" s="72" t="s">
        <v>1109</v>
      </c>
      <c r="F24" s="72" t="s">
        <v>1145</v>
      </c>
      <c r="G24" s="72" t="s">
        <v>1120</v>
      </c>
      <c r="H24" s="72" t="s">
        <v>1117</v>
      </c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</row>
    <row r="25" spans="1:55" x14ac:dyDescent="0.4">
      <c r="A25" s="69">
        <v>24</v>
      </c>
      <c r="B25" s="78" t="s">
        <v>20</v>
      </c>
      <c r="C25" s="83">
        <f t="shared" si="0"/>
        <v>0</v>
      </c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</row>
    <row r="26" spans="1:55" x14ac:dyDescent="0.4">
      <c r="A26" s="69">
        <v>25</v>
      </c>
      <c r="B26" s="78" t="s">
        <v>26</v>
      </c>
      <c r="C26" s="83">
        <f t="shared" si="0"/>
        <v>19</v>
      </c>
      <c r="D26" s="72" t="s">
        <v>1124</v>
      </c>
      <c r="E26" s="72" t="s">
        <v>1113</v>
      </c>
      <c r="F26" s="72" t="s">
        <v>1142</v>
      </c>
      <c r="G26" s="72" t="s">
        <v>1112</v>
      </c>
      <c r="H26" s="72" t="s">
        <v>1102</v>
      </c>
      <c r="I26" s="72" t="s">
        <v>1109</v>
      </c>
      <c r="J26" s="72" t="s">
        <v>1156</v>
      </c>
      <c r="K26" s="72" t="s">
        <v>1147</v>
      </c>
      <c r="L26" s="72" t="s">
        <v>1146</v>
      </c>
      <c r="M26" s="72" t="s">
        <v>1129</v>
      </c>
      <c r="N26" s="72" t="s">
        <v>1127</v>
      </c>
      <c r="O26" s="72" t="s">
        <v>1157</v>
      </c>
      <c r="P26" s="72" t="s">
        <v>1120</v>
      </c>
      <c r="Q26" s="72" t="s">
        <v>1118</v>
      </c>
      <c r="R26" s="72" t="s">
        <v>1117</v>
      </c>
      <c r="S26" s="72" t="s">
        <v>1116</v>
      </c>
      <c r="T26" s="72" t="s">
        <v>1149</v>
      </c>
      <c r="U26" s="72" t="s">
        <v>1155</v>
      </c>
      <c r="V26" s="72" t="s">
        <v>1104</v>
      </c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</row>
    <row r="27" spans="1:55" x14ac:dyDescent="0.4">
      <c r="A27" s="69">
        <v>26</v>
      </c>
      <c r="B27" s="78" t="s">
        <v>21</v>
      </c>
      <c r="C27" s="83">
        <f t="shared" si="0"/>
        <v>0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</row>
    <row r="28" spans="1:55" x14ac:dyDescent="0.4">
      <c r="A28" s="69">
        <v>27</v>
      </c>
      <c r="B28" s="78" t="s">
        <v>27</v>
      </c>
      <c r="C28" s="83">
        <f t="shared" si="0"/>
        <v>0</v>
      </c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</row>
    <row r="29" spans="1:55" x14ac:dyDescent="0.4">
      <c r="A29" s="69">
        <v>28</v>
      </c>
      <c r="B29" s="78" t="s">
        <v>28</v>
      </c>
      <c r="C29" s="83">
        <f t="shared" si="0"/>
        <v>0</v>
      </c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</row>
    <row r="30" spans="1:55" x14ac:dyDescent="0.4">
      <c r="A30" s="69">
        <v>29</v>
      </c>
      <c r="B30" s="78" t="s">
        <v>29</v>
      </c>
      <c r="C30" s="83">
        <f t="shared" si="0"/>
        <v>0</v>
      </c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</row>
    <row r="31" spans="1:55" x14ac:dyDescent="0.4">
      <c r="A31" s="69">
        <v>30</v>
      </c>
      <c r="B31" s="78" t="s">
        <v>30</v>
      </c>
      <c r="C31" s="83">
        <f t="shared" si="0"/>
        <v>1</v>
      </c>
      <c r="D31" s="72" t="s">
        <v>1146</v>
      </c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</row>
    <row r="32" spans="1:55" x14ac:dyDescent="0.4">
      <c r="A32" s="69">
        <v>31</v>
      </c>
      <c r="B32" s="78" t="s">
        <v>31</v>
      </c>
      <c r="C32" s="83">
        <f t="shared" si="0"/>
        <v>2</v>
      </c>
      <c r="D32" s="72" t="s">
        <v>1124</v>
      </c>
      <c r="E32" s="72" t="s">
        <v>1117</v>
      </c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</row>
    <row r="33" spans="1:37" x14ac:dyDescent="0.4">
      <c r="A33" s="69">
        <v>32</v>
      </c>
      <c r="B33" s="78" t="s">
        <v>32</v>
      </c>
      <c r="C33" s="83">
        <f t="shared" si="0"/>
        <v>0</v>
      </c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</row>
    <row r="34" spans="1:37" x14ac:dyDescent="0.4">
      <c r="A34" s="69">
        <v>33</v>
      </c>
      <c r="B34" s="78" t="s">
        <v>33</v>
      </c>
      <c r="C34" s="83">
        <f t="shared" si="0"/>
        <v>0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</row>
    <row r="35" spans="1:37" x14ac:dyDescent="0.4">
      <c r="A35" s="69">
        <v>34</v>
      </c>
      <c r="B35" s="78" t="s">
        <v>34</v>
      </c>
      <c r="C35" s="83">
        <f t="shared" si="0"/>
        <v>1</v>
      </c>
      <c r="D35" s="72" t="s">
        <v>1156</v>
      </c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</row>
    <row r="36" spans="1:37" x14ac:dyDescent="0.4">
      <c r="A36" s="69">
        <v>35</v>
      </c>
      <c r="B36" s="78" t="s">
        <v>35</v>
      </c>
      <c r="C36" s="83">
        <f t="shared" si="0"/>
        <v>0</v>
      </c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7" x14ac:dyDescent="0.4">
      <c r="A37" s="69">
        <v>36</v>
      </c>
      <c r="B37" s="78" t="s">
        <v>36</v>
      </c>
      <c r="C37" s="83">
        <f t="shared" si="0"/>
        <v>0</v>
      </c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7" x14ac:dyDescent="0.4">
      <c r="A38" s="69">
        <v>37</v>
      </c>
      <c r="B38" s="78" t="s">
        <v>37</v>
      </c>
      <c r="C38" s="83">
        <f t="shared" si="0"/>
        <v>0</v>
      </c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7" x14ac:dyDescent="0.4">
      <c r="A39" s="69">
        <v>38</v>
      </c>
      <c r="B39" s="78" t="s">
        <v>38</v>
      </c>
      <c r="C39" s="83">
        <f t="shared" si="0"/>
        <v>0</v>
      </c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7" x14ac:dyDescent="0.4">
      <c r="A40" s="69">
        <v>39</v>
      </c>
      <c r="B40" s="78" t="s">
        <v>39</v>
      </c>
      <c r="C40" s="83">
        <f t="shared" si="0"/>
        <v>0</v>
      </c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7" x14ac:dyDescent="0.4">
      <c r="A41" s="69">
        <v>40</v>
      </c>
      <c r="B41" s="78" t="s">
        <v>40</v>
      </c>
      <c r="C41" s="83">
        <f t="shared" si="0"/>
        <v>0</v>
      </c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7" x14ac:dyDescent="0.4">
      <c r="A42" s="69">
        <v>41</v>
      </c>
      <c r="B42" s="78" t="s">
        <v>41</v>
      </c>
      <c r="C42" s="83">
        <f t="shared" si="0"/>
        <v>0</v>
      </c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3" spans="1:37" x14ac:dyDescent="0.4">
      <c r="A43" s="69">
        <v>42</v>
      </c>
      <c r="B43" s="78" t="s">
        <v>42</v>
      </c>
      <c r="C43" s="83">
        <f t="shared" si="0"/>
        <v>0</v>
      </c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</row>
    <row r="44" spans="1:37" x14ac:dyDescent="0.4">
      <c r="A44" s="69">
        <v>43</v>
      </c>
      <c r="B44" s="78" t="s">
        <v>43</v>
      </c>
      <c r="C44" s="83">
        <f t="shared" si="0"/>
        <v>0</v>
      </c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</row>
    <row r="45" spans="1:37" x14ac:dyDescent="0.4">
      <c r="A45" s="69">
        <v>44</v>
      </c>
      <c r="B45" s="78" t="s">
        <v>44</v>
      </c>
      <c r="C45" s="83">
        <f t="shared" si="0"/>
        <v>0</v>
      </c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</row>
    <row r="46" spans="1:37" x14ac:dyDescent="0.4">
      <c r="A46" s="69">
        <v>45</v>
      </c>
      <c r="B46" s="78" t="s">
        <v>45</v>
      </c>
      <c r="C46" s="83">
        <f t="shared" si="0"/>
        <v>0</v>
      </c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</row>
    <row r="47" spans="1:37" x14ac:dyDescent="0.4">
      <c r="A47" s="69">
        <v>46</v>
      </c>
      <c r="B47" s="78" t="s">
        <v>46</v>
      </c>
      <c r="C47" s="83">
        <f t="shared" si="0"/>
        <v>0</v>
      </c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</row>
    <row r="48" spans="1:37" x14ac:dyDescent="0.4">
      <c r="A48" s="69">
        <v>47</v>
      </c>
      <c r="B48" s="78" t="s">
        <v>47</v>
      </c>
      <c r="C48" s="83">
        <f t="shared" si="0"/>
        <v>0</v>
      </c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</row>
    <row r="49" spans="1:39" x14ac:dyDescent="0.4">
      <c r="A49" s="69">
        <v>48</v>
      </c>
      <c r="B49" s="78" t="s">
        <v>48</v>
      </c>
      <c r="C49" s="83">
        <f t="shared" si="0"/>
        <v>1</v>
      </c>
      <c r="D49" s="72" t="s">
        <v>1109</v>
      </c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</row>
    <row r="50" spans="1:39" x14ac:dyDescent="0.4">
      <c r="A50" s="69">
        <v>49</v>
      </c>
      <c r="B50" s="78" t="s">
        <v>49</v>
      </c>
      <c r="C50" s="83">
        <f t="shared" si="0"/>
        <v>0</v>
      </c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</row>
    <row r="51" spans="1:39" x14ac:dyDescent="0.4">
      <c r="A51" s="69">
        <v>50</v>
      </c>
      <c r="B51" s="78" t="s">
        <v>50</v>
      </c>
      <c r="C51" s="83">
        <f t="shared" si="0"/>
        <v>0</v>
      </c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</row>
    <row r="52" spans="1:39" x14ac:dyDescent="0.4">
      <c r="A52" s="69">
        <v>51</v>
      </c>
      <c r="B52" s="78" t="s">
        <v>51</v>
      </c>
      <c r="C52" s="83">
        <f t="shared" si="0"/>
        <v>0</v>
      </c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</row>
    <row r="53" spans="1:39" x14ac:dyDescent="0.4">
      <c r="A53" s="69">
        <v>52</v>
      </c>
      <c r="B53" s="78" t="s">
        <v>52</v>
      </c>
      <c r="C53" s="83">
        <f t="shared" si="0"/>
        <v>0</v>
      </c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</row>
    <row r="54" spans="1:39" x14ac:dyDescent="0.4">
      <c r="A54" s="69">
        <v>53</v>
      </c>
      <c r="B54" s="78" t="s">
        <v>53</v>
      </c>
      <c r="C54" s="83">
        <f t="shared" si="0"/>
        <v>0</v>
      </c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</row>
    <row r="55" spans="1:39" x14ac:dyDescent="0.4">
      <c r="A55" s="69">
        <v>54</v>
      </c>
      <c r="B55" s="78" t="s">
        <v>54</v>
      </c>
      <c r="C55" s="83">
        <f t="shared" si="0"/>
        <v>3</v>
      </c>
      <c r="D55" s="72" t="s">
        <v>1109</v>
      </c>
      <c r="E55" s="72" t="s">
        <v>1107</v>
      </c>
      <c r="F55" s="72" t="s">
        <v>1118</v>
      </c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</row>
    <row r="56" spans="1:39" x14ac:dyDescent="0.4">
      <c r="A56" s="69">
        <v>55</v>
      </c>
      <c r="B56" s="78" t="s">
        <v>55</v>
      </c>
      <c r="C56" s="83">
        <f t="shared" si="0"/>
        <v>0</v>
      </c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</row>
    <row r="57" spans="1:39" x14ac:dyDescent="0.4">
      <c r="A57" s="69">
        <v>56</v>
      </c>
      <c r="B57" s="78" t="s">
        <v>56</v>
      </c>
      <c r="C57" s="83">
        <f t="shared" si="0"/>
        <v>0</v>
      </c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</row>
    <row r="58" spans="1:39" x14ac:dyDescent="0.4">
      <c r="A58" s="69">
        <v>57</v>
      </c>
      <c r="B58" s="78" t="s">
        <v>57</v>
      </c>
      <c r="C58" s="83">
        <f t="shared" si="0"/>
        <v>0</v>
      </c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</row>
    <row r="59" spans="1:39" x14ac:dyDescent="0.4">
      <c r="A59" s="69">
        <v>58</v>
      </c>
      <c r="B59" s="78" t="s">
        <v>58</v>
      </c>
      <c r="C59" s="83">
        <f t="shared" si="0"/>
        <v>0</v>
      </c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</row>
    <row r="60" spans="1:39" x14ac:dyDescent="0.4">
      <c r="A60" s="69">
        <v>59</v>
      </c>
      <c r="B60" s="78" t="s">
        <v>59</v>
      </c>
      <c r="C60" s="83">
        <f t="shared" si="0"/>
        <v>0</v>
      </c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</row>
    <row r="61" spans="1:39" x14ac:dyDescent="0.4">
      <c r="A61" s="69">
        <v>60</v>
      </c>
      <c r="B61" s="78" t="s">
        <v>60</v>
      </c>
      <c r="C61" s="83">
        <f t="shared" si="0"/>
        <v>0</v>
      </c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</row>
    <row r="62" spans="1:39" x14ac:dyDescent="0.4">
      <c r="A62" s="69">
        <v>61</v>
      </c>
      <c r="B62" s="78" t="s">
        <v>61</v>
      </c>
      <c r="C62" s="83">
        <f t="shared" si="0"/>
        <v>1</v>
      </c>
      <c r="D62" s="72" t="s">
        <v>1109</v>
      </c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</row>
    <row r="63" spans="1:39" x14ac:dyDescent="0.4">
      <c r="A63" s="69">
        <v>62</v>
      </c>
      <c r="B63" s="78" t="s">
        <v>62</v>
      </c>
      <c r="C63" s="83">
        <f t="shared" si="0"/>
        <v>0</v>
      </c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</row>
    <row r="64" spans="1:39" x14ac:dyDescent="0.4">
      <c r="A64" s="69">
        <v>63</v>
      </c>
      <c r="B64" s="78" t="s">
        <v>63</v>
      </c>
      <c r="C64" s="83">
        <f t="shared" si="0"/>
        <v>1</v>
      </c>
      <c r="D64" s="72" t="s">
        <v>1115</v>
      </c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</row>
    <row r="65" spans="1:40" x14ac:dyDescent="0.4">
      <c r="A65" s="69">
        <v>64</v>
      </c>
      <c r="B65" s="78" t="s">
        <v>64</v>
      </c>
      <c r="C65" s="83">
        <f t="shared" si="0"/>
        <v>0</v>
      </c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</row>
    <row r="66" spans="1:40" x14ac:dyDescent="0.4">
      <c r="A66" s="69">
        <v>65</v>
      </c>
      <c r="B66" s="78" t="s">
        <v>65</v>
      </c>
      <c r="C66" s="83">
        <f t="shared" ref="C66:C129" si="1">COUNTA(D66:XFD66)</f>
        <v>0</v>
      </c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</row>
    <row r="67" spans="1:40" x14ac:dyDescent="0.4">
      <c r="A67" s="69">
        <v>66</v>
      </c>
      <c r="B67" s="78" t="s">
        <v>66</v>
      </c>
      <c r="C67" s="83">
        <f t="shared" si="1"/>
        <v>1</v>
      </c>
      <c r="D67" s="72" t="s">
        <v>1122</v>
      </c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</row>
    <row r="68" spans="1:40" x14ac:dyDescent="0.4">
      <c r="A68" s="69">
        <v>67</v>
      </c>
      <c r="B68" s="78" t="s">
        <v>67</v>
      </c>
      <c r="C68" s="83">
        <f t="shared" si="1"/>
        <v>0</v>
      </c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</row>
    <row r="69" spans="1:40" x14ac:dyDescent="0.4">
      <c r="A69" s="69">
        <v>68</v>
      </c>
      <c r="B69" s="78" t="s">
        <v>68</v>
      </c>
      <c r="C69" s="83">
        <f t="shared" si="1"/>
        <v>0</v>
      </c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</row>
    <row r="70" spans="1:40" x14ac:dyDescent="0.4">
      <c r="A70" s="69">
        <v>69</v>
      </c>
      <c r="B70" s="78" t="s">
        <v>69</v>
      </c>
      <c r="C70" s="83">
        <f t="shared" si="1"/>
        <v>1</v>
      </c>
      <c r="D70" s="72" t="s">
        <v>1142</v>
      </c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</row>
    <row r="71" spans="1:40" x14ac:dyDescent="0.4">
      <c r="A71" s="69">
        <v>70</v>
      </c>
      <c r="B71" s="78" t="s">
        <v>70</v>
      </c>
      <c r="C71" s="83">
        <f t="shared" si="1"/>
        <v>1</v>
      </c>
      <c r="D71" s="72" t="s">
        <v>1127</v>
      </c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</row>
    <row r="72" spans="1:40" x14ac:dyDescent="0.4">
      <c r="A72" s="69">
        <v>71</v>
      </c>
      <c r="B72" s="78" t="s">
        <v>71</v>
      </c>
      <c r="C72" s="83">
        <f t="shared" si="1"/>
        <v>1</v>
      </c>
      <c r="D72" s="72" t="s">
        <v>1149</v>
      </c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</row>
    <row r="73" spans="1:40" x14ac:dyDescent="0.4">
      <c r="A73" s="69">
        <v>72</v>
      </c>
      <c r="B73" s="78" t="s">
        <v>75</v>
      </c>
      <c r="C73" s="83">
        <f t="shared" si="1"/>
        <v>0</v>
      </c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</row>
    <row r="74" spans="1:40" x14ac:dyDescent="0.4">
      <c r="A74" s="69">
        <v>73</v>
      </c>
      <c r="B74" s="78" t="s">
        <v>72</v>
      </c>
      <c r="C74" s="83">
        <f t="shared" si="1"/>
        <v>0</v>
      </c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</row>
    <row r="75" spans="1:40" x14ac:dyDescent="0.4">
      <c r="A75" s="69">
        <v>74</v>
      </c>
      <c r="B75" s="78" t="s">
        <v>73</v>
      </c>
      <c r="C75" s="83">
        <f t="shared" si="1"/>
        <v>0</v>
      </c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</row>
    <row r="76" spans="1:40" x14ac:dyDescent="0.4">
      <c r="A76" s="69">
        <v>75</v>
      </c>
      <c r="B76" s="78" t="s">
        <v>74</v>
      </c>
      <c r="C76" s="83">
        <f t="shared" si="1"/>
        <v>1</v>
      </c>
      <c r="D76" s="72" t="s">
        <v>1133</v>
      </c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</row>
    <row r="77" spans="1:40" x14ac:dyDescent="0.4">
      <c r="A77" s="69">
        <v>76</v>
      </c>
      <c r="B77" s="78" t="s">
        <v>76</v>
      </c>
      <c r="C77" s="83">
        <f t="shared" si="1"/>
        <v>4</v>
      </c>
      <c r="D77" s="72" t="s">
        <v>1105</v>
      </c>
      <c r="E77" s="72" t="s">
        <v>1120</v>
      </c>
      <c r="F77" s="72" t="s">
        <v>1118</v>
      </c>
      <c r="G77" s="72" t="s">
        <v>1149</v>
      </c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</row>
    <row r="78" spans="1:40" x14ac:dyDescent="0.4">
      <c r="A78" s="69">
        <v>77</v>
      </c>
      <c r="B78" s="78" t="s">
        <v>77</v>
      </c>
      <c r="C78" s="83">
        <f t="shared" si="1"/>
        <v>1</v>
      </c>
      <c r="D78" s="72" t="s">
        <v>1142</v>
      </c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</row>
    <row r="79" spans="1:40" x14ac:dyDescent="0.4">
      <c r="A79" s="69">
        <v>78</v>
      </c>
      <c r="B79" s="78" t="s">
        <v>78</v>
      </c>
      <c r="C79" s="83">
        <f t="shared" si="1"/>
        <v>0</v>
      </c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</row>
    <row r="80" spans="1:40" x14ac:dyDescent="0.4">
      <c r="A80" s="69">
        <v>79</v>
      </c>
      <c r="B80" s="78" t="s">
        <v>81</v>
      </c>
      <c r="C80" s="83">
        <f t="shared" si="1"/>
        <v>2</v>
      </c>
      <c r="D80" s="72" t="s">
        <v>1152</v>
      </c>
      <c r="E80" s="72" t="s">
        <v>1117</v>
      </c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</row>
    <row r="81" spans="1:51" x14ac:dyDescent="0.4">
      <c r="A81" s="69">
        <v>80</v>
      </c>
      <c r="B81" s="78" t="s">
        <v>79</v>
      </c>
      <c r="C81" s="83">
        <f t="shared" si="1"/>
        <v>0</v>
      </c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</row>
    <row r="82" spans="1:51" x14ac:dyDescent="0.4">
      <c r="A82" s="69">
        <v>81</v>
      </c>
      <c r="B82" s="78" t="s">
        <v>80</v>
      </c>
      <c r="C82" s="83">
        <f t="shared" si="1"/>
        <v>0</v>
      </c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</row>
    <row r="83" spans="1:51" x14ac:dyDescent="0.4">
      <c r="A83" s="69">
        <v>82</v>
      </c>
      <c r="B83" s="78" t="s">
        <v>82</v>
      </c>
      <c r="C83" s="83">
        <f t="shared" si="1"/>
        <v>0</v>
      </c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</row>
    <row r="84" spans="1:51" x14ac:dyDescent="0.4">
      <c r="A84" s="69">
        <v>83</v>
      </c>
      <c r="B84" s="78" t="s">
        <v>83</v>
      </c>
      <c r="C84" s="83">
        <f t="shared" si="1"/>
        <v>1</v>
      </c>
      <c r="D84" s="72" t="s">
        <v>1153</v>
      </c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</row>
    <row r="85" spans="1:51" x14ac:dyDescent="0.4">
      <c r="A85" s="69">
        <v>84</v>
      </c>
      <c r="B85" s="78" t="s">
        <v>84</v>
      </c>
      <c r="C85" s="83">
        <f t="shared" si="1"/>
        <v>3</v>
      </c>
      <c r="D85" s="72" t="s">
        <v>1124</v>
      </c>
      <c r="E85" s="72" t="s">
        <v>1156</v>
      </c>
      <c r="F85" s="72" t="s">
        <v>1117</v>
      </c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</row>
    <row r="86" spans="1:51" x14ac:dyDescent="0.4">
      <c r="A86" s="69">
        <v>85</v>
      </c>
      <c r="B86" s="78" t="s">
        <v>111</v>
      </c>
      <c r="C86" s="83">
        <f t="shared" si="1"/>
        <v>1</v>
      </c>
      <c r="D86" s="72" t="s">
        <v>1150</v>
      </c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</row>
    <row r="87" spans="1:51" x14ac:dyDescent="0.4">
      <c r="A87" s="69">
        <v>86</v>
      </c>
      <c r="B87" s="78" t="s">
        <v>85</v>
      </c>
      <c r="C87" s="83">
        <f t="shared" si="1"/>
        <v>0</v>
      </c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</row>
    <row r="88" spans="1:51" x14ac:dyDescent="0.4">
      <c r="A88" s="69">
        <v>87</v>
      </c>
      <c r="B88" s="78" t="s">
        <v>86</v>
      </c>
      <c r="C88" s="83">
        <f t="shared" si="1"/>
        <v>6</v>
      </c>
      <c r="D88" s="72" t="s">
        <v>1113</v>
      </c>
      <c r="E88" s="72" t="s">
        <v>1112</v>
      </c>
      <c r="F88" s="72" t="s">
        <v>1141</v>
      </c>
      <c r="G88" s="72" t="s">
        <v>1123</v>
      </c>
      <c r="H88" s="72" t="s">
        <v>1133</v>
      </c>
      <c r="I88" s="72" t="s">
        <v>1120</v>
      </c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</row>
    <row r="89" spans="1:51" x14ac:dyDescent="0.4">
      <c r="A89" s="69">
        <v>88</v>
      </c>
      <c r="B89" s="78" t="s">
        <v>87</v>
      </c>
      <c r="C89" s="83">
        <f t="shared" si="1"/>
        <v>0</v>
      </c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</row>
    <row r="90" spans="1:51" x14ac:dyDescent="0.4">
      <c r="A90" s="69">
        <v>89</v>
      </c>
      <c r="B90" s="78" t="s">
        <v>88</v>
      </c>
      <c r="C90" s="83">
        <f t="shared" si="1"/>
        <v>0</v>
      </c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</row>
    <row r="91" spans="1:51" x14ac:dyDescent="0.4">
      <c r="A91" s="69">
        <v>90</v>
      </c>
      <c r="B91" s="78" t="s">
        <v>89</v>
      </c>
      <c r="C91" s="83">
        <f t="shared" si="1"/>
        <v>0</v>
      </c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</row>
    <row r="92" spans="1:51" x14ac:dyDescent="0.4">
      <c r="A92" s="69">
        <v>91</v>
      </c>
      <c r="B92" s="78" t="s">
        <v>112</v>
      </c>
      <c r="C92" s="83">
        <f t="shared" si="1"/>
        <v>0</v>
      </c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</row>
    <row r="93" spans="1:51" x14ac:dyDescent="0.4">
      <c r="A93" s="69">
        <v>92</v>
      </c>
      <c r="B93" s="78" t="s">
        <v>90</v>
      </c>
      <c r="C93" s="83">
        <f t="shared" si="1"/>
        <v>15</v>
      </c>
      <c r="D93" s="72" t="s">
        <v>1114</v>
      </c>
      <c r="E93" s="72" t="s">
        <v>1113</v>
      </c>
      <c r="F93" s="72" t="s">
        <v>1110</v>
      </c>
      <c r="G93" s="72" t="s">
        <v>1109</v>
      </c>
      <c r="H93" s="72" t="s">
        <v>1125</v>
      </c>
      <c r="I93" s="72" t="s">
        <v>1132</v>
      </c>
      <c r="J93" s="72" t="s">
        <v>1151</v>
      </c>
      <c r="K93" s="72" t="s">
        <v>1136</v>
      </c>
      <c r="L93" s="72" t="s">
        <v>1106</v>
      </c>
      <c r="M93" s="72" t="s">
        <v>1105</v>
      </c>
      <c r="N93" s="72" t="s">
        <v>1129</v>
      </c>
      <c r="O93" s="72" t="s">
        <v>1128</v>
      </c>
      <c r="P93" s="72" t="s">
        <v>1119</v>
      </c>
      <c r="Q93" s="72" t="s">
        <v>1116</v>
      </c>
      <c r="R93" s="72" t="s">
        <v>1134</v>
      </c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</row>
    <row r="94" spans="1:51" x14ac:dyDescent="0.4">
      <c r="A94" s="69">
        <v>93</v>
      </c>
      <c r="B94" s="78" t="s">
        <v>91</v>
      </c>
      <c r="C94" s="83">
        <f t="shared" si="1"/>
        <v>0</v>
      </c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</row>
    <row r="95" spans="1:51" x14ac:dyDescent="0.4">
      <c r="A95" s="69">
        <v>94</v>
      </c>
      <c r="B95" s="78" t="s">
        <v>92</v>
      </c>
      <c r="C95" s="83">
        <f t="shared" si="1"/>
        <v>0</v>
      </c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</row>
    <row r="96" spans="1:51" x14ac:dyDescent="0.4">
      <c r="A96" s="69">
        <v>95</v>
      </c>
      <c r="B96" s="78" t="s">
        <v>93</v>
      </c>
      <c r="C96" s="83">
        <f t="shared" si="1"/>
        <v>0</v>
      </c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</row>
    <row r="97" spans="1:52" x14ac:dyDescent="0.4">
      <c r="A97" s="69">
        <v>96</v>
      </c>
      <c r="B97" s="78" t="s">
        <v>94</v>
      </c>
      <c r="C97" s="83">
        <f t="shared" si="1"/>
        <v>0</v>
      </c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</row>
    <row r="98" spans="1:52" x14ac:dyDescent="0.4">
      <c r="A98" s="69">
        <v>97</v>
      </c>
      <c r="B98" s="78" t="s">
        <v>95</v>
      </c>
      <c r="C98" s="83">
        <f t="shared" si="1"/>
        <v>0</v>
      </c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</row>
    <row r="99" spans="1:52" x14ac:dyDescent="0.4">
      <c r="A99" s="69">
        <v>98</v>
      </c>
      <c r="B99" s="78" t="s">
        <v>96</v>
      </c>
      <c r="C99" s="83">
        <f t="shared" si="1"/>
        <v>4</v>
      </c>
      <c r="D99" s="72" t="s">
        <v>1129</v>
      </c>
      <c r="E99" s="72" t="s">
        <v>1145</v>
      </c>
      <c r="F99" s="72" t="s">
        <v>1150</v>
      </c>
      <c r="G99" s="72" t="s">
        <v>1135</v>
      </c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</row>
    <row r="100" spans="1:52" x14ac:dyDescent="0.4">
      <c r="A100" s="69">
        <v>99</v>
      </c>
      <c r="B100" s="78" t="s">
        <v>97</v>
      </c>
      <c r="C100" s="83">
        <f t="shared" si="1"/>
        <v>0</v>
      </c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</row>
    <row r="101" spans="1:52" x14ac:dyDescent="0.4">
      <c r="A101" s="69">
        <v>100</v>
      </c>
      <c r="B101" s="78" t="s">
        <v>98</v>
      </c>
      <c r="C101" s="83">
        <f t="shared" si="1"/>
        <v>2</v>
      </c>
      <c r="D101" s="72" t="s">
        <v>1146</v>
      </c>
      <c r="E101" s="72" t="s">
        <v>1118</v>
      </c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</row>
    <row r="102" spans="1:52" x14ac:dyDescent="0.4">
      <c r="A102" s="69">
        <v>101</v>
      </c>
      <c r="B102" s="78" t="s">
        <v>99</v>
      </c>
      <c r="C102" s="83">
        <f t="shared" si="1"/>
        <v>0</v>
      </c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</row>
    <row r="103" spans="1:52" x14ac:dyDescent="0.4">
      <c r="A103" s="69">
        <v>102</v>
      </c>
      <c r="B103" s="78" t="s">
        <v>100</v>
      </c>
      <c r="C103" s="83">
        <f t="shared" si="1"/>
        <v>0</v>
      </c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</row>
    <row r="104" spans="1:52" x14ac:dyDescent="0.4">
      <c r="A104" s="69">
        <v>103</v>
      </c>
      <c r="B104" s="78" t="s">
        <v>101</v>
      </c>
      <c r="C104" s="83">
        <f t="shared" si="1"/>
        <v>0</v>
      </c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</row>
    <row r="105" spans="1:52" x14ac:dyDescent="0.4">
      <c r="A105" s="69">
        <v>104</v>
      </c>
      <c r="B105" s="78" t="s">
        <v>110</v>
      </c>
      <c r="C105" s="83">
        <f t="shared" si="1"/>
        <v>16</v>
      </c>
      <c r="D105" s="72" t="s">
        <v>1124</v>
      </c>
      <c r="E105" s="72" t="s">
        <v>1113</v>
      </c>
      <c r="F105" s="72" t="s">
        <v>1142</v>
      </c>
      <c r="G105" s="72" t="s">
        <v>1112</v>
      </c>
      <c r="H105" s="72" t="s">
        <v>1102</v>
      </c>
      <c r="I105" s="72" t="s">
        <v>1103</v>
      </c>
      <c r="J105" s="72" t="s">
        <v>1109</v>
      </c>
      <c r="K105" s="72" t="s">
        <v>1147</v>
      </c>
      <c r="L105" s="72" t="s">
        <v>1146</v>
      </c>
      <c r="M105" s="72" t="s">
        <v>1129</v>
      </c>
      <c r="N105" s="72" t="s">
        <v>1127</v>
      </c>
      <c r="O105" s="72" t="s">
        <v>817</v>
      </c>
      <c r="P105" s="72" t="s">
        <v>1117</v>
      </c>
      <c r="Q105" s="72" t="s">
        <v>1116</v>
      </c>
      <c r="R105" s="72" t="s">
        <v>1155</v>
      </c>
      <c r="S105" s="72" t="s">
        <v>1104</v>
      </c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</row>
    <row r="106" spans="1:52" x14ac:dyDescent="0.4">
      <c r="A106" s="69">
        <v>105</v>
      </c>
      <c r="B106" s="78" t="s">
        <v>102</v>
      </c>
      <c r="C106" s="83">
        <f t="shared" si="1"/>
        <v>0</v>
      </c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</row>
    <row r="107" spans="1:52" x14ac:dyDescent="0.4">
      <c r="A107" s="69">
        <v>106</v>
      </c>
      <c r="B107" s="78" t="s">
        <v>103</v>
      </c>
      <c r="C107" s="83">
        <f t="shared" si="1"/>
        <v>1</v>
      </c>
      <c r="D107" s="72" t="s">
        <v>1154</v>
      </c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</row>
    <row r="108" spans="1:52" x14ac:dyDescent="0.4">
      <c r="A108" s="69">
        <v>107</v>
      </c>
      <c r="B108" s="78" t="s">
        <v>104</v>
      </c>
      <c r="C108" s="83">
        <f t="shared" si="1"/>
        <v>0</v>
      </c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</row>
    <row r="109" spans="1:52" x14ac:dyDescent="0.4">
      <c r="A109" s="69">
        <v>108</v>
      </c>
      <c r="B109" s="78" t="s">
        <v>105</v>
      </c>
      <c r="C109" s="83">
        <f t="shared" si="1"/>
        <v>0</v>
      </c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</row>
    <row r="110" spans="1:52" x14ac:dyDescent="0.4">
      <c r="A110" s="69">
        <v>109</v>
      </c>
      <c r="B110" s="78" t="s">
        <v>113</v>
      </c>
      <c r="C110" s="83">
        <f t="shared" si="1"/>
        <v>0</v>
      </c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</row>
    <row r="111" spans="1:52" x14ac:dyDescent="0.4">
      <c r="A111" s="69">
        <v>110</v>
      </c>
      <c r="B111" s="78" t="s">
        <v>106</v>
      </c>
      <c r="C111" s="83">
        <f t="shared" si="1"/>
        <v>6</v>
      </c>
      <c r="D111" s="72" t="s">
        <v>1142</v>
      </c>
      <c r="E111" s="72" t="s">
        <v>1112</v>
      </c>
      <c r="F111" s="72" t="s">
        <v>1102</v>
      </c>
      <c r="G111" s="72" t="s">
        <v>1109</v>
      </c>
      <c r="H111" s="72" t="s">
        <v>1104</v>
      </c>
      <c r="I111" s="72" t="s">
        <v>1153</v>
      </c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</row>
    <row r="112" spans="1:52" x14ac:dyDescent="0.4">
      <c r="A112" s="69">
        <v>111</v>
      </c>
      <c r="B112" s="78" t="s">
        <v>107</v>
      </c>
      <c r="C112" s="83">
        <f t="shared" si="1"/>
        <v>0</v>
      </c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</row>
    <row r="113" spans="1:61" x14ac:dyDescent="0.4">
      <c r="A113" s="69">
        <v>112</v>
      </c>
      <c r="B113" s="78" t="s">
        <v>108</v>
      </c>
      <c r="C113" s="83">
        <f t="shared" si="1"/>
        <v>0</v>
      </c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</row>
    <row r="114" spans="1:61" x14ac:dyDescent="0.4">
      <c r="A114" s="69">
        <v>113</v>
      </c>
      <c r="B114" s="78" t="s">
        <v>109</v>
      </c>
      <c r="C114" s="83">
        <f t="shared" si="1"/>
        <v>0</v>
      </c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</row>
    <row r="115" spans="1:61" x14ac:dyDescent="0.4">
      <c r="A115" s="69">
        <v>114</v>
      </c>
      <c r="B115" s="78" t="s">
        <v>114</v>
      </c>
      <c r="C115" s="83">
        <f t="shared" si="1"/>
        <v>6</v>
      </c>
      <c r="D115" s="72" t="s">
        <v>1124</v>
      </c>
      <c r="E115" s="72" t="s">
        <v>1113</v>
      </c>
      <c r="F115" s="72" t="s">
        <v>1109</v>
      </c>
      <c r="G115" s="72" t="s">
        <v>1129</v>
      </c>
      <c r="H115" s="72" t="s">
        <v>817</v>
      </c>
      <c r="I115" s="72" t="s">
        <v>1120</v>
      </c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</row>
    <row r="116" spans="1:61" x14ac:dyDescent="0.4">
      <c r="A116" s="69">
        <v>115</v>
      </c>
      <c r="B116" s="78" t="s">
        <v>115</v>
      </c>
      <c r="C116" s="83">
        <f t="shared" si="1"/>
        <v>0</v>
      </c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</row>
    <row r="117" spans="1:61" x14ac:dyDescent="0.4">
      <c r="A117" s="69">
        <v>116</v>
      </c>
      <c r="B117" s="78" t="s">
        <v>126</v>
      </c>
      <c r="C117" s="83">
        <f t="shared" si="1"/>
        <v>4</v>
      </c>
      <c r="D117" s="72" t="s">
        <v>1103</v>
      </c>
      <c r="E117" s="72" t="s">
        <v>1137</v>
      </c>
      <c r="F117" s="72" t="s">
        <v>1120</v>
      </c>
      <c r="G117" s="72" t="s">
        <v>1104</v>
      </c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</row>
    <row r="118" spans="1:61" x14ac:dyDescent="0.4">
      <c r="A118" s="69">
        <v>117</v>
      </c>
      <c r="B118" s="78" t="s">
        <v>122</v>
      </c>
      <c r="C118" s="83">
        <f t="shared" si="1"/>
        <v>0</v>
      </c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</row>
    <row r="119" spans="1:61" x14ac:dyDescent="0.4">
      <c r="A119" s="69">
        <v>118</v>
      </c>
      <c r="B119" s="78" t="s">
        <v>116</v>
      </c>
      <c r="C119" s="83">
        <f t="shared" si="1"/>
        <v>0</v>
      </c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</row>
    <row r="120" spans="1:61" x14ac:dyDescent="0.4">
      <c r="A120" s="69">
        <v>119</v>
      </c>
      <c r="B120" s="78" t="s">
        <v>118</v>
      </c>
      <c r="C120" s="83">
        <f t="shared" si="1"/>
        <v>0</v>
      </c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</row>
    <row r="121" spans="1:61" x14ac:dyDescent="0.4">
      <c r="A121" s="69">
        <v>120</v>
      </c>
      <c r="B121" s="78" t="s">
        <v>129</v>
      </c>
      <c r="C121" s="83">
        <f t="shared" si="1"/>
        <v>1</v>
      </c>
      <c r="D121" s="72" t="s">
        <v>1129</v>
      </c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</row>
    <row r="122" spans="1:61" x14ac:dyDescent="0.4">
      <c r="A122" s="69">
        <v>121</v>
      </c>
      <c r="B122" s="78" t="s">
        <v>130</v>
      </c>
      <c r="C122" s="83">
        <f t="shared" si="1"/>
        <v>15</v>
      </c>
      <c r="D122" s="72" t="s">
        <v>1124</v>
      </c>
      <c r="E122" s="72" t="s">
        <v>1114</v>
      </c>
      <c r="F122" s="72" t="s">
        <v>1113</v>
      </c>
      <c r="G122" s="72" t="s">
        <v>1111</v>
      </c>
      <c r="H122" s="72" t="s">
        <v>1110</v>
      </c>
      <c r="I122" s="72" t="s">
        <v>1125</v>
      </c>
      <c r="J122" s="72" t="s">
        <v>1108</v>
      </c>
      <c r="K122" s="72" t="s">
        <v>1106</v>
      </c>
      <c r="L122" s="72" t="s">
        <v>1139</v>
      </c>
      <c r="M122" s="72" t="s">
        <v>1121</v>
      </c>
      <c r="N122" s="72" t="s">
        <v>1118</v>
      </c>
      <c r="O122" s="72" t="s">
        <v>1152</v>
      </c>
      <c r="P122" s="72" t="s">
        <v>1117</v>
      </c>
      <c r="Q122" s="72" t="s">
        <v>1116</v>
      </c>
      <c r="R122" s="72" t="s">
        <v>1149</v>
      </c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</row>
    <row r="123" spans="1:61" x14ac:dyDescent="0.4">
      <c r="A123" s="69">
        <v>122</v>
      </c>
      <c r="B123" s="78" t="s">
        <v>119</v>
      </c>
      <c r="C123" s="83">
        <f t="shared" si="1"/>
        <v>0</v>
      </c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</row>
    <row r="124" spans="1:61" x14ac:dyDescent="0.4">
      <c r="A124" s="69">
        <v>123</v>
      </c>
      <c r="B124" s="78" t="s">
        <v>131</v>
      </c>
      <c r="C124" s="83">
        <f t="shared" si="1"/>
        <v>25</v>
      </c>
      <c r="D124" s="72" t="s">
        <v>1124</v>
      </c>
      <c r="E124" s="72" t="s">
        <v>1113</v>
      </c>
      <c r="F124" s="72" t="s">
        <v>1142</v>
      </c>
      <c r="G124" s="72" t="s">
        <v>1112</v>
      </c>
      <c r="H124" s="72" t="s">
        <v>1141</v>
      </c>
      <c r="I124" s="72" t="s">
        <v>1102</v>
      </c>
      <c r="J124" s="72" t="s">
        <v>1103</v>
      </c>
      <c r="K124" s="72" t="s">
        <v>1110</v>
      </c>
      <c r="L124" s="72" t="s">
        <v>1109</v>
      </c>
      <c r="M124" s="72" t="s">
        <v>1123</v>
      </c>
      <c r="N124" s="72" t="s">
        <v>1125</v>
      </c>
      <c r="O124" s="72" t="s">
        <v>1108</v>
      </c>
      <c r="P124" s="72" t="s">
        <v>1140</v>
      </c>
      <c r="Q124" s="72" t="s">
        <v>1122</v>
      </c>
      <c r="R124" s="72" t="s">
        <v>1133</v>
      </c>
      <c r="S124" s="72" t="s">
        <v>1107</v>
      </c>
      <c r="T124" s="72" t="s">
        <v>1136</v>
      </c>
      <c r="U124" s="72" t="s">
        <v>1106</v>
      </c>
      <c r="V124" s="72" t="s">
        <v>1139</v>
      </c>
      <c r="W124" s="72" t="s">
        <v>1105</v>
      </c>
      <c r="X124" s="72" t="s">
        <v>1128</v>
      </c>
      <c r="Y124" s="72" t="s">
        <v>1121</v>
      </c>
      <c r="Z124" s="72" t="s">
        <v>1135</v>
      </c>
      <c r="AA124" s="72" t="s">
        <v>1120</v>
      </c>
      <c r="AB124" s="72" t="s">
        <v>1116</v>
      </c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</row>
    <row r="125" spans="1:61" x14ac:dyDescent="0.4">
      <c r="A125" s="69">
        <v>124</v>
      </c>
      <c r="B125" s="78" t="s">
        <v>128</v>
      </c>
      <c r="C125" s="83">
        <f t="shared" si="1"/>
        <v>0</v>
      </c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</row>
    <row r="126" spans="1:61" x14ac:dyDescent="0.4">
      <c r="A126" s="69">
        <v>125</v>
      </c>
      <c r="B126" s="78" t="s">
        <v>132</v>
      </c>
      <c r="C126" s="83">
        <f t="shared" si="1"/>
        <v>11</v>
      </c>
      <c r="D126" s="72" t="s">
        <v>1124</v>
      </c>
      <c r="E126" s="72" t="s">
        <v>1113</v>
      </c>
      <c r="F126" s="72" t="s">
        <v>1142</v>
      </c>
      <c r="G126" s="72" t="s">
        <v>1112</v>
      </c>
      <c r="H126" s="72" t="s">
        <v>1102</v>
      </c>
      <c r="I126" s="72" t="s">
        <v>1103</v>
      </c>
      <c r="J126" s="72" t="s">
        <v>1109</v>
      </c>
      <c r="K126" s="72" t="s">
        <v>1129</v>
      </c>
      <c r="L126" s="72" t="s">
        <v>1126</v>
      </c>
      <c r="M126" s="72" t="s">
        <v>1118</v>
      </c>
      <c r="N126" s="72" t="s">
        <v>1116</v>
      </c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</row>
    <row r="127" spans="1:61" x14ac:dyDescent="0.4">
      <c r="A127" s="69">
        <v>126</v>
      </c>
      <c r="B127" s="78" t="s">
        <v>127</v>
      </c>
      <c r="C127" s="83">
        <f t="shared" si="1"/>
        <v>0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</row>
    <row r="128" spans="1:61" x14ac:dyDescent="0.4">
      <c r="A128" s="69">
        <v>127</v>
      </c>
      <c r="B128" s="78" t="s">
        <v>124</v>
      </c>
      <c r="C128" s="83">
        <f t="shared" si="1"/>
        <v>0</v>
      </c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</row>
    <row r="129" spans="1:61" x14ac:dyDescent="0.4">
      <c r="A129" s="69">
        <v>128</v>
      </c>
      <c r="B129" s="78" t="s">
        <v>125</v>
      </c>
      <c r="C129" s="83">
        <f t="shared" si="1"/>
        <v>4</v>
      </c>
      <c r="D129" s="72" t="s">
        <v>1142</v>
      </c>
      <c r="E129" s="72" t="s">
        <v>1141</v>
      </c>
      <c r="F129" s="72" t="s">
        <v>1111</v>
      </c>
      <c r="G129" s="72" t="s">
        <v>1138</v>
      </c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</row>
    <row r="130" spans="1:61" x14ac:dyDescent="0.4">
      <c r="A130" s="69">
        <v>129</v>
      </c>
      <c r="B130" s="78" t="s">
        <v>133</v>
      </c>
      <c r="C130" s="83">
        <f t="shared" ref="C130:C193" si="2">COUNTA(D130:XFD130)</f>
        <v>25</v>
      </c>
      <c r="D130" s="72" t="s">
        <v>1124</v>
      </c>
      <c r="E130" s="72" t="s">
        <v>1114</v>
      </c>
      <c r="F130" s="72" t="s">
        <v>1113</v>
      </c>
      <c r="G130" s="72" t="s">
        <v>1142</v>
      </c>
      <c r="H130" s="72" t="s">
        <v>1112</v>
      </c>
      <c r="I130" s="72" t="s">
        <v>1111</v>
      </c>
      <c r="J130" s="72" t="s">
        <v>1102</v>
      </c>
      <c r="K130" s="72" t="s">
        <v>1110</v>
      </c>
      <c r="L130" s="72" t="s">
        <v>1109</v>
      </c>
      <c r="M130" s="72" t="s">
        <v>1123</v>
      </c>
      <c r="N130" s="72" t="s">
        <v>1131</v>
      </c>
      <c r="O130" s="72" t="s">
        <v>1132</v>
      </c>
      <c r="P130" s="72" t="s">
        <v>1108</v>
      </c>
      <c r="Q130" s="72" t="s">
        <v>1140</v>
      </c>
      <c r="R130" s="72" t="s">
        <v>1122</v>
      </c>
      <c r="S130" s="72" t="s">
        <v>1107</v>
      </c>
      <c r="T130" s="72" t="s">
        <v>1106</v>
      </c>
      <c r="U130" s="72" t="s">
        <v>1139</v>
      </c>
      <c r="V130" s="72" t="s">
        <v>1105</v>
      </c>
      <c r="W130" s="72" t="s">
        <v>1138</v>
      </c>
      <c r="X130" s="72" t="s">
        <v>1121</v>
      </c>
      <c r="Y130" s="72" t="s">
        <v>1127</v>
      </c>
      <c r="Z130" s="72" t="s">
        <v>1120</v>
      </c>
      <c r="AA130" s="72" t="s">
        <v>1116</v>
      </c>
      <c r="AB130" s="72" t="s">
        <v>1104</v>
      </c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</row>
    <row r="131" spans="1:61" x14ac:dyDescent="0.4">
      <c r="A131" s="69">
        <v>130</v>
      </c>
      <c r="B131" s="78" t="s">
        <v>120</v>
      </c>
      <c r="C131" s="83">
        <f t="shared" si="2"/>
        <v>8</v>
      </c>
      <c r="D131" s="72" t="s">
        <v>1113</v>
      </c>
      <c r="E131" s="72" t="s">
        <v>1142</v>
      </c>
      <c r="F131" s="72" t="s">
        <v>1125</v>
      </c>
      <c r="G131" s="72" t="s">
        <v>1137</v>
      </c>
      <c r="H131" s="72" t="s">
        <v>1136</v>
      </c>
      <c r="I131" s="72" t="s">
        <v>817</v>
      </c>
      <c r="J131" s="72" t="s">
        <v>1126</v>
      </c>
      <c r="K131" s="72" t="s">
        <v>1119</v>
      </c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</row>
    <row r="132" spans="1:61" x14ac:dyDescent="0.4">
      <c r="A132" s="69">
        <v>131</v>
      </c>
      <c r="B132" s="78" t="s">
        <v>123</v>
      </c>
      <c r="C132" s="83">
        <f t="shared" si="2"/>
        <v>0</v>
      </c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</row>
    <row r="133" spans="1:61" x14ac:dyDescent="0.4">
      <c r="A133" s="69">
        <v>132</v>
      </c>
      <c r="B133" s="78" t="s">
        <v>117</v>
      </c>
      <c r="C133" s="83">
        <f t="shared" si="2"/>
        <v>0</v>
      </c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</row>
    <row r="134" spans="1:61" x14ac:dyDescent="0.4">
      <c r="A134" s="69">
        <v>133</v>
      </c>
      <c r="B134" s="78" t="s">
        <v>121</v>
      </c>
      <c r="C134" s="83">
        <f t="shared" si="2"/>
        <v>0</v>
      </c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</row>
    <row r="135" spans="1:61" x14ac:dyDescent="0.4">
      <c r="A135" s="69">
        <v>134</v>
      </c>
      <c r="B135" s="78" t="s">
        <v>134</v>
      </c>
      <c r="C135" s="83">
        <f t="shared" si="2"/>
        <v>0</v>
      </c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</row>
    <row r="136" spans="1:61" x14ac:dyDescent="0.4">
      <c r="A136" s="69">
        <v>135</v>
      </c>
      <c r="B136" s="78" t="s">
        <v>135</v>
      </c>
      <c r="C136" s="83">
        <f t="shared" si="2"/>
        <v>25</v>
      </c>
      <c r="D136" s="72" t="s">
        <v>1124</v>
      </c>
      <c r="E136" s="72" t="s">
        <v>1113</v>
      </c>
      <c r="F136" s="72" t="s">
        <v>1142</v>
      </c>
      <c r="G136" s="72" t="s">
        <v>1112</v>
      </c>
      <c r="H136" s="72" t="s">
        <v>1141</v>
      </c>
      <c r="I136" s="72" t="s">
        <v>1102</v>
      </c>
      <c r="J136" s="72" t="s">
        <v>1103</v>
      </c>
      <c r="K136" s="72" t="s">
        <v>1110</v>
      </c>
      <c r="L136" s="72" t="s">
        <v>1109</v>
      </c>
      <c r="M136" s="72" t="s">
        <v>1123</v>
      </c>
      <c r="N136" s="72" t="s">
        <v>1131</v>
      </c>
      <c r="O136" s="72" t="s">
        <v>1108</v>
      </c>
      <c r="P136" s="72" t="s">
        <v>1133</v>
      </c>
      <c r="Q136" s="72" t="s">
        <v>1151</v>
      </c>
      <c r="R136" s="72" t="s">
        <v>1136</v>
      </c>
      <c r="S136" s="72" t="s">
        <v>1106</v>
      </c>
      <c r="T136" s="72" t="s">
        <v>1105</v>
      </c>
      <c r="U136" s="72" t="s">
        <v>1147</v>
      </c>
      <c r="V136" s="72" t="s">
        <v>1146</v>
      </c>
      <c r="W136" s="72" t="s">
        <v>1129</v>
      </c>
      <c r="X136" s="72" t="s">
        <v>1127</v>
      </c>
      <c r="Y136" s="72" t="s">
        <v>1150</v>
      </c>
      <c r="Z136" s="72" t="s">
        <v>1126</v>
      </c>
      <c r="AA136" s="72" t="s">
        <v>1149</v>
      </c>
      <c r="AB136" s="72" t="s">
        <v>1115</v>
      </c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</row>
    <row r="137" spans="1:61" x14ac:dyDescent="0.4">
      <c r="A137" s="69">
        <v>136</v>
      </c>
      <c r="B137" s="78" t="s">
        <v>136</v>
      </c>
      <c r="C137" s="83">
        <f t="shared" si="2"/>
        <v>0</v>
      </c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</row>
    <row r="138" spans="1:61" x14ac:dyDescent="0.4">
      <c r="A138" s="69">
        <v>137</v>
      </c>
      <c r="B138" s="78" t="s">
        <v>137</v>
      </c>
      <c r="C138" s="83">
        <f t="shared" si="2"/>
        <v>0</v>
      </c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</row>
    <row r="139" spans="1:61" x14ac:dyDescent="0.4">
      <c r="A139" s="69">
        <v>138</v>
      </c>
      <c r="B139" s="78" t="s">
        <v>138</v>
      </c>
      <c r="C139" s="83">
        <f t="shared" si="2"/>
        <v>1</v>
      </c>
      <c r="D139" s="72" t="s">
        <v>1132</v>
      </c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</row>
    <row r="140" spans="1:61" x14ac:dyDescent="0.4">
      <c r="A140" s="69">
        <v>139</v>
      </c>
      <c r="B140" s="78" t="s">
        <v>139</v>
      </c>
      <c r="C140" s="83">
        <f t="shared" si="2"/>
        <v>0</v>
      </c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</row>
    <row r="141" spans="1:61" x14ac:dyDescent="0.4">
      <c r="A141" s="69">
        <v>140</v>
      </c>
      <c r="B141" s="78" t="s">
        <v>140</v>
      </c>
      <c r="C141" s="83">
        <f t="shared" si="2"/>
        <v>5</v>
      </c>
      <c r="D141" s="72" t="s">
        <v>1103</v>
      </c>
      <c r="E141" s="72" t="s">
        <v>1125</v>
      </c>
      <c r="F141" s="72" t="s">
        <v>1129</v>
      </c>
      <c r="G141" s="72" t="s">
        <v>1116</v>
      </c>
      <c r="H141" s="72" t="s">
        <v>1104</v>
      </c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</row>
    <row r="142" spans="1:61" x14ac:dyDescent="0.4">
      <c r="A142" s="69">
        <v>141</v>
      </c>
      <c r="B142" s="78" t="s">
        <v>141</v>
      </c>
      <c r="C142" s="83">
        <f t="shared" si="2"/>
        <v>2</v>
      </c>
      <c r="D142" s="72" t="s">
        <v>1102</v>
      </c>
      <c r="E142" s="72" t="s">
        <v>1118</v>
      </c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</row>
    <row r="143" spans="1:61" x14ac:dyDescent="0.4">
      <c r="A143" s="69">
        <v>142</v>
      </c>
      <c r="B143" s="78" t="s">
        <v>142</v>
      </c>
      <c r="C143" s="83">
        <f t="shared" si="2"/>
        <v>0</v>
      </c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</row>
    <row r="144" spans="1:61" x14ac:dyDescent="0.4">
      <c r="A144" s="69">
        <v>143</v>
      </c>
      <c r="B144" s="78" t="s">
        <v>143</v>
      </c>
      <c r="C144" s="83">
        <f t="shared" si="2"/>
        <v>0</v>
      </c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</row>
    <row r="145" spans="1:53" x14ac:dyDescent="0.4">
      <c r="A145" s="69">
        <v>144</v>
      </c>
      <c r="B145" s="78" t="s">
        <v>144</v>
      </c>
      <c r="C145" s="83">
        <f t="shared" si="2"/>
        <v>1</v>
      </c>
      <c r="D145" s="72" t="s">
        <v>1112</v>
      </c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</row>
    <row r="146" spans="1:53" x14ac:dyDescent="0.4">
      <c r="A146" s="69">
        <v>145</v>
      </c>
      <c r="B146" s="78" t="s">
        <v>145</v>
      </c>
      <c r="C146" s="83">
        <f t="shared" si="2"/>
        <v>0</v>
      </c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</row>
    <row r="147" spans="1:53" x14ac:dyDescent="0.4">
      <c r="A147" s="69">
        <v>146</v>
      </c>
      <c r="B147" s="78" t="s">
        <v>146</v>
      </c>
      <c r="C147" s="83">
        <f t="shared" si="2"/>
        <v>1</v>
      </c>
      <c r="D147" s="72" t="s">
        <v>1127</v>
      </c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</row>
    <row r="148" spans="1:53" x14ac:dyDescent="0.4">
      <c r="A148" s="69">
        <v>147</v>
      </c>
      <c r="B148" s="78" t="s">
        <v>147</v>
      </c>
      <c r="C148" s="83">
        <f t="shared" si="2"/>
        <v>0</v>
      </c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</row>
    <row r="149" spans="1:53" x14ac:dyDescent="0.4">
      <c r="A149" s="69">
        <v>148</v>
      </c>
      <c r="B149" s="78" t="s">
        <v>148</v>
      </c>
      <c r="C149" s="83">
        <f t="shared" si="2"/>
        <v>5</v>
      </c>
      <c r="D149" s="72" t="s">
        <v>1125</v>
      </c>
      <c r="E149" s="72" t="s">
        <v>1132</v>
      </c>
      <c r="F149" s="72" t="s">
        <v>1140</v>
      </c>
      <c r="G149" s="72" t="s">
        <v>1122</v>
      </c>
      <c r="H149" s="72" t="s">
        <v>1105</v>
      </c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</row>
    <row r="150" spans="1:53" x14ac:dyDescent="0.4">
      <c r="A150" s="69">
        <v>149</v>
      </c>
      <c r="B150" s="78" t="s">
        <v>149</v>
      </c>
      <c r="C150" s="83">
        <f t="shared" si="2"/>
        <v>0</v>
      </c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</row>
    <row r="151" spans="1:53" x14ac:dyDescent="0.4">
      <c r="A151" s="69">
        <v>150</v>
      </c>
      <c r="B151" s="78" t="s">
        <v>150</v>
      </c>
      <c r="C151" s="83">
        <f t="shared" si="2"/>
        <v>14</v>
      </c>
      <c r="D151" s="72" t="s">
        <v>1124</v>
      </c>
      <c r="E151" s="72" t="s">
        <v>1141</v>
      </c>
      <c r="F151" s="72" t="s">
        <v>1123</v>
      </c>
      <c r="G151" s="72" t="s">
        <v>1131</v>
      </c>
      <c r="H151" s="72" t="s">
        <v>1125</v>
      </c>
      <c r="I151" s="72" t="s">
        <v>1140</v>
      </c>
      <c r="J151" s="72" t="s">
        <v>1122</v>
      </c>
      <c r="K151" s="72" t="s">
        <v>1133</v>
      </c>
      <c r="L151" s="72" t="s">
        <v>1128</v>
      </c>
      <c r="M151" s="72" t="s">
        <v>1121</v>
      </c>
      <c r="N151" s="72" t="s">
        <v>1143</v>
      </c>
      <c r="O151" s="72" t="s">
        <v>1117</v>
      </c>
      <c r="P151" s="72" t="s">
        <v>1116</v>
      </c>
      <c r="Q151" s="72" t="s">
        <v>1104</v>
      </c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</row>
    <row r="152" spans="1:53" x14ac:dyDescent="0.4">
      <c r="A152" s="69">
        <v>151</v>
      </c>
      <c r="B152" s="78" t="s">
        <v>151</v>
      </c>
      <c r="C152" s="83">
        <f t="shared" si="2"/>
        <v>1</v>
      </c>
      <c r="D152" s="72" t="s">
        <v>1148</v>
      </c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</row>
    <row r="153" spans="1:53" x14ac:dyDescent="0.4">
      <c r="A153" s="69">
        <v>152</v>
      </c>
      <c r="B153" s="78" t="s">
        <v>152</v>
      </c>
      <c r="C153" s="83">
        <f t="shared" si="2"/>
        <v>0</v>
      </c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</row>
    <row r="154" spans="1:53" x14ac:dyDescent="0.4">
      <c r="A154" s="69">
        <v>153</v>
      </c>
      <c r="B154" s="78" t="s">
        <v>153</v>
      </c>
      <c r="C154" s="83">
        <f t="shared" si="2"/>
        <v>17</v>
      </c>
      <c r="D154" s="72" t="s">
        <v>1124</v>
      </c>
      <c r="E154" s="72" t="s">
        <v>1114</v>
      </c>
      <c r="F154" s="72" t="s">
        <v>1113</v>
      </c>
      <c r="G154" s="72" t="s">
        <v>1142</v>
      </c>
      <c r="H154" s="72" t="s">
        <v>1112</v>
      </c>
      <c r="I154" s="72" t="s">
        <v>1141</v>
      </c>
      <c r="J154" s="72" t="s">
        <v>1102</v>
      </c>
      <c r="K154" s="72" t="s">
        <v>1109</v>
      </c>
      <c r="L154" s="72" t="s">
        <v>1123</v>
      </c>
      <c r="M154" s="72" t="s">
        <v>1125</v>
      </c>
      <c r="N154" s="72" t="s">
        <v>1133</v>
      </c>
      <c r="O154" s="72" t="s">
        <v>1136</v>
      </c>
      <c r="P154" s="72" t="s">
        <v>1139</v>
      </c>
      <c r="Q154" s="72" t="s">
        <v>1146</v>
      </c>
      <c r="R154" s="72" t="s">
        <v>1128</v>
      </c>
      <c r="S154" s="72" t="s">
        <v>1121</v>
      </c>
      <c r="T154" s="72" t="s">
        <v>1120</v>
      </c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</row>
    <row r="155" spans="1:53" x14ac:dyDescent="0.4">
      <c r="A155" s="69">
        <v>154</v>
      </c>
      <c r="B155" s="78" t="s">
        <v>154</v>
      </c>
      <c r="C155" s="83">
        <f t="shared" si="2"/>
        <v>0</v>
      </c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</row>
    <row r="156" spans="1:53" x14ac:dyDescent="0.4">
      <c r="A156" s="69">
        <v>155</v>
      </c>
      <c r="B156" s="78" t="s">
        <v>155</v>
      </c>
      <c r="C156" s="83">
        <f t="shared" si="2"/>
        <v>0</v>
      </c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</row>
    <row r="157" spans="1:53" x14ac:dyDescent="0.4">
      <c r="A157" s="69">
        <v>156</v>
      </c>
      <c r="B157" s="78" t="s">
        <v>156</v>
      </c>
      <c r="C157" s="83">
        <f t="shared" si="2"/>
        <v>0</v>
      </c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</row>
    <row r="158" spans="1:53" x14ac:dyDescent="0.4">
      <c r="A158" s="69">
        <v>157</v>
      </c>
      <c r="B158" s="78" t="s">
        <v>157</v>
      </c>
      <c r="C158" s="83">
        <f t="shared" si="2"/>
        <v>2</v>
      </c>
      <c r="D158" s="72" t="s">
        <v>1102</v>
      </c>
      <c r="E158" s="72" t="s">
        <v>1109</v>
      </c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</row>
    <row r="159" spans="1:53" x14ac:dyDescent="0.4">
      <c r="A159" s="69">
        <v>158</v>
      </c>
      <c r="B159" s="78" t="s">
        <v>158</v>
      </c>
      <c r="C159" s="83">
        <f t="shared" si="2"/>
        <v>0</v>
      </c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</row>
    <row r="160" spans="1:53" x14ac:dyDescent="0.4">
      <c r="A160" s="69">
        <v>159</v>
      </c>
      <c r="B160" s="78" t="s">
        <v>159</v>
      </c>
      <c r="C160" s="83">
        <f t="shared" si="2"/>
        <v>0</v>
      </c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</row>
    <row r="161" spans="1:62" x14ac:dyDescent="0.4">
      <c r="A161" s="69">
        <v>160</v>
      </c>
      <c r="B161" s="78" t="s">
        <v>160</v>
      </c>
      <c r="C161" s="83">
        <f t="shared" si="2"/>
        <v>0</v>
      </c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</row>
    <row r="162" spans="1:62" x14ac:dyDescent="0.4">
      <c r="A162" s="69">
        <v>161</v>
      </c>
      <c r="B162" s="78" t="s">
        <v>161</v>
      </c>
      <c r="C162" s="83">
        <f t="shared" si="2"/>
        <v>0</v>
      </c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</row>
    <row r="163" spans="1:62" x14ac:dyDescent="0.4">
      <c r="A163" s="69">
        <v>162</v>
      </c>
      <c r="B163" s="78" t="s">
        <v>162</v>
      </c>
      <c r="C163" s="83">
        <f t="shared" si="2"/>
        <v>0</v>
      </c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</row>
    <row r="164" spans="1:62" x14ac:dyDescent="0.4">
      <c r="A164" s="69">
        <v>163</v>
      </c>
      <c r="B164" s="78" t="s">
        <v>163</v>
      </c>
      <c r="C164" s="83">
        <f t="shared" si="2"/>
        <v>0</v>
      </c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</row>
    <row r="165" spans="1:62" x14ac:dyDescent="0.4">
      <c r="A165" s="69">
        <v>164</v>
      </c>
      <c r="B165" s="78" t="s">
        <v>164</v>
      </c>
      <c r="C165" s="83">
        <f t="shared" si="2"/>
        <v>0</v>
      </c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</row>
    <row r="166" spans="1:62" x14ac:dyDescent="0.4">
      <c r="A166" s="69">
        <v>165</v>
      </c>
      <c r="B166" s="78" t="s">
        <v>165</v>
      </c>
      <c r="C166" s="83">
        <f t="shared" si="2"/>
        <v>0</v>
      </c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</row>
    <row r="167" spans="1:62" x14ac:dyDescent="0.4">
      <c r="A167" s="69">
        <v>166</v>
      </c>
      <c r="B167" s="78" t="s">
        <v>166</v>
      </c>
      <c r="C167" s="83">
        <f t="shared" si="2"/>
        <v>0</v>
      </c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</row>
    <row r="168" spans="1:62" x14ac:dyDescent="0.4">
      <c r="A168" s="69">
        <v>167</v>
      </c>
      <c r="B168" s="78" t="s">
        <v>167</v>
      </c>
      <c r="C168" s="83">
        <f t="shared" si="2"/>
        <v>0</v>
      </c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</row>
    <row r="169" spans="1:62" x14ac:dyDescent="0.4">
      <c r="A169" s="69">
        <v>168</v>
      </c>
      <c r="B169" s="78" t="s">
        <v>168</v>
      </c>
      <c r="C169" s="83">
        <f t="shared" si="2"/>
        <v>26</v>
      </c>
      <c r="D169" s="72" t="s">
        <v>1124</v>
      </c>
      <c r="E169" s="72" t="s">
        <v>1114</v>
      </c>
      <c r="F169" s="72" t="s">
        <v>1113</v>
      </c>
      <c r="G169" s="72" t="s">
        <v>1142</v>
      </c>
      <c r="H169" s="72" t="s">
        <v>1112</v>
      </c>
      <c r="I169" s="72" t="s">
        <v>1141</v>
      </c>
      <c r="J169" s="72" t="s">
        <v>1111</v>
      </c>
      <c r="K169" s="72" t="s">
        <v>1102</v>
      </c>
      <c r="L169" s="72" t="s">
        <v>1110</v>
      </c>
      <c r="M169" s="72" t="s">
        <v>1109</v>
      </c>
      <c r="N169" s="72" t="s">
        <v>1123</v>
      </c>
      <c r="O169" s="72" t="s">
        <v>1131</v>
      </c>
      <c r="P169" s="72" t="s">
        <v>1125</v>
      </c>
      <c r="Q169" s="72" t="s">
        <v>1132</v>
      </c>
      <c r="R169" s="72" t="s">
        <v>1108</v>
      </c>
      <c r="S169" s="72" t="s">
        <v>1140</v>
      </c>
      <c r="T169" s="72" t="s">
        <v>1122</v>
      </c>
      <c r="U169" s="72" t="s">
        <v>1133</v>
      </c>
      <c r="V169" s="72" t="s">
        <v>1137</v>
      </c>
      <c r="W169" s="72" t="s">
        <v>1106</v>
      </c>
      <c r="X169" s="72" t="s">
        <v>1138</v>
      </c>
      <c r="Y169" s="72" t="s">
        <v>1146</v>
      </c>
      <c r="Z169" s="72" t="s">
        <v>1129</v>
      </c>
      <c r="AA169" s="72" t="s">
        <v>1128</v>
      </c>
      <c r="AB169" s="72" t="s">
        <v>1121</v>
      </c>
      <c r="AC169" s="72" t="s">
        <v>1134</v>
      </c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</row>
    <row r="170" spans="1:62" x14ac:dyDescent="0.4">
      <c r="A170" s="69">
        <v>169</v>
      </c>
      <c r="B170" s="78" t="s">
        <v>169</v>
      </c>
      <c r="C170" s="83">
        <f t="shared" si="2"/>
        <v>1</v>
      </c>
      <c r="D170" s="72" t="s">
        <v>1142</v>
      </c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</row>
    <row r="171" spans="1:62" x14ac:dyDescent="0.4">
      <c r="A171" s="69">
        <v>170</v>
      </c>
      <c r="B171" s="78" t="s">
        <v>170</v>
      </c>
      <c r="C171" s="83">
        <f t="shared" si="2"/>
        <v>0</v>
      </c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</row>
    <row r="172" spans="1:62" x14ac:dyDescent="0.4">
      <c r="A172" s="69">
        <v>171</v>
      </c>
      <c r="B172" s="78" t="s">
        <v>171</v>
      </c>
      <c r="C172" s="83">
        <f t="shared" si="2"/>
        <v>0</v>
      </c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</row>
    <row r="173" spans="1:62" x14ac:dyDescent="0.4">
      <c r="A173" s="69">
        <v>172</v>
      </c>
      <c r="B173" s="78" t="s">
        <v>172</v>
      </c>
      <c r="C173" s="83">
        <f t="shared" si="2"/>
        <v>0</v>
      </c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</row>
    <row r="174" spans="1:62" x14ac:dyDescent="0.4">
      <c r="A174" s="69">
        <v>173</v>
      </c>
      <c r="B174" s="78" t="s">
        <v>173</v>
      </c>
      <c r="C174" s="83">
        <f t="shared" si="2"/>
        <v>0</v>
      </c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</row>
    <row r="175" spans="1:62" x14ac:dyDescent="0.4">
      <c r="A175" s="69">
        <v>174</v>
      </c>
      <c r="B175" s="78" t="s">
        <v>174</v>
      </c>
      <c r="C175" s="83">
        <f t="shared" si="2"/>
        <v>0</v>
      </c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</row>
    <row r="176" spans="1:62" x14ac:dyDescent="0.4">
      <c r="A176" s="69">
        <v>175</v>
      </c>
      <c r="B176" s="78" t="s">
        <v>175</v>
      </c>
      <c r="C176" s="83">
        <f t="shared" si="2"/>
        <v>3</v>
      </c>
      <c r="D176" s="72" t="s">
        <v>1142</v>
      </c>
      <c r="E176" s="72" t="s">
        <v>1112</v>
      </c>
      <c r="F176" s="72" t="s">
        <v>1127</v>
      </c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</row>
    <row r="177" spans="1:58" x14ac:dyDescent="0.4">
      <c r="A177" s="69">
        <v>176</v>
      </c>
      <c r="B177" s="78" t="s">
        <v>176</v>
      </c>
      <c r="C177" s="83">
        <f t="shared" si="2"/>
        <v>0</v>
      </c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</row>
    <row r="178" spans="1:58" x14ac:dyDescent="0.4">
      <c r="A178" s="69">
        <v>177</v>
      </c>
      <c r="B178" s="78" t="s">
        <v>177</v>
      </c>
      <c r="C178" s="83">
        <f t="shared" si="2"/>
        <v>5</v>
      </c>
      <c r="D178" s="72" t="s">
        <v>1114</v>
      </c>
      <c r="E178" s="72" t="s">
        <v>1142</v>
      </c>
      <c r="F178" s="72" t="s">
        <v>1112</v>
      </c>
      <c r="G178" s="72" t="s">
        <v>1108</v>
      </c>
      <c r="H178" s="72" t="s">
        <v>1133</v>
      </c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</row>
    <row r="179" spans="1:58" x14ac:dyDescent="0.4">
      <c r="A179" s="69">
        <v>178</v>
      </c>
      <c r="B179" s="78" t="s">
        <v>178</v>
      </c>
      <c r="C179" s="83">
        <f t="shared" si="2"/>
        <v>1</v>
      </c>
      <c r="D179" s="72" t="s">
        <v>1125</v>
      </c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  <c r="AJ179" s="70"/>
      <c r="AK179" s="70"/>
    </row>
    <row r="180" spans="1:58" x14ac:dyDescent="0.4">
      <c r="A180" s="69">
        <v>179</v>
      </c>
      <c r="B180" s="78" t="s">
        <v>179</v>
      </c>
      <c r="C180" s="83">
        <f t="shared" si="2"/>
        <v>18</v>
      </c>
      <c r="D180" s="72" t="s">
        <v>1114</v>
      </c>
      <c r="E180" s="72" t="s">
        <v>1142</v>
      </c>
      <c r="F180" s="72" t="s">
        <v>1102</v>
      </c>
      <c r="G180" s="72" t="s">
        <v>1103</v>
      </c>
      <c r="H180" s="72" t="s">
        <v>1110</v>
      </c>
      <c r="I180" s="72" t="s">
        <v>1125</v>
      </c>
      <c r="J180" s="72" t="s">
        <v>1132</v>
      </c>
      <c r="K180" s="72" t="s">
        <v>1130</v>
      </c>
      <c r="L180" s="72" t="s">
        <v>1139</v>
      </c>
      <c r="M180" s="72" t="s">
        <v>1105</v>
      </c>
      <c r="N180" s="72" t="s">
        <v>1147</v>
      </c>
      <c r="O180" s="72" t="s">
        <v>1146</v>
      </c>
      <c r="P180" s="72" t="s">
        <v>1129</v>
      </c>
      <c r="Q180" s="72" t="s">
        <v>1127</v>
      </c>
      <c r="R180" s="72" t="s">
        <v>1145</v>
      </c>
      <c r="S180" s="72" t="s">
        <v>1144</v>
      </c>
      <c r="T180" s="72" t="s">
        <v>1126</v>
      </c>
      <c r="U180" s="72" t="s">
        <v>1134</v>
      </c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/>
      <c r="AO180" s="70"/>
      <c r="AP180" s="70"/>
      <c r="AQ180" s="70"/>
      <c r="AR180" s="70"/>
      <c r="AS180" s="70"/>
      <c r="AT180" s="70"/>
      <c r="AU180" s="70"/>
      <c r="AV180" s="70"/>
      <c r="AW180" s="70"/>
      <c r="AX180" s="70"/>
      <c r="AY180" s="70"/>
      <c r="AZ180" s="70"/>
      <c r="BA180" s="70"/>
      <c r="BB180" s="70"/>
    </row>
    <row r="181" spans="1:58" x14ac:dyDescent="0.4">
      <c r="A181" s="69">
        <v>180</v>
      </c>
      <c r="B181" s="78" t="s">
        <v>180</v>
      </c>
      <c r="C181" s="83">
        <f t="shared" si="2"/>
        <v>0</v>
      </c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</row>
    <row r="182" spans="1:58" x14ac:dyDescent="0.4">
      <c r="A182" s="69">
        <v>181</v>
      </c>
      <c r="B182" s="78" t="s">
        <v>199</v>
      </c>
      <c r="C182" s="83">
        <f t="shared" si="2"/>
        <v>22</v>
      </c>
      <c r="D182" s="72" t="s">
        <v>1124</v>
      </c>
      <c r="E182" s="72" t="s">
        <v>1114</v>
      </c>
      <c r="F182" s="72" t="s">
        <v>1113</v>
      </c>
      <c r="G182" s="72" t="s">
        <v>1142</v>
      </c>
      <c r="H182" s="72" t="s">
        <v>1141</v>
      </c>
      <c r="I182" s="72" t="s">
        <v>1111</v>
      </c>
      <c r="J182" s="72" t="s">
        <v>1102</v>
      </c>
      <c r="K182" s="72" t="s">
        <v>1110</v>
      </c>
      <c r="L182" s="72" t="s">
        <v>1109</v>
      </c>
      <c r="M182" s="72" t="s">
        <v>1131</v>
      </c>
      <c r="N182" s="72" t="s">
        <v>1125</v>
      </c>
      <c r="O182" s="72" t="s">
        <v>1108</v>
      </c>
      <c r="P182" s="72" t="s">
        <v>1140</v>
      </c>
      <c r="Q182" s="72" t="s">
        <v>1136</v>
      </c>
      <c r="R182" s="72" t="s">
        <v>1106</v>
      </c>
      <c r="S182" s="72" t="s">
        <v>1139</v>
      </c>
      <c r="T182" s="72" t="s">
        <v>1128</v>
      </c>
      <c r="U182" s="72" t="s">
        <v>1121</v>
      </c>
      <c r="V182" s="72" t="s">
        <v>1127</v>
      </c>
      <c r="W182" s="72" t="s">
        <v>1120</v>
      </c>
      <c r="X182" s="72" t="s">
        <v>1126</v>
      </c>
      <c r="Y182" s="72" t="s">
        <v>1117</v>
      </c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  <c r="AJ182" s="70"/>
      <c r="AK182" s="70"/>
      <c r="AL182" s="70"/>
      <c r="AM182" s="70"/>
      <c r="AN182" s="70"/>
      <c r="AO182" s="70"/>
      <c r="AP182" s="70"/>
      <c r="AQ182" s="70"/>
      <c r="AR182" s="70"/>
      <c r="AS182" s="70"/>
      <c r="AT182" s="70"/>
      <c r="AU182" s="70"/>
      <c r="AV182" s="70"/>
      <c r="AW182" s="70"/>
      <c r="AX182" s="70"/>
      <c r="AY182" s="70"/>
      <c r="AZ182" s="70"/>
      <c r="BA182" s="70"/>
      <c r="BB182" s="70"/>
      <c r="BC182" s="70"/>
      <c r="BD182" s="70"/>
      <c r="BE182" s="70"/>
      <c r="BF182" s="70"/>
    </row>
    <row r="183" spans="1:58" x14ac:dyDescent="0.4">
      <c r="A183" s="69">
        <v>182</v>
      </c>
      <c r="B183" s="78" t="s">
        <v>181</v>
      </c>
      <c r="C183" s="83">
        <f t="shared" si="2"/>
        <v>0</v>
      </c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  <c r="AJ183" s="70"/>
    </row>
    <row r="184" spans="1:58" x14ac:dyDescent="0.4">
      <c r="A184" s="69">
        <v>183</v>
      </c>
      <c r="B184" s="78" t="s">
        <v>182</v>
      </c>
      <c r="C184" s="83">
        <f t="shared" si="2"/>
        <v>0</v>
      </c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0"/>
      <c r="AI184" s="70"/>
      <c r="AJ184" s="70"/>
    </row>
    <row r="185" spans="1:58" x14ac:dyDescent="0.4">
      <c r="A185" s="69">
        <v>184</v>
      </c>
      <c r="B185" s="78" t="s">
        <v>183</v>
      </c>
      <c r="C185" s="83">
        <f t="shared" si="2"/>
        <v>0</v>
      </c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70"/>
      <c r="AC185" s="70"/>
      <c r="AD185" s="70"/>
      <c r="AE185" s="70"/>
      <c r="AF185" s="70"/>
      <c r="AG185" s="70"/>
      <c r="AH185" s="70"/>
      <c r="AI185" s="70"/>
      <c r="AJ185" s="70"/>
    </row>
    <row r="186" spans="1:58" x14ac:dyDescent="0.4">
      <c r="A186" s="69">
        <v>185</v>
      </c>
      <c r="B186" s="78" t="s">
        <v>184</v>
      </c>
      <c r="C186" s="83">
        <f t="shared" si="2"/>
        <v>8</v>
      </c>
      <c r="D186" s="72" t="s">
        <v>1142</v>
      </c>
      <c r="E186" s="72" t="s">
        <v>1112</v>
      </c>
      <c r="F186" s="72" t="s">
        <v>1102</v>
      </c>
      <c r="G186" s="72" t="s">
        <v>1109</v>
      </c>
      <c r="H186" s="72" t="s">
        <v>1139</v>
      </c>
      <c r="I186" s="72" t="s">
        <v>1129</v>
      </c>
      <c r="J186" s="72" t="s">
        <v>1120</v>
      </c>
      <c r="K186" s="72" t="s">
        <v>1118</v>
      </c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  <c r="AE186" s="70"/>
      <c r="AF186" s="70"/>
      <c r="AG186" s="70"/>
      <c r="AH186" s="70"/>
      <c r="AI186" s="70"/>
      <c r="AJ186" s="70"/>
      <c r="AK186" s="70"/>
      <c r="AL186" s="70"/>
      <c r="AM186" s="70"/>
      <c r="AN186" s="70"/>
      <c r="AO186" s="70"/>
      <c r="AP186" s="70"/>
      <c r="AQ186" s="70"/>
      <c r="AR186" s="70"/>
    </row>
    <row r="187" spans="1:58" x14ac:dyDescent="0.4">
      <c r="A187" s="69">
        <v>186</v>
      </c>
      <c r="B187" s="78" t="s">
        <v>185</v>
      </c>
      <c r="C187" s="83">
        <f t="shared" si="2"/>
        <v>0</v>
      </c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  <c r="AE187" s="70"/>
      <c r="AF187" s="70"/>
      <c r="AG187" s="70"/>
      <c r="AH187" s="70"/>
      <c r="AI187" s="70"/>
      <c r="AJ187" s="70"/>
    </row>
    <row r="188" spans="1:58" x14ac:dyDescent="0.4">
      <c r="A188" s="69">
        <v>187</v>
      </c>
      <c r="B188" s="78" t="s">
        <v>186</v>
      </c>
      <c r="C188" s="83">
        <f t="shared" si="2"/>
        <v>0</v>
      </c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  <c r="AE188" s="70"/>
      <c r="AF188" s="70"/>
      <c r="AG188" s="70"/>
      <c r="AH188" s="70"/>
      <c r="AI188" s="70"/>
      <c r="AJ188" s="70"/>
    </row>
    <row r="189" spans="1:58" x14ac:dyDescent="0.4">
      <c r="A189" s="69">
        <v>188</v>
      </c>
      <c r="B189" s="78" t="s">
        <v>187</v>
      </c>
      <c r="C189" s="83">
        <f t="shared" si="2"/>
        <v>0</v>
      </c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</row>
    <row r="190" spans="1:58" x14ac:dyDescent="0.4">
      <c r="A190" s="69">
        <v>189</v>
      </c>
      <c r="B190" s="78" t="s">
        <v>188</v>
      </c>
      <c r="C190" s="83">
        <f t="shared" si="2"/>
        <v>0</v>
      </c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</row>
    <row r="191" spans="1:58" x14ac:dyDescent="0.4">
      <c r="A191" s="69">
        <v>190</v>
      </c>
      <c r="B191" s="78" t="s">
        <v>189</v>
      </c>
      <c r="C191" s="83">
        <f t="shared" si="2"/>
        <v>3</v>
      </c>
      <c r="D191" s="72" t="s">
        <v>1103</v>
      </c>
      <c r="E191" s="72" t="s">
        <v>1129</v>
      </c>
      <c r="F191" s="72" t="s">
        <v>817</v>
      </c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70"/>
      <c r="AC191" s="70"/>
      <c r="AD191" s="70"/>
      <c r="AE191" s="70"/>
      <c r="AF191" s="70"/>
      <c r="AG191" s="70"/>
      <c r="AH191" s="70"/>
      <c r="AI191" s="70"/>
      <c r="AJ191" s="70"/>
      <c r="AK191" s="70"/>
      <c r="AL191" s="70"/>
      <c r="AM191" s="70"/>
    </row>
    <row r="192" spans="1:58" x14ac:dyDescent="0.4">
      <c r="A192" s="69">
        <v>191</v>
      </c>
      <c r="B192" s="78" t="s">
        <v>190</v>
      </c>
      <c r="C192" s="83">
        <f t="shared" si="2"/>
        <v>1</v>
      </c>
      <c r="D192" s="72" t="s">
        <v>817</v>
      </c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  <c r="AE192" s="70"/>
      <c r="AF192" s="70"/>
      <c r="AG192" s="70"/>
      <c r="AH192" s="70"/>
      <c r="AI192" s="70"/>
      <c r="AJ192" s="70"/>
      <c r="AK192" s="70"/>
    </row>
    <row r="193" spans="1:67" x14ac:dyDescent="0.4">
      <c r="A193" s="69">
        <v>192</v>
      </c>
      <c r="B193" s="78" t="s">
        <v>191</v>
      </c>
      <c r="C193" s="83">
        <f t="shared" si="2"/>
        <v>0</v>
      </c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70"/>
      <c r="AG193" s="70"/>
      <c r="AH193" s="70"/>
      <c r="AI193" s="70"/>
      <c r="AJ193" s="70"/>
    </row>
    <row r="194" spans="1:67" x14ac:dyDescent="0.4">
      <c r="A194" s="69">
        <v>193</v>
      </c>
      <c r="B194" s="78" t="s">
        <v>192</v>
      </c>
      <c r="C194" s="83">
        <f t="shared" ref="C194:C246" si="3">COUNTA(D194:XFD194)</f>
        <v>0</v>
      </c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</row>
    <row r="195" spans="1:67" x14ac:dyDescent="0.4">
      <c r="A195" s="69">
        <v>194</v>
      </c>
      <c r="B195" s="78" t="s">
        <v>193</v>
      </c>
      <c r="C195" s="83">
        <f t="shared" si="3"/>
        <v>0</v>
      </c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  <c r="AE195" s="70"/>
      <c r="AF195" s="70"/>
      <c r="AG195" s="70"/>
      <c r="AH195" s="70"/>
      <c r="AI195" s="70"/>
      <c r="AJ195" s="70"/>
    </row>
    <row r="196" spans="1:67" x14ac:dyDescent="0.4">
      <c r="A196" s="69">
        <v>195</v>
      </c>
      <c r="B196" s="78" t="s">
        <v>194</v>
      </c>
      <c r="C196" s="83">
        <f t="shared" si="3"/>
        <v>6</v>
      </c>
      <c r="D196" s="72" t="s">
        <v>1142</v>
      </c>
      <c r="E196" s="72" t="s">
        <v>1112</v>
      </c>
      <c r="F196" s="72" t="s">
        <v>1109</v>
      </c>
      <c r="G196" s="72" t="s">
        <v>1122</v>
      </c>
      <c r="H196" s="72" t="s">
        <v>1138</v>
      </c>
      <c r="I196" s="72" t="s">
        <v>1143</v>
      </c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/>
      <c r="AO196" s="70"/>
      <c r="AP196" s="70"/>
    </row>
    <row r="197" spans="1:67" x14ac:dyDescent="0.4">
      <c r="A197" s="69">
        <v>196</v>
      </c>
      <c r="B197" s="78" t="s">
        <v>195</v>
      </c>
      <c r="C197" s="83">
        <f t="shared" si="3"/>
        <v>0</v>
      </c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  <c r="AE197" s="70"/>
      <c r="AF197" s="70"/>
      <c r="AG197" s="70"/>
      <c r="AH197" s="70"/>
      <c r="AI197" s="70"/>
      <c r="AJ197" s="70"/>
    </row>
    <row r="198" spans="1:67" x14ac:dyDescent="0.4">
      <c r="A198" s="69">
        <v>197</v>
      </c>
      <c r="B198" s="78" t="s">
        <v>196</v>
      </c>
      <c r="C198" s="83">
        <f t="shared" si="3"/>
        <v>31</v>
      </c>
      <c r="D198" s="72" t="s">
        <v>1114</v>
      </c>
      <c r="E198" s="72" t="s">
        <v>1113</v>
      </c>
      <c r="F198" s="72" t="s">
        <v>1142</v>
      </c>
      <c r="G198" s="72" t="s">
        <v>1112</v>
      </c>
      <c r="H198" s="72" t="s">
        <v>1141</v>
      </c>
      <c r="I198" s="72" t="s">
        <v>1111</v>
      </c>
      <c r="J198" s="72" t="s">
        <v>1102</v>
      </c>
      <c r="K198" s="72" t="s">
        <v>1110</v>
      </c>
      <c r="L198" s="72" t="s">
        <v>1123</v>
      </c>
      <c r="M198" s="72" t="s">
        <v>1125</v>
      </c>
      <c r="N198" s="72" t="s">
        <v>1132</v>
      </c>
      <c r="O198" s="72" t="s">
        <v>1130</v>
      </c>
      <c r="P198" s="72" t="s">
        <v>1108</v>
      </c>
      <c r="Q198" s="72" t="s">
        <v>1140</v>
      </c>
      <c r="R198" s="72" t="s">
        <v>1122</v>
      </c>
      <c r="S198" s="72" t="s">
        <v>1137</v>
      </c>
      <c r="T198" s="72" t="s">
        <v>1139</v>
      </c>
      <c r="U198" s="72" t="s">
        <v>1105</v>
      </c>
      <c r="V198" s="72" t="s">
        <v>1138</v>
      </c>
      <c r="W198" s="72" t="s">
        <v>1129</v>
      </c>
      <c r="X198" s="72" t="s">
        <v>1128</v>
      </c>
      <c r="Y198" s="72" t="s">
        <v>1121</v>
      </c>
      <c r="Z198" s="72" t="s">
        <v>1127</v>
      </c>
      <c r="AA198" s="72" t="s">
        <v>1120</v>
      </c>
      <c r="AB198" s="72" t="s">
        <v>1126</v>
      </c>
      <c r="AC198" s="72" t="s">
        <v>1119</v>
      </c>
      <c r="AD198" s="72" t="s">
        <v>1117</v>
      </c>
      <c r="AE198" s="72" t="s">
        <v>1116</v>
      </c>
      <c r="AF198" s="72" t="s">
        <v>1134</v>
      </c>
      <c r="AG198" s="72" t="s">
        <v>1104</v>
      </c>
      <c r="AH198" s="72" t="s">
        <v>1115</v>
      </c>
      <c r="AI198" s="70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70"/>
      <c r="BB198" s="70"/>
      <c r="BC198" s="70"/>
      <c r="BD198" s="70"/>
      <c r="BE198" s="70"/>
      <c r="BF198" s="70"/>
      <c r="BG198" s="70"/>
      <c r="BH198" s="70"/>
      <c r="BI198" s="70"/>
      <c r="BJ198" s="70"/>
      <c r="BK198" s="70"/>
      <c r="BL198" s="70"/>
      <c r="BM198" s="70"/>
      <c r="BN198" s="70"/>
      <c r="BO198" s="70"/>
    </row>
    <row r="199" spans="1:67" x14ac:dyDescent="0.4">
      <c r="A199" s="69">
        <v>198</v>
      </c>
      <c r="B199" s="78" t="s">
        <v>197</v>
      </c>
      <c r="C199" s="83">
        <f t="shared" si="3"/>
        <v>0</v>
      </c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  <c r="AE199" s="70"/>
      <c r="AF199" s="70"/>
      <c r="AG199" s="70"/>
      <c r="AH199" s="70"/>
      <c r="AI199" s="70"/>
      <c r="AJ199" s="70"/>
    </row>
    <row r="200" spans="1:67" x14ac:dyDescent="0.4">
      <c r="A200" s="69">
        <v>199</v>
      </c>
      <c r="B200" s="78" t="s">
        <v>198</v>
      </c>
      <c r="C200" s="83">
        <f t="shared" si="3"/>
        <v>1</v>
      </c>
      <c r="D200" s="72" t="s">
        <v>1103</v>
      </c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  <c r="AE200" s="70"/>
      <c r="AF200" s="70"/>
      <c r="AG200" s="70"/>
      <c r="AH200" s="70"/>
      <c r="AI200" s="70"/>
      <c r="AJ200" s="70"/>
      <c r="AK200" s="70"/>
    </row>
    <row r="201" spans="1:67" x14ac:dyDescent="0.4">
      <c r="A201" s="69">
        <v>200</v>
      </c>
      <c r="B201" s="78" t="s">
        <v>200</v>
      </c>
      <c r="C201" s="83">
        <f t="shared" si="3"/>
        <v>0</v>
      </c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  <c r="AE201" s="70"/>
      <c r="AF201" s="70"/>
      <c r="AG201" s="70"/>
      <c r="AH201" s="70"/>
      <c r="AI201" s="70"/>
      <c r="AJ201" s="70"/>
    </row>
    <row r="202" spans="1:67" x14ac:dyDescent="0.4">
      <c r="A202" s="69">
        <v>201</v>
      </c>
      <c r="B202" s="78" t="s">
        <v>201</v>
      </c>
      <c r="C202" s="83">
        <f t="shared" si="3"/>
        <v>7</v>
      </c>
      <c r="D202" s="72" t="s">
        <v>1123</v>
      </c>
      <c r="E202" s="72" t="s">
        <v>1130</v>
      </c>
      <c r="F202" s="72" t="s">
        <v>1137</v>
      </c>
      <c r="G202" s="72" t="s">
        <v>1136</v>
      </c>
      <c r="H202" s="72" t="s">
        <v>1135</v>
      </c>
      <c r="I202" s="72" t="s">
        <v>1126</v>
      </c>
      <c r="J202" s="72" t="s">
        <v>1134</v>
      </c>
      <c r="K202" s="70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  <c r="AA202" s="70"/>
      <c r="AB202" s="70"/>
      <c r="AC202" s="70"/>
      <c r="AD202" s="70"/>
      <c r="AE202" s="70"/>
      <c r="AF202" s="70"/>
      <c r="AG202" s="70"/>
      <c r="AH202" s="70"/>
      <c r="AI202" s="70"/>
      <c r="AJ202" s="70"/>
      <c r="AK202" s="70"/>
      <c r="AL202" s="70"/>
      <c r="AM202" s="70"/>
      <c r="AN202" s="70"/>
      <c r="AO202" s="70"/>
      <c r="AP202" s="70"/>
      <c r="AQ202" s="70"/>
    </row>
    <row r="203" spans="1:67" x14ac:dyDescent="0.4">
      <c r="A203" s="69">
        <v>202</v>
      </c>
      <c r="B203" s="78" t="s">
        <v>202</v>
      </c>
      <c r="C203" s="83">
        <f t="shared" si="3"/>
        <v>1</v>
      </c>
      <c r="D203" s="72" t="s">
        <v>1133</v>
      </c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  <c r="AE203" s="70"/>
      <c r="AF203" s="70"/>
      <c r="AG203" s="70"/>
      <c r="AH203" s="70"/>
      <c r="AI203" s="70"/>
      <c r="AJ203" s="70"/>
      <c r="AK203" s="70"/>
    </row>
    <row r="204" spans="1:67" x14ac:dyDescent="0.4">
      <c r="A204" s="69">
        <v>203</v>
      </c>
      <c r="B204" s="78" t="s">
        <v>203</v>
      </c>
      <c r="C204" s="83">
        <f t="shared" si="3"/>
        <v>3</v>
      </c>
      <c r="D204" s="72" t="s">
        <v>1110</v>
      </c>
      <c r="E204" s="72" t="s">
        <v>1132</v>
      </c>
      <c r="F204" s="72" t="s">
        <v>1115</v>
      </c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</row>
    <row r="205" spans="1:67" x14ac:dyDescent="0.4">
      <c r="A205" s="69">
        <v>204</v>
      </c>
      <c r="B205" s="78" t="s">
        <v>204</v>
      </c>
      <c r="C205" s="83">
        <f t="shared" si="3"/>
        <v>0</v>
      </c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  <c r="AE205" s="70"/>
      <c r="AF205" s="70"/>
      <c r="AG205" s="70"/>
      <c r="AH205" s="70"/>
      <c r="AI205" s="70"/>
      <c r="AJ205" s="70"/>
    </row>
    <row r="206" spans="1:67" x14ac:dyDescent="0.4">
      <c r="A206" s="69">
        <v>205</v>
      </c>
      <c r="B206" s="78" t="s">
        <v>216</v>
      </c>
      <c r="C206" s="83">
        <f t="shared" si="3"/>
        <v>0</v>
      </c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</row>
    <row r="207" spans="1:67" x14ac:dyDescent="0.4">
      <c r="A207" s="69">
        <v>206</v>
      </c>
      <c r="B207" s="78" t="s">
        <v>217</v>
      </c>
      <c r="C207" s="83">
        <f t="shared" si="3"/>
        <v>15</v>
      </c>
      <c r="D207" s="72" t="s">
        <v>1124</v>
      </c>
      <c r="E207" s="72" t="s">
        <v>1113</v>
      </c>
      <c r="F207" s="72" t="s">
        <v>1131</v>
      </c>
      <c r="G207" s="72" t="s">
        <v>1125</v>
      </c>
      <c r="H207" s="72" t="s">
        <v>1130</v>
      </c>
      <c r="I207" s="72" t="s">
        <v>1108</v>
      </c>
      <c r="J207" s="72" t="s">
        <v>1122</v>
      </c>
      <c r="K207" s="72" t="s">
        <v>1129</v>
      </c>
      <c r="L207" s="72" t="s">
        <v>1128</v>
      </c>
      <c r="M207" s="72" t="s">
        <v>1121</v>
      </c>
      <c r="N207" s="72" t="s">
        <v>1127</v>
      </c>
      <c r="O207" s="72" t="s">
        <v>817</v>
      </c>
      <c r="P207" s="72" t="s">
        <v>1120</v>
      </c>
      <c r="Q207" s="72" t="s">
        <v>1126</v>
      </c>
      <c r="R207" s="72" t="s">
        <v>1117</v>
      </c>
      <c r="S207" s="70"/>
      <c r="T207" s="70"/>
      <c r="U207" s="70"/>
      <c r="V207" s="70"/>
      <c r="W207" s="70"/>
      <c r="X207" s="70"/>
      <c r="Y207" s="70"/>
      <c r="Z207" s="70"/>
      <c r="AA207" s="70"/>
      <c r="AB207" s="70"/>
      <c r="AC207" s="70"/>
      <c r="AD207" s="70"/>
      <c r="AE207" s="70"/>
      <c r="AF207" s="70"/>
      <c r="AG207" s="70"/>
      <c r="AH207" s="70"/>
      <c r="AI207" s="70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  <c r="AT207" s="70"/>
      <c r="AU207" s="70"/>
      <c r="AV207" s="70"/>
      <c r="AW207" s="70"/>
      <c r="AX207" s="70"/>
      <c r="AY207" s="70"/>
    </row>
    <row r="208" spans="1:67" x14ac:dyDescent="0.4">
      <c r="A208" s="69">
        <v>207</v>
      </c>
      <c r="B208" s="78" t="s">
        <v>205</v>
      </c>
      <c r="C208" s="83">
        <f t="shared" si="3"/>
        <v>0</v>
      </c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  <c r="AA208" s="70"/>
      <c r="AB208" s="70"/>
      <c r="AC208" s="70"/>
      <c r="AD208" s="70"/>
      <c r="AE208" s="70"/>
      <c r="AF208" s="70"/>
      <c r="AG208" s="70"/>
      <c r="AH208" s="70"/>
      <c r="AI208" s="70"/>
      <c r="AJ208" s="70"/>
    </row>
    <row r="209" spans="1:38" x14ac:dyDescent="0.4">
      <c r="A209" s="69">
        <v>208</v>
      </c>
      <c r="B209" s="78" t="s">
        <v>218</v>
      </c>
      <c r="C209" s="83">
        <f t="shared" si="3"/>
        <v>1</v>
      </c>
      <c r="D209" s="72" t="s">
        <v>1115</v>
      </c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</row>
    <row r="210" spans="1:38" x14ac:dyDescent="0.4">
      <c r="A210" s="69">
        <v>209</v>
      </c>
      <c r="B210" s="78" t="s">
        <v>206</v>
      </c>
      <c r="C210" s="83">
        <f t="shared" si="3"/>
        <v>0</v>
      </c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</row>
    <row r="211" spans="1:38" x14ac:dyDescent="0.4">
      <c r="A211" s="69">
        <v>210</v>
      </c>
      <c r="B211" s="78" t="s">
        <v>207</v>
      </c>
      <c r="C211" s="83">
        <f t="shared" si="3"/>
        <v>0</v>
      </c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  <c r="AA211" s="70"/>
      <c r="AB211" s="70"/>
      <c r="AC211" s="70"/>
      <c r="AD211" s="70"/>
      <c r="AE211" s="70"/>
      <c r="AF211" s="70"/>
      <c r="AG211" s="70"/>
      <c r="AH211" s="70"/>
      <c r="AI211" s="70"/>
      <c r="AJ211" s="70"/>
    </row>
    <row r="212" spans="1:38" x14ac:dyDescent="0.4">
      <c r="A212" s="69">
        <v>211</v>
      </c>
      <c r="B212" s="78" t="s">
        <v>208</v>
      </c>
      <c r="C212" s="83">
        <f t="shared" si="3"/>
        <v>1</v>
      </c>
      <c r="D212" s="72" t="s">
        <v>1123</v>
      </c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  <c r="AE212" s="70"/>
      <c r="AF212" s="70"/>
      <c r="AG212" s="70"/>
      <c r="AH212" s="70"/>
      <c r="AI212" s="70"/>
      <c r="AJ212" s="70"/>
      <c r="AK212" s="70"/>
    </row>
    <row r="213" spans="1:38" x14ac:dyDescent="0.4">
      <c r="A213" s="69">
        <v>212</v>
      </c>
      <c r="B213" s="78" t="s">
        <v>209</v>
      </c>
      <c r="C213" s="83">
        <f t="shared" si="3"/>
        <v>0</v>
      </c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  <c r="AE213" s="70"/>
      <c r="AF213" s="70"/>
      <c r="AG213" s="70"/>
      <c r="AH213" s="70"/>
      <c r="AI213" s="70"/>
      <c r="AJ213" s="70"/>
    </row>
    <row r="214" spans="1:38" x14ac:dyDescent="0.4">
      <c r="A214" s="69">
        <v>213</v>
      </c>
      <c r="B214" s="78" t="s">
        <v>210</v>
      </c>
      <c r="C214" s="83">
        <f t="shared" si="3"/>
        <v>0</v>
      </c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70"/>
      <c r="AC214" s="70"/>
      <c r="AD214" s="70"/>
      <c r="AE214" s="70"/>
      <c r="AF214" s="70"/>
      <c r="AG214" s="70"/>
      <c r="AH214" s="70"/>
      <c r="AI214" s="70"/>
      <c r="AJ214" s="70"/>
    </row>
    <row r="215" spans="1:38" x14ac:dyDescent="0.4">
      <c r="A215" s="69">
        <v>214</v>
      </c>
      <c r="B215" s="78" t="s">
        <v>211</v>
      </c>
      <c r="C215" s="83">
        <f t="shared" si="3"/>
        <v>0</v>
      </c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70"/>
      <c r="AC215" s="70"/>
      <c r="AD215" s="70"/>
      <c r="AE215" s="70"/>
      <c r="AF215" s="70"/>
      <c r="AG215" s="70"/>
      <c r="AH215" s="70"/>
      <c r="AI215" s="70"/>
      <c r="AJ215" s="70"/>
    </row>
    <row r="216" spans="1:38" x14ac:dyDescent="0.4">
      <c r="A216" s="69">
        <v>215</v>
      </c>
      <c r="B216" s="78" t="s">
        <v>219</v>
      </c>
      <c r="C216" s="83">
        <f t="shared" si="3"/>
        <v>0</v>
      </c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</row>
    <row r="217" spans="1:38" x14ac:dyDescent="0.4">
      <c r="A217" s="69">
        <v>216</v>
      </c>
      <c r="B217" s="78" t="s">
        <v>214</v>
      </c>
      <c r="C217" s="83">
        <f t="shared" si="3"/>
        <v>0</v>
      </c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  <c r="AE217" s="70"/>
      <c r="AF217" s="70"/>
      <c r="AG217" s="70"/>
      <c r="AH217" s="70"/>
      <c r="AI217" s="70"/>
      <c r="AJ217" s="70"/>
    </row>
    <row r="218" spans="1:38" x14ac:dyDescent="0.4">
      <c r="A218" s="69">
        <v>217</v>
      </c>
      <c r="B218" s="78" t="s">
        <v>220</v>
      </c>
      <c r="C218" s="83">
        <f t="shared" si="3"/>
        <v>0</v>
      </c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  <c r="AE218" s="70"/>
      <c r="AF218" s="70"/>
      <c r="AG218" s="70"/>
      <c r="AH218" s="70"/>
      <c r="AI218" s="70"/>
      <c r="AJ218" s="70"/>
    </row>
    <row r="219" spans="1:38" x14ac:dyDescent="0.4">
      <c r="A219" s="69">
        <v>218</v>
      </c>
      <c r="B219" s="78" t="s">
        <v>221</v>
      </c>
      <c r="C219" s="83">
        <f t="shared" si="3"/>
        <v>2</v>
      </c>
      <c r="D219" s="72" t="s">
        <v>1125</v>
      </c>
      <c r="E219" s="72" t="s">
        <v>1104</v>
      </c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</row>
    <row r="220" spans="1:38" x14ac:dyDescent="0.4">
      <c r="A220" s="69">
        <v>219</v>
      </c>
      <c r="B220" s="78" t="s">
        <v>213</v>
      </c>
      <c r="C220" s="83">
        <f t="shared" si="3"/>
        <v>2</v>
      </c>
      <c r="D220" s="72" t="s">
        <v>1109</v>
      </c>
      <c r="E220" s="72" t="s">
        <v>1116</v>
      </c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</row>
    <row r="221" spans="1:38" x14ac:dyDescent="0.4">
      <c r="A221" s="69">
        <v>220</v>
      </c>
      <c r="B221" s="78" t="s">
        <v>212</v>
      </c>
      <c r="C221" s="83">
        <f t="shared" si="3"/>
        <v>0</v>
      </c>
      <c r="D221" s="70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  <c r="AE221" s="70"/>
      <c r="AF221" s="70"/>
      <c r="AG221" s="70"/>
      <c r="AH221" s="70"/>
      <c r="AI221" s="70"/>
      <c r="AJ221" s="70"/>
    </row>
    <row r="222" spans="1:38" x14ac:dyDescent="0.4">
      <c r="A222" s="69">
        <v>221</v>
      </c>
      <c r="B222" s="78" t="s">
        <v>222</v>
      </c>
      <c r="C222" s="83">
        <f t="shared" si="3"/>
        <v>0</v>
      </c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  <c r="AE222" s="70"/>
      <c r="AF222" s="70"/>
      <c r="AG222" s="70"/>
      <c r="AH222" s="70"/>
      <c r="AI222" s="70"/>
      <c r="AJ222" s="70"/>
    </row>
    <row r="223" spans="1:38" x14ac:dyDescent="0.4">
      <c r="A223" s="69">
        <v>222</v>
      </c>
      <c r="B223" s="78" t="s">
        <v>223</v>
      </c>
      <c r="C223" s="83">
        <f t="shared" si="3"/>
        <v>1</v>
      </c>
      <c r="D223" s="72" t="s">
        <v>1112</v>
      </c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  <c r="AE223" s="70"/>
      <c r="AF223" s="70"/>
      <c r="AG223" s="70"/>
      <c r="AH223" s="70"/>
      <c r="AI223" s="70"/>
      <c r="AJ223" s="70"/>
      <c r="AK223" s="70"/>
    </row>
    <row r="224" spans="1:38" x14ac:dyDescent="0.4">
      <c r="A224" s="69">
        <v>223</v>
      </c>
      <c r="B224" s="78" t="s">
        <v>215</v>
      </c>
      <c r="C224" s="83">
        <f t="shared" si="3"/>
        <v>0</v>
      </c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  <c r="AA224" s="70"/>
      <c r="AB224" s="70"/>
      <c r="AC224" s="70"/>
      <c r="AD224" s="70"/>
      <c r="AE224" s="70"/>
      <c r="AF224" s="70"/>
      <c r="AG224" s="70"/>
      <c r="AH224" s="70"/>
      <c r="AI224" s="70"/>
      <c r="AJ224" s="70"/>
    </row>
    <row r="225" spans="1:52" x14ac:dyDescent="0.4">
      <c r="A225" s="69">
        <v>224</v>
      </c>
      <c r="B225" s="78" t="s">
        <v>224</v>
      </c>
      <c r="C225" s="83">
        <f t="shared" si="3"/>
        <v>0</v>
      </c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  <c r="AA225" s="70"/>
      <c r="AB225" s="70"/>
      <c r="AC225" s="70"/>
      <c r="AD225" s="70"/>
      <c r="AE225" s="70"/>
      <c r="AF225" s="70"/>
      <c r="AG225" s="70"/>
      <c r="AH225" s="70"/>
      <c r="AI225" s="70"/>
      <c r="AJ225" s="70"/>
    </row>
    <row r="226" spans="1:52" x14ac:dyDescent="0.4">
      <c r="A226" s="69">
        <v>225</v>
      </c>
      <c r="B226" s="78" t="s">
        <v>225</v>
      </c>
      <c r="C226" s="83">
        <f t="shared" si="3"/>
        <v>0</v>
      </c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  <c r="AE226" s="70"/>
      <c r="AF226" s="70"/>
      <c r="AG226" s="70"/>
      <c r="AH226" s="70"/>
      <c r="AI226" s="70"/>
      <c r="AJ226" s="70"/>
    </row>
    <row r="227" spans="1:52" x14ac:dyDescent="0.4">
      <c r="A227" s="69">
        <v>226</v>
      </c>
      <c r="B227" s="78" t="s">
        <v>226</v>
      </c>
      <c r="C227" s="83">
        <f t="shared" si="3"/>
        <v>0</v>
      </c>
      <c r="D227" s="70"/>
      <c r="E227" s="70"/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70"/>
      <c r="AC227" s="70"/>
      <c r="AD227" s="70"/>
      <c r="AE227" s="70"/>
      <c r="AF227" s="70"/>
      <c r="AG227" s="70"/>
      <c r="AH227" s="70"/>
      <c r="AI227" s="70"/>
      <c r="AJ227" s="70"/>
    </row>
    <row r="228" spans="1:52" x14ac:dyDescent="0.4">
      <c r="A228" s="69">
        <v>227</v>
      </c>
      <c r="B228" s="78" t="s">
        <v>227</v>
      </c>
      <c r="C228" s="83">
        <f t="shared" si="3"/>
        <v>0</v>
      </c>
      <c r="D228" s="70"/>
      <c r="E228" s="70"/>
      <c r="F228" s="70"/>
      <c r="G228" s="70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  <c r="AA228" s="70"/>
      <c r="AB228" s="70"/>
      <c r="AC228" s="70"/>
      <c r="AD228" s="70"/>
      <c r="AE228" s="70"/>
      <c r="AF228" s="70"/>
      <c r="AG228" s="70"/>
      <c r="AH228" s="70"/>
      <c r="AI228" s="70"/>
      <c r="AJ228" s="70"/>
    </row>
    <row r="229" spans="1:52" x14ac:dyDescent="0.4">
      <c r="A229" s="69">
        <v>228</v>
      </c>
      <c r="B229" s="78" t="s">
        <v>228</v>
      </c>
      <c r="C229" s="83">
        <f t="shared" si="3"/>
        <v>0</v>
      </c>
      <c r="D229" s="70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70"/>
      <c r="AC229" s="70"/>
      <c r="AD229" s="70"/>
      <c r="AE229" s="70"/>
      <c r="AF229" s="70"/>
      <c r="AG229" s="70"/>
      <c r="AH229" s="70"/>
      <c r="AI229" s="70"/>
      <c r="AJ229" s="70"/>
    </row>
    <row r="230" spans="1:52" x14ac:dyDescent="0.4">
      <c r="A230" s="69">
        <v>229</v>
      </c>
      <c r="B230" s="78" t="s">
        <v>229</v>
      </c>
      <c r="C230" s="83">
        <f t="shared" si="3"/>
        <v>0</v>
      </c>
      <c r="D230" s="70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0"/>
      <c r="AE230" s="70"/>
      <c r="AF230" s="70"/>
      <c r="AG230" s="70"/>
      <c r="AH230" s="70"/>
      <c r="AI230" s="70"/>
      <c r="AJ230" s="70"/>
    </row>
    <row r="231" spans="1:52" x14ac:dyDescent="0.4">
      <c r="A231" s="69">
        <v>230</v>
      </c>
      <c r="B231" s="78" t="s">
        <v>230</v>
      </c>
      <c r="C231" s="83">
        <f t="shared" si="3"/>
        <v>1</v>
      </c>
      <c r="D231" s="72" t="s">
        <v>1125</v>
      </c>
      <c r="E231" s="70"/>
      <c r="F231" s="70"/>
      <c r="G231" s="70"/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  <c r="AA231" s="70"/>
      <c r="AB231" s="70"/>
      <c r="AC231" s="70"/>
      <c r="AD231" s="70"/>
      <c r="AE231" s="70"/>
      <c r="AF231" s="70"/>
      <c r="AG231" s="70"/>
      <c r="AH231" s="70"/>
      <c r="AI231" s="70"/>
      <c r="AJ231" s="70"/>
      <c r="AK231" s="70"/>
    </row>
    <row r="232" spans="1:52" x14ac:dyDescent="0.4">
      <c r="A232" s="69">
        <v>231</v>
      </c>
      <c r="B232" s="78" t="s">
        <v>231</v>
      </c>
      <c r="C232" s="83">
        <f t="shared" si="3"/>
        <v>0</v>
      </c>
      <c r="D232" s="70"/>
      <c r="E232" s="70"/>
      <c r="F232" s="70"/>
      <c r="G232" s="70"/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  <c r="AA232" s="70"/>
      <c r="AB232" s="70"/>
      <c r="AC232" s="70"/>
      <c r="AD232" s="70"/>
      <c r="AE232" s="70"/>
      <c r="AF232" s="70"/>
      <c r="AG232" s="70"/>
      <c r="AH232" s="70"/>
      <c r="AI232" s="70"/>
      <c r="AJ232" s="70"/>
    </row>
    <row r="233" spans="1:52" x14ac:dyDescent="0.4">
      <c r="A233" s="69">
        <v>232</v>
      </c>
      <c r="B233" s="78" t="s">
        <v>232</v>
      </c>
      <c r="C233" s="83">
        <f t="shared" si="3"/>
        <v>0</v>
      </c>
      <c r="D233" s="70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70"/>
      <c r="AC233" s="70"/>
      <c r="AD233" s="70"/>
      <c r="AE233" s="70"/>
      <c r="AF233" s="70"/>
      <c r="AG233" s="70"/>
      <c r="AH233" s="70"/>
      <c r="AI233" s="70"/>
      <c r="AJ233" s="70"/>
    </row>
    <row r="234" spans="1:52" x14ac:dyDescent="0.4">
      <c r="A234" s="69">
        <v>233</v>
      </c>
      <c r="B234" s="78" t="s">
        <v>233</v>
      </c>
      <c r="C234" s="83">
        <f t="shared" si="3"/>
        <v>0</v>
      </c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70"/>
      <c r="AC234" s="70"/>
      <c r="AD234" s="70"/>
      <c r="AE234" s="70"/>
      <c r="AF234" s="70"/>
      <c r="AG234" s="70"/>
      <c r="AH234" s="70"/>
      <c r="AI234" s="70"/>
      <c r="AJ234" s="70"/>
    </row>
    <row r="235" spans="1:52" x14ac:dyDescent="0.4">
      <c r="A235" s="69">
        <v>234</v>
      </c>
      <c r="B235" s="78" t="s">
        <v>243</v>
      </c>
      <c r="C235" s="83">
        <f t="shared" si="3"/>
        <v>16</v>
      </c>
      <c r="D235" s="72" t="s">
        <v>1124</v>
      </c>
      <c r="E235" s="72" t="s">
        <v>1114</v>
      </c>
      <c r="F235" s="72" t="s">
        <v>1113</v>
      </c>
      <c r="G235" s="72" t="s">
        <v>1111</v>
      </c>
      <c r="H235" s="72" t="s">
        <v>1102</v>
      </c>
      <c r="I235" s="72" t="s">
        <v>1109</v>
      </c>
      <c r="J235" s="72" t="s">
        <v>1123</v>
      </c>
      <c r="K235" s="72" t="s">
        <v>1108</v>
      </c>
      <c r="L235" s="72" t="s">
        <v>1122</v>
      </c>
      <c r="M235" s="72" t="s">
        <v>1106</v>
      </c>
      <c r="N235" s="72" t="s">
        <v>1121</v>
      </c>
      <c r="O235" s="72" t="s">
        <v>1120</v>
      </c>
      <c r="P235" s="72" t="s">
        <v>1119</v>
      </c>
      <c r="Q235" s="72" t="s">
        <v>1118</v>
      </c>
      <c r="R235" s="72" t="s">
        <v>1117</v>
      </c>
      <c r="S235" s="72" t="s">
        <v>1116</v>
      </c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  <c r="AE235" s="70"/>
      <c r="AF235" s="70"/>
      <c r="AG235" s="70"/>
      <c r="AH235" s="70"/>
      <c r="AI235" s="70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</row>
    <row r="236" spans="1:52" x14ac:dyDescent="0.4">
      <c r="A236" s="69">
        <v>235</v>
      </c>
      <c r="B236" s="78" t="s">
        <v>234</v>
      </c>
      <c r="C236" s="83">
        <f t="shared" si="3"/>
        <v>1</v>
      </c>
      <c r="D236" s="72" t="s">
        <v>1115</v>
      </c>
      <c r="E236" s="70"/>
      <c r="F236" s="70"/>
      <c r="G236" s="70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  <c r="AA236" s="70"/>
      <c r="AB236" s="70"/>
      <c r="AC236" s="70"/>
      <c r="AD236" s="70"/>
      <c r="AE236" s="70"/>
      <c r="AF236" s="70"/>
      <c r="AG236" s="70"/>
      <c r="AH236" s="70"/>
      <c r="AI236" s="70"/>
      <c r="AJ236" s="70"/>
      <c r="AK236" s="70"/>
    </row>
    <row r="237" spans="1:52" x14ac:dyDescent="0.4">
      <c r="A237" s="69">
        <v>236</v>
      </c>
      <c r="B237" s="78" t="s">
        <v>235</v>
      </c>
      <c r="C237" s="83">
        <f t="shared" si="3"/>
        <v>0</v>
      </c>
      <c r="D237" s="70"/>
      <c r="E237" s="70"/>
      <c r="F237" s="70"/>
      <c r="G237" s="70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  <c r="AE237" s="70"/>
      <c r="AF237" s="70"/>
      <c r="AG237" s="70"/>
      <c r="AH237" s="70"/>
      <c r="AI237" s="70"/>
      <c r="AJ237" s="70"/>
    </row>
    <row r="238" spans="1:52" x14ac:dyDescent="0.4">
      <c r="A238" s="69">
        <v>237</v>
      </c>
      <c r="B238" s="78" t="s">
        <v>236</v>
      </c>
      <c r="C238" s="83">
        <f t="shared" si="3"/>
        <v>0</v>
      </c>
      <c r="D238" s="70"/>
      <c r="E238" s="70"/>
      <c r="F238" s="70"/>
      <c r="G238" s="70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  <c r="AE238" s="70"/>
      <c r="AF238" s="70"/>
      <c r="AG238" s="70"/>
      <c r="AH238" s="70"/>
      <c r="AI238" s="70"/>
      <c r="AJ238" s="70"/>
    </row>
    <row r="239" spans="1:52" x14ac:dyDescent="0.4">
      <c r="A239" s="69">
        <v>238</v>
      </c>
      <c r="B239" s="78" t="s">
        <v>237</v>
      </c>
      <c r="C239" s="83">
        <f t="shared" si="3"/>
        <v>12</v>
      </c>
      <c r="D239" s="72" t="s">
        <v>1114</v>
      </c>
      <c r="E239" s="72" t="s">
        <v>1113</v>
      </c>
      <c r="F239" s="72" t="s">
        <v>1112</v>
      </c>
      <c r="G239" s="72" t="s">
        <v>1111</v>
      </c>
      <c r="H239" s="72" t="s">
        <v>1103</v>
      </c>
      <c r="I239" s="72" t="s">
        <v>1110</v>
      </c>
      <c r="J239" s="72" t="s">
        <v>1109</v>
      </c>
      <c r="K239" s="72" t="s">
        <v>1108</v>
      </c>
      <c r="L239" s="72" t="s">
        <v>1107</v>
      </c>
      <c r="M239" s="72" t="s">
        <v>1106</v>
      </c>
      <c r="N239" s="72" t="s">
        <v>1105</v>
      </c>
      <c r="O239" s="72" t="s">
        <v>1104</v>
      </c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  <c r="AE239" s="70"/>
      <c r="AF239" s="70"/>
      <c r="AG239" s="70"/>
      <c r="AH239" s="70"/>
      <c r="AI239" s="70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</row>
    <row r="240" spans="1:52" x14ac:dyDescent="0.4">
      <c r="A240" s="69">
        <v>239</v>
      </c>
      <c r="B240" s="78" t="s">
        <v>238</v>
      </c>
      <c r="C240" s="83">
        <f t="shared" si="3"/>
        <v>0</v>
      </c>
      <c r="D240" s="70"/>
      <c r="E240" s="70"/>
      <c r="F240" s="70"/>
      <c r="G240" s="70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  <c r="AE240" s="70"/>
      <c r="AF240" s="70"/>
      <c r="AG240" s="70"/>
      <c r="AH240" s="70"/>
      <c r="AI240" s="70"/>
      <c r="AJ240" s="70"/>
    </row>
    <row r="241" spans="1:68" x14ac:dyDescent="0.4">
      <c r="A241" s="69">
        <v>240</v>
      </c>
      <c r="B241" s="78" t="s">
        <v>239</v>
      </c>
      <c r="C241" s="83">
        <f t="shared" si="3"/>
        <v>0</v>
      </c>
      <c r="D241" s="70"/>
      <c r="E241" s="70"/>
      <c r="F241" s="70"/>
      <c r="G241" s="70"/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  <c r="AA241" s="70"/>
      <c r="AB241" s="70"/>
      <c r="AC241" s="70"/>
      <c r="AD241" s="70"/>
      <c r="AE241" s="70"/>
      <c r="AF241" s="70"/>
      <c r="AG241" s="70"/>
      <c r="AH241" s="70"/>
      <c r="AI241" s="70"/>
      <c r="AJ241" s="70"/>
    </row>
    <row r="242" spans="1:68" x14ac:dyDescent="0.4">
      <c r="A242" s="69">
        <v>241</v>
      </c>
      <c r="B242" s="78" t="s">
        <v>240</v>
      </c>
      <c r="C242" s="83">
        <f t="shared" si="3"/>
        <v>0</v>
      </c>
      <c r="D242" s="70"/>
      <c r="E242" s="70"/>
      <c r="F242" s="70"/>
      <c r="G242" s="70"/>
      <c r="H242" s="70"/>
      <c r="I242" s="70"/>
      <c r="J242" s="70"/>
      <c r="K242" s="70"/>
      <c r="L242" s="70"/>
      <c r="M242" s="70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/>
      <c r="Y242" s="70"/>
      <c r="Z242" s="70"/>
      <c r="AA242" s="70"/>
      <c r="AB242" s="70"/>
      <c r="AC242" s="70"/>
      <c r="AD242" s="70"/>
      <c r="AE242" s="70"/>
      <c r="AF242" s="70"/>
      <c r="AG242" s="70"/>
      <c r="AH242" s="70"/>
      <c r="AI242" s="70"/>
      <c r="AJ242" s="70"/>
    </row>
    <row r="243" spans="1:68" x14ac:dyDescent="0.4">
      <c r="A243" s="69">
        <v>242</v>
      </c>
      <c r="B243" s="78" t="s">
        <v>241</v>
      </c>
      <c r="C243" s="83">
        <f t="shared" si="3"/>
        <v>1</v>
      </c>
      <c r="D243" s="72" t="s">
        <v>1103</v>
      </c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</row>
    <row r="244" spans="1:68" x14ac:dyDescent="0.4">
      <c r="A244" s="69">
        <v>243</v>
      </c>
      <c r="B244" s="78" t="s">
        <v>242</v>
      </c>
      <c r="C244" s="83">
        <f t="shared" si="3"/>
        <v>0</v>
      </c>
      <c r="D244" s="70"/>
      <c r="E244" s="70"/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  <c r="AE244" s="70"/>
      <c r="AF244" s="70"/>
      <c r="AG244" s="70"/>
      <c r="AH244" s="70"/>
      <c r="AI244" s="70"/>
      <c r="AJ244" s="70"/>
    </row>
    <row r="245" spans="1:68" x14ac:dyDescent="0.4">
      <c r="A245" s="69">
        <v>244</v>
      </c>
      <c r="B245" s="78" t="s">
        <v>244</v>
      </c>
      <c r="C245" s="83">
        <f t="shared" si="3"/>
        <v>0</v>
      </c>
      <c r="D245" s="70"/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</row>
    <row r="246" spans="1:68" ht="18" thickBot="1" x14ac:dyDescent="0.45">
      <c r="A246" s="69">
        <v>245</v>
      </c>
      <c r="B246" s="79" t="s">
        <v>245</v>
      </c>
      <c r="C246" s="84">
        <f t="shared" si="3"/>
        <v>1</v>
      </c>
      <c r="D246" s="72" t="s">
        <v>1102</v>
      </c>
      <c r="E246" s="71"/>
      <c r="F246" s="71"/>
      <c r="G246" s="71"/>
      <c r="H246" s="71"/>
      <c r="I246" s="71"/>
      <c r="J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71"/>
      <c r="AX246" s="71"/>
      <c r="AY246" s="71"/>
      <c r="AZ246" s="71"/>
      <c r="BA246" s="71"/>
      <c r="BB246" s="71"/>
      <c r="BC246" s="71"/>
      <c r="BD246" s="71"/>
      <c r="BE246" s="71"/>
      <c r="BF246" s="71"/>
      <c r="BG246" s="71"/>
      <c r="BH246" s="71"/>
      <c r="BI246" s="71"/>
      <c r="BJ246" s="71"/>
      <c r="BK246" s="71"/>
      <c r="BL246" s="70"/>
      <c r="BM246" s="70"/>
      <c r="BN246" s="70"/>
      <c r="BO246" s="70"/>
      <c r="BP246" s="70"/>
    </row>
    <row r="247" spans="1:68" x14ac:dyDescent="0.4">
      <c r="A247" s="69"/>
      <c r="B247" s="70" t="s">
        <v>1161</v>
      </c>
      <c r="C247" s="69">
        <f>SUM(C2:C246)</f>
        <v>561</v>
      </c>
      <c r="D247" s="70"/>
      <c r="E247" s="70"/>
      <c r="F247" s="70"/>
      <c r="G247" s="70"/>
      <c r="H247" s="70"/>
      <c r="I247" s="70"/>
      <c r="J247" s="70"/>
      <c r="K247" s="70"/>
      <c r="L247" s="70"/>
      <c r="M247" s="70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  <c r="AM247" s="70"/>
      <c r="AN247" s="70"/>
      <c r="AO247" s="70"/>
      <c r="AP247" s="70"/>
      <c r="AQ247" s="70"/>
      <c r="AR247" s="70"/>
      <c r="AS247" s="70"/>
      <c r="AT247" s="70"/>
      <c r="AU247" s="70"/>
      <c r="AV247" s="70"/>
      <c r="AW247" s="70"/>
      <c r="AX247" s="70"/>
      <c r="AY247" s="70"/>
      <c r="AZ247" s="70"/>
      <c r="BA247" s="70"/>
      <c r="BB247" s="70"/>
      <c r="BC247" s="70"/>
      <c r="BD247" s="70"/>
      <c r="BE247" s="70"/>
      <c r="BF247" s="70"/>
      <c r="BG247" s="70"/>
      <c r="BH247" s="70"/>
      <c r="BI247" s="70"/>
      <c r="BJ247" s="70"/>
      <c r="BK247" s="70"/>
      <c r="BL247" s="70"/>
    </row>
    <row r="248" spans="1:68" x14ac:dyDescent="0.4">
      <c r="A248" s="69"/>
      <c r="D248" s="70"/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/>
      <c r="Y248" s="70"/>
      <c r="Z248" s="70"/>
      <c r="AA248" s="70"/>
      <c r="AB248" s="70"/>
      <c r="AC248" s="70"/>
      <c r="AD248" s="70"/>
      <c r="AE248" s="70"/>
      <c r="AF248" s="70"/>
      <c r="AG248" s="70"/>
      <c r="AH248" s="70"/>
      <c r="AI248" s="70"/>
      <c r="AJ248" s="70"/>
      <c r="AK248" s="70"/>
      <c r="AL248" s="70"/>
      <c r="AM248" s="70"/>
      <c r="AN248" s="70"/>
      <c r="AO248" s="70"/>
      <c r="AP248" s="70"/>
      <c r="AQ248" s="70"/>
      <c r="AR248" s="70"/>
      <c r="AS248" s="70"/>
      <c r="AT248" s="70"/>
      <c r="AU248" s="70"/>
      <c r="AV248" s="70"/>
      <c r="AW248" s="70"/>
      <c r="AX248" s="70"/>
      <c r="AY248" s="70"/>
      <c r="AZ248" s="70"/>
      <c r="BA248" s="70"/>
      <c r="BB248" s="70"/>
      <c r="BC248" s="70"/>
      <c r="BD248" s="70"/>
      <c r="BE248" s="70"/>
      <c r="BF248" s="70"/>
      <c r="BG248" s="70"/>
      <c r="BH248" s="70"/>
      <c r="BI248" s="70"/>
      <c r="BJ248" s="70"/>
      <c r="BK248" s="70"/>
      <c r="BL248" s="70"/>
    </row>
    <row r="249" spans="1:68" ht="18" thickBot="1" x14ac:dyDescent="0.45">
      <c r="A249" s="69"/>
      <c r="B249" s="59" t="s">
        <v>1088</v>
      </c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  <c r="AM249" s="70"/>
      <c r="AN249" s="70"/>
      <c r="AO249" s="70"/>
      <c r="AP249" s="70"/>
      <c r="AQ249" s="70"/>
      <c r="AR249" s="70"/>
      <c r="AS249" s="70"/>
      <c r="AT249" s="70"/>
      <c r="AU249" s="70"/>
      <c r="AV249" s="70"/>
      <c r="AW249" s="70"/>
      <c r="AX249" s="70"/>
      <c r="AY249" s="70"/>
      <c r="AZ249" s="70"/>
      <c r="BA249" s="70"/>
      <c r="BB249" s="70"/>
      <c r="BC249" s="70"/>
      <c r="BD249" s="70"/>
      <c r="BE249" s="70"/>
      <c r="BF249" s="70"/>
      <c r="BG249" s="70"/>
      <c r="BH249" s="70"/>
      <c r="BI249" s="70"/>
      <c r="BJ249" s="70"/>
      <c r="BK249" s="70"/>
      <c r="BL249" s="70"/>
    </row>
    <row r="250" spans="1:68" x14ac:dyDescent="0.4">
      <c r="A250" s="69">
        <v>1</v>
      </c>
      <c r="B250" s="62" t="s">
        <v>1089</v>
      </c>
      <c r="C250" s="82">
        <f t="shared" ref="C250:C260" si="4">COUNTA(D250:XFD250)</f>
        <v>0</v>
      </c>
      <c r="D250" s="70"/>
      <c r="E250" s="59"/>
      <c r="F250" s="70"/>
      <c r="G250" s="70"/>
      <c r="H250" s="70"/>
      <c r="I250" s="70"/>
      <c r="J250" s="70"/>
      <c r="K250" s="70"/>
      <c r="L250" s="70"/>
      <c r="M250" s="70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  <c r="AE250" s="70"/>
      <c r="AF250" s="70"/>
      <c r="AG250" s="70"/>
      <c r="AH250" s="70"/>
      <c r="AI250" s="70"/>
      <c r="AJ250" s="70"/>
      <c r="AK250" s="70"/>
      <c r="AL250" s="70"/>
      <c r="AM250" s="70"/>
      <c r="AN250" s="70"/>
      <c r="AO250" s="70"/>
      <c r="AP250" s="70"/>
      <c r="AQ250" s="70"/>
      <c r="AR250" s="70"/>
      <c r="AS250" s="70"/>
      <c r="AT250" s="70"/>
      <c r="AU250" s="70"/>
      <c r="AV250" s="70"/>
      <c r="AW250" s="70"/>
      <c r="AX250" s="70"/>
      <c r="AY250" s="70"/>
      <c r="AZ250" s="70"/>
      <c r="BA250" s="70"/>
      <c r="BB250" s="70"/>
      <c r="BC250" s="70"/>
      <c r="BD250" s="70"/>
      <c r="BE250" s="70"/>
      <c r="BF250" s="70"/>
      <c r="BG250" s="70"/>
      <c r="BH250" s="70"/>
      <c r="BI250" s="70"/>
      <c r="BJ250" s="70"/>
      <c r="BK250" s="70"/>
      <c r="BL250" s="70"/>
    </row>
    <row r="251" spans="1:68" x14ac:dyDescent="0.4">
      <c r="A251" s="69">
        <v>2</v>
      </c>
      <c r="B251" s="63" t="s">
        <v>1099</v>
      </c>
      <c r="C251" s="83">
        <f t="shared" si="4"/>
        <v>0</v>
      </c>
      <c r="D251" s="70"/>
      <c r="E251" s="59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70"/>
      <c r="AC251" s="70"/>
      <c r="AD251" s="70"/>
      <c r="AE251" s="70"/>
      <c r="AF251" s="70"/>
      <c r="AG251" s="70"/>
      <c r="AH251" s="70"/>
      <c r="AI251" s="70"/>
      <c r="AJ251" s="70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70"/>
      <c r="AV251" s="70"/>
      <c r="AW251" s="70"/>
      <c r="AX251" s="70"/>
      <c r="AY251" s="70"/>
      <c r="AZ251" s="70"/>
      <c r="BA251" s="70"/>
      <c r="BB251" s="70"/>
      <c r="BC251" s="70"/>
      <c r="BD251" s="70"/>
      <c r="BE251" s="70"/>
      <c r="BF251" s="70"/>
      <c r="BG251" s="70"/>
      <c r="BH251" s="70"/>
      <c r="BI251" s="70"/>
      <c r="BJ251" s="70"/>
      <c r="BK251" s="70"/>
      <c r="BL251" s="70"/>
    </row>
    <row r="252" spans="1:68" x14ac:dyDescent="0.4">
      <c r="A252" s="69">
        <v>3</v>
      </c>
      <c r="B252" s="63" t="s">
        <v>1090</v>
      </c>
      <c r="C252" s="83">
        <f t="shared" si="4"/>
        <v>0</v>
      </c>
      <c r="D252" s="70"/>
      <c r="E252" s="59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  <c r="AA252" s="70"/>
      <c r="AB252" s="70"/>
      <c r="AC252" s="70"/>
      <c r="AD252" s="70"/>
      <c r="AE252" s="70"/>
      <c r="AF252" s="70"/>
      <c r="AG252" s="70"/>
      <c r="AH252" s="70"/>
      <c r="AI252" s="70"/>
      <c r="AJ252" s="70"/>
      <c r="AK252" s="70"/>
      <c r="AL252" s="70"/>
      <c r="AM252" s="70"/>
      <c r="AN252" s="70"/>
      <c r="AO252" s="70"/>
      <c r="AP252" s="70"/>
      <c r="AQ252" s="70"/>
      <c r="AR252" s="70"/>
      <c r="AS252" s="70"/>
      <c r="AT252" s="70"/>
      <c r="AU252" s="70"/>
      <c r="AV252" s="70"/>
      <c r="AW252" s="70"/>
      <c r="AX252" s="70"/>
      <c r="AY252" s="70"/>
      <c r="AZ252" s="70"/>
      <c r="BA252" s="70"/>
      <c r="BB252" s="70"/>
      <c r="BC252" s="70"/>
      <c r="BD252" s="70"/>
      <c r="BE252" s="70"/>
      <c r="BF252" s="70"/>
      <c r="BG252" s="70"/>
      <c r="BH252" s="70"/>
      <c r="BI252" s="70"/>
      <c r="BJ252" s="70"/>
      <c r="BK252" s="70"/>
      <c r="BL252" s="70"/>
    </row>
    <row r="253" spans="1:68" x14ac:dyDescent="0.4">
      <c r="A253" s="69">
        <v>4</v>
      </c>
      <c r="B253" s="63" t="s">
        <v>1091</v>
      </c>
      <c r="C253" s="83">
        <f t="shared" si="4"/>
        <v>0</v>
      </c>
      <c r="D253" s="70"/>
      <c r="E253" s="59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  <c r="AA253" s="70"/>
      <c r="AB253" s="70"/>
      <c r="AC253" s="70"/>
      <c r="AD253" s="70"/>
      <c r="AE253" s="70"/>
      <c r="AF253" s="70"/>
      <c r="AG253" s="70"/>
      <c r="AH253" s="70"/>
      <c r="AI253" s="70"/>
      <c r="AJ253" s="70"/>
      <c r="AK253" s="70"/>
      <c r="AL253" s="70"/>
      <c r="AM253" s="70"/>
      <c r="AN253" s="70"/>
      <c r="AO253" s="70"/>
      <c r="AP253" s="70"/>
      <c r="AQ253" s="70"/>
      <c r="AR253" s="70"/>
      <c r="AS253" s="70"/>
      <c r="AT253" s="70"/>
      <c r="AU253" s="70"/>
      <c r="AV253" s="70"/>
      <c r="AW253" s="70"/>
      <c r="AX253" s="70"/>
      <c r="AY253" s="70"/>
      <c r="AZ253" s="70"/>
      <c r="BA253" s="70"/>
      <c r="BB253" s="70"/>
      <c r="BC253" s="70"/>
      <c r="BD253" s="70"/>
      <c r="BE253" s="70"/>
      <c r="BF253" s="70"/>
      <c r="BG253" s="70"/>
      <c r="BH253" s="70"/>
      <c r="BI253" s="70"/>
      <c r="BJ253" s="70"/>
      <c r="BK253" s="70"/>
      <c r="BL253" s="70"/>
    </row>
    <row r="254" spans="1:68" x14ac:dyDescent="0.4">
      <c r="A254" s="69">
        <v>5</v>
      </c>
      <c r="B254" s="63" t="s">
        <v>1092</v>
      </c>
      <c r="C254" s="83">
        <f t="shared" si="4"/>
        <v>0</v>
      </c>
      <c r="D254" s="70"/>
      <c r="E254" s="59"/>
      <c r="F254" s="70"/>
      <c r="G254" s="70"/>
      <c r="H254" s="70"/>
      <c r="I254" s="70"/>
      <c r="J254" s="70"/>
      <c r="K254" s="70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  <c r="AE254" s="70"/>
      <c r="AF254" s="70"/>
      <c r="AG254" s="70"/>
      <c r="AH254" s="70"/>
      <c r="AI254" s="70"/>
      <c r="AJ254" s="70"/>
      <c r="AK254" s="70"/>
      <c r="AL254" s="70"/>
      <c r="AM254" s="70"/>
      <c r="AN254" s="70"/>
      <c r="AO254" s="70"/>
      <c r="AP254" s="70"/>
      <c r="AQ254" s="70"/>
      <c r="AR254" s="70"/>
      <c r="AS254" s="70"/>
      <c r="AT254" s="70"/>
      <c r="AU254" s="70"/>
      <c r="AV254" s="70"/>
      <c r="AW254" s="70"/>
      <c r="AX254" s="70"/>
      <c r="AY254" s="70"/>
      <c r="AZ254" s="70"/>
      <c r="BA254" s="70"/>
      <c r="BB254" s="70"/>
      <c r="BC254" s="70"/>
      <c r="BD254" s="70"/>
      <c r="BE254" s="70"/>
      <c r="BF254" s="70"/>
      <c r="BG254" s="70"/>
      <c r="BH254" s="70"/>
      <c r="BI254" s="70"/>
      <c r="BJ254" s="70"/>
      <c r="BK254" s="70"/>
      <c r="BL254" s="70"/>
    </row>
    <row r="255" spans="1:68" x14ac:dyDescent="0.4">
      <c r="A255" s="69">
        <v>6</v>
      </c>
      <c r="B255" s="63" t="s">
        <v>1095</v>
      </c>
      <c r="C255" s="83">
        <f t="shared" si="4"/>
        <v>0</v>
      </c>
      <c r="D255" s="70"/>
      <c r="E255" s="59"/>
      <c r="F255" s="70"/>
      <c r="G255" s="70"/>
      <c r="H255" s="70"/>
      <c r="I255" s="70"/>
      <c r="J255" s="70"/>
      <c r="K255" s="70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  <c r="AE255" s="70"/>
      <c r="AF255" s="70"/>
      <c r="AG255" s="70"/>
      <c r="AH255" s="70"/>
      <c r="AI255" s="70"/>
      <c r="AJ255" s="70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70"/>
      <c r="AV255" s="70"/>
      <c r="AW255" s="70"/>
      <c r="AX255" s="70"/>
      <c r="AY255" s="70"/>
      <c r="AZ255" s="70"/>
      <c r="BA255" s="70"/>
      <c r="BB255" s="70"/>
      <c r="BC255" s="70"/>
      <c r="BD255" s="70"/>
      <c r="BE255" s="70"/>
      <c r="BF255" s="70"/>
      <c r="BG255" s="70"/>
      <c r="BH255" s="70"/>
      <c r="BI255" s="70"/>
      <c r="BJ255" s="70"/>
      <c r="BK255" s="70"/>
      <c r="BL255" s="70"/>
    </row>
    <row r="256" spans="1:68" x14ac:dyDescent="0.4">
      <c r="A256" s="69">
        <v>7</v>
      </c>
      <c r="B256" s="63" t="s">
        <v>1096</v>
      </c>
      <c r="C256" s="83">
        <f t="shared" si="4"/>
        <v>0</v>
      </c>
      <c r="D256" s="70"/>
      <c r="E256" s="59"/>
      <c r="F256" s="70"/>
      <c r="G256" s="70"/>
      <c r="H256" s="70"/>
      <c r="I256" s="70"/>
      <c r="J256" s="70"/>
      <c r="K256" s="70"/>
      <c r="L256" s="70"/>
      <c r="M256" s="70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  <c r="AE256" s="70"/>
      <c r="AF256" s="70"/>
      <c r="AG256" s="70"/>
      <c r="AH256" s="70"/>
      <c r="AI256" s="70"/>
      <c r="AJ256" s="70"/>
      <c r="AK256" s="70"/>
      <c r="AL256" s="70"/>
      <c r="AM256" s="70"/>
      <c r="AN256" s="70"/>
      <c r="AO256" s="70"/>
      <c r="AP256" s="70"/>
      <c r="AQ256" s="70"/>
      <c r="AR256" s="70"/>
      <c r="AS256" s="70"/>
      <c r="AT256" s="70"/>
      <c r="AU256" s="70"/>
      <c r="AV256" s="70"/>
      <c r="AW256" s="70"/>
      <c r="AX256" s="70"/>
      <c r="AY256" s="70"/>
      <c r="AZ256" s="70"/>
      <c r="BA256" s="70"/>
      <c r="BB256" s="70"/>
      <c r="BC256" s="70"/>
      <c r="BD256" s="70"/>
      <c r="BE256" s="70"/>
      <c r="BF256" s="70"/>
      <c r="BG256" s="70"/>
      <c r="BH256" s="70"/>
      <c r="BI256" s="70"/>
      <c r="BJ256" s="70"/>
      <c r="BK256" s="70"/>
      <c r="BL256" s="70"/>
    </row>
    <row r="257" spans="1:64" x14ac:dyDescent="0.4">
      <c r="A257" s="69">
        <v>8</v>
      </c>
      <c r="B257" s="63" t="s">
        <v>1097</v>
      </c>
      <c r="C257" s="83">
        <f t="shared" si="4"/>
        <v>0</v>
      </c>
      <c r="D257" s="70"/>
      <c r="E257" s="59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70"/>
      <c r="AV257" s="70"/>
      <c r="AW257" s="70"/>
      <c r="AX257" s="70"/>
      <c r="AY257" s="70"/>
      <c r="AZ257" s="70"/>
      <c r="BA257" s="70"/>
      <c r="BB257" s="70"/>
      <c r="BC257" s="70"/>
      <c r="BD257" s="70"/>
      <c r="BE257" s="70"/>
      <c r="BF257" s="70"/>
      <c r="BG257" s="70"/>
      <c r="BH257" s="70"/>
      <c r="BI257" s="70"/>
      <c r="BJ257" s="70"/>
      <c r="BK257" s="70"/>
      <c r="BL257" s="70"/>
    </row>
    <row r="258" spans="1:64" x14ac:dyDescent="0.4">
      <c r="A258" s="69">
        <v>9</v>
      </c>
      <c r="B258" s="63" t="s">
        <v>1098</v>
      </c>
      <c r="C258" s="83">
        <f t="shared" si="4"/>
        <v>0</v>
      </c>
      <c r="D258" s="70"/>
      <c r="E258" s="59"/>
      <c r="F258" s="70"/>
      <c r="G258" s="70"/>
      <c r="H258" s="70"/>
      <c r="I258" s="70"/>
      <c r="J258" s="70"/>
      <c r="K258" s="70"/>
      <c r="L258" s="70"/>
      <c r="M258" s="70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/>
      <c r="Y258" s="70"/>
      <c r="Z258" s="70"/>
      <c r="AA258" s="70"/>
      <c r="AB258" s="70"/>
      <c r="AC258" s="70"/>
      <c r="AD258" s="70"/>
      <c r="AE258" s="70"/>
      <c r="AF258" s="70"/>
      <c r="AG258" s="70"/>
      <c r="AH258" s="70"/>
      <c r="AI258" s="70"/>
      <c r="AJ258" s="70"/>
      <c r="AK258" s="70"/>
      <c r="AL258" s="70"/>
      <c r="AM258" s="70"/>
      <c r="AN258" s="70"/>
      <c r="AO258" s="70"/>
      <c r="AP258" s="70"/>
      <c r="AQ258" s="70"/>
      <c r="AR258" s="70"/>
      <c r="AS258" s="70"/>
      <c r="AT258" s="70"/>
      <c r="AU258" s="70"/>
      <c r="AV258" s="70"/>
      <c r="AW258" s="70"/>
      <c r="AX258" s="70"/>
      <c r="AY258" s="70"/>
      <c r="AZ258" s="70"/>
      <c r="BA258" s="70"/>
      <c r="BB258" s="70"/>
      <c r="BC258" s="70"/>
      <c r="BD258" s="70"/>
      <c r="BE258" s="70"/>
      <c r="BF258" s="70"/>
      <c r="BG258" s="70"/>
      <c r="BH258" s="70"/>
      <c r="BI258" s="70"/>
      <c r="BJ258" s="70"/>
      <c r="BK258" s="70"/>
      <c r="BL258" s="70"/>
    </row>
    <row r="259" spans="1:64" x14ac:dyDescent="0.4">
      <c r="A259" s="69">
        <v>10</v>
      </c>
      <c r="B259" s="63" t="s">
        <v>1093</v>
      </c>
      <c r="C259" s="83">
        <f t="shared" si="4"/>
        <v>0</v>
      </c>
      <c r="D259" s="70"/>
      <c r="E259" s="59"/>
      <c r="F259" s="70"/>
      <c r="G259" s="70"/>
      <c r="H259" s="70"/>
      <c r="I259" s="70"/>
      <c r="J259" s="70"/>
      <c r="K259" s="70"/>
      <c r="L259" s="70"/>
      <c r="M259" s="70"/>
      <c r="N259" s="70"/>
      <c r="O259" s="70"/>
      <c r="P259" s="70"/>
      <c r="Q259" s="70"/>
      <c r="R259" s="70"/>
      <c r="S259" s="70"/>
      <c r="T259" s="70"/>
      <c r="U259" s="70"/>
      <c r="V259" s="70"/>
      <c r="W259" s="70"/>
      <c r="X259" s="70"/>
      <c r="Y259" s="70"/>
      <c r="Z259" s="70"/>
      <c r="AA259" s="70"/>
      <c r="AB259" s="70"/>
      <c r="AC259" s="70"/>
      <c r="AD259" s="70"/>
      <c r="AE259" s="70"/>
      <c r="AF259" s="70"/>
      <c r="AG259" s="70"/>
      <c r="AH259" s="70"/>
      <c r="AI259" s="70"/>
      <c r="AJ259" s="70"/>
      <c r="AK259" s="70"/>
      <c r="AL259" s="70"/>
      <c r="AM259" s="70"/>
      <c r="AN259" s="70"/>
      <c r="AO259" s="70"/>
      <c r="AP259" s="70"/>
      <c r="AQ259" s="70"/>
      <c r="AR259" s="70"/>
      <c r="AS259" s="70"/>
      <c r="AT259" s="70"/>
      <c r="AU259" s="70"/>
      <c r="AV259" s="70"/>
      <c r="AW259" s="70"/>
      <c r="AX259" s="70"/>
      <c r="AY259" s="70"/>
      <c r="AZ259" s="70"/>
      <c r="BA259" s="70"/>
      <c r="BB259" s="70"/>
      <c r="BC259" s="70"/>
      <c r="BD259" s="70"/>
      <c r="BE259" s="70"/>
      <c r="BF259" s="70"/>
      <c r="BG259" s="70"/>
      <c r="BH259" s="70"/>
      <c r="BI259" s="70"/>
      <c r="BJ259" s="70"/>
      <c r="BK259" s="70"/>
      <c r="BL259" s="70"/>
    </row>
    <row r="260" spans="1:64" ht="18" thickBot="1" x14ac:dyDescent="0.45">
      <c r="A260" s="69">
        <v>11</v>
      </c>
      <c r="B260" s="64" t="s">
        <v>1094</v>
      </c>
      <c r="C260" s="84">
        <f t="shared" si="4"/>
        <v>0</v>
      </c>
      <c r="D260" s="70"/>
      <c r="E260" s="59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  <c r="AE260" s="70"/>
      <c r="AF260" s="70"/>
      <c r="AG260" s="70"/>
      <c r="AH260" s="70"/>
      <c r="AI260" s="70"/>
      <c r="AJ260" s="70"/>
      <c r="AK260" s="70"/>
      <c r="AL260" s="70"/>
      <c r="AM260" s="70"/>
      <c r="AN260" s="70"/>
      <c r="AO260" s="70"/>
      <c r="AP260" s="70"/>
      <c r="AQ260" s="70"/>
      <c r="AR260" s="70"/>
      <c r="AS260" s="70"/>
      <c r="AT260" s="70"/>
      <c r="AU260" s="70"/>
      <c r="AV260" s="70"/>
      <c r="AW260" s="70"/>
      <c r="AX260" s="70"/>
      <c r="AY260" s="70"/>
      <c r="AZ260" s="70"/>
      <c r="BA260" s="70"/>
      <c r="BB260" s="70"/>
      <c r="BC260" s="70"/>
      <c r="BD260" s="70"/>
      <c r="BE260" s="70"/>
      <c r="BF260" s="70"/>
      <c r="BG260" s="70"/>
      <c r="BH260" s="70"/>
      <c r="BI260" s="70"/>
      <c r="BJ260" s="70"/>
      <c r="BK260" s="70"/>
      <c r="BL260" s="70"/>
    </row>
    <row r="261" spans="1:64" x14ac:dyDescent="0.4">
      <c r="A261" s="69"/>
      <c r="B261" s="5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  <c r="AM261" s="70"/>
      <c r="AN261" s="70"/>
      <c r="AO261" s="70"/>
      <c r="AP261" s="70"/>
      <c r="AQ261" s="70"/>
      <c r="AR261" s="70"/>
      <c r="AS261" s="70"/>
      <c r="AT261" s="70"/>
      <c r="AU261" s="70"/>
      <c r="AV261" s="70"/>
      <c r="AW261" s="70"/>
      <c r="AX261" s="70"/>
      <c r="AY261" s="70"/>
      <c r="AZ261" s="70"/>
      <c r="BA261" s="70"/>
      <c r="BB261" s="70"/>
      <c r="BC261" s="70"/>
      <c r="BD261" s="70"/>
      <c r="BE261" s="70"/>
      <c r="BF261" s="70"/>
      <c r="BG261" s="70"/>
      <c r="BH261" s="70"/>
      <c r="BI261" s="70"/>
      <c r="BJ261" s="70"/>
      <c r="BK261" s="70"/>
      <c r="BL261" s="70"/>
    </row>
    <row r="262" spans="1:64" ht="18" thickBot="1" x14ac:dyDescent="0.45">
      <c r="A262" s="69"/>
      <c r="B262" s="5" t="s">
        <v>1101</v>
      </c>
      <c r="D262" s="70"/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  <c r="AA262" s="70"/>
      <c r="AB262" s="70"/>
      <c r="AC262" s="70"/>
      <c r="AD262" s="70"/>
      <c r="AE262" s="70"/>
      <c r="AF262" s="70"/>
      <c r="AG262" s="70"/>
      <c r="AH262" s="70"/>
      <c r="AI262" s="70"/>
      <c r="AJ262" s="70"/>
      <c r="AK262" s="70"/>
      <c r="AL262" s="70"/>
      <c r="AM262" s="70"/>
      <c r="AN262" s="70"/>
      <c r="AO262" s="70"/>
      <c r="AP262" s="70"/>
      <c r="AQ262" s="70"/>
      <c r="AR262" s="70"/>
      <c r="AS262" s="70"/>
      <c r="AT262" s="70"/>
      <c r="AU262" s="70"/>
      <c r="AV262" s="70"/>
      <c r="AW262" s="70"/>
      <c r="AX262" s="70"/>
      <c r="AY262" s="70"/>
      <c r="AZ262" s="70"/>
      <c r="BA262" s="70"/>
      <c r="BB262" s="70"/>
      <c r="BC262" s="70"/>
      <c r="BD262" s="70"/>
      <c r="BE262" s="70"/>
      <c r="BF262" s="70"/>
      <c r="BG262" s="70"/>
      <c r="BH262" s="70"/>
      <c r="BI262" s="70"/>
      <c r="BJ262" s="70"/>
      <c r="BK262" s="70"/>
      <c r="BL262" s="70"/>
    </row>
    <row r="263" spans="1:64" x14ac:dyDescent="0.4">
      <c r="A263" s="69">
        <v>1</v>
      </c>
      <c r="B263" s="62" t="s">
        <v>677</v>
      </c>
      <c r="C263" s="82">
        <f t="shared" ref="C263:C271" si="5">COUNTA(D263:XFD263)</f>
        <v>0</v>
      </c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  <c r="AM263" s="70"/>
      <c r="AN263" s="70"/>
      <c r="AO263" s="70"/>
      <c r="AP263" s="70"/>
      <c r="AQ263" s="70"/>
      <c r="AR263" s="70"/>
      <c r="AS263" s="70"/>
      <c r="AT263" s="70"/>
      <c r="AU263" s="70"/>
      <c r="AV263" s="70"/>
      <c r="AW263" s="70"/>
      <c r="AX263" s="70"/>
      <c r="AY263" s="70"/>
      <c r="AZ263" s="70"/>
      <c r="BA263" s="70"/>
      <c r="BB263" s="70"/>
      <c r="BC263" s="70"/>
      <c r="BD263" s="70"/>
      <c r="BE263" s="70"/>
      <c r="BF263" s="70"/>
      <c r="BG263" s="70"/>
      <c r="BH263" s="70"/>
      <c r="BI263" s="70"/>
      <c r="BJ263" s="70"/>
      <c r="BK263" s="70"/>
      <c r="BL263" s="70"/>
    </row>
    <row r="264" spans="1:64" x14ac:dyDescent="0.4">
      <c r="A264" s="69">
        <v>2</v>
      </c>
      <c r="B264" s="63" t="s">
        <v>678</v>
      </c>
      <c r="C264" s="83">
        <f t="shared" si="5"/>
        <v>0</v>
      </c>
      <c r="D264" s="70"/>
      <c r="E264" s="70"/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  <c r="AE264" s="70"/>
      <c r="AF264" s="70"/>
      <c r="AG264" s="70"/>
      <c r="AH264" s="70"/>
      <c r="AI264" s="70"/>
      <c r="AJ264" s="70"/>
      <c r="AK264" s="70"/>
      <c r="AL264" s="70"/>
      <c r="AM264" s="70"/>
      <c r="AN264" s="70"/>
      <c r="AO264" s="70"/>
      <c r="AP264" s="70"/>
      <c r="AQ264" s="70"/>
      <c r="AR264" s="70"/>
      <c r="AS264" s="70"/>
      <c r="AT264" s="70"/>
      <c r="AU264" s="70"/>
      <c r="AV264" s="70"/>
      <c r="AW264" s="70"/>
      <c r="AX264" s="70"/>
      <c r="AY264" s="70"/>
      <c r="AZ264" s="70"/>
      <c r="BA264" s="70"/>
      <c r="BB264" s="70"/>
      <c r="BC264" s="70"/>
      <c r="BD264" s="70"/>
      <c r="BE264" s="70"/>
      <c r="BF264" s="70"/>
      <c r="BG264" s="70"/>
      <c r="BH264" s="70"/>
      <c r="BI264" s="70"/>
      <c r="BJ264" s="70"/>
      <c r="BK264" s="70"/>
      <c r="BL264" s="70"/>
    </row>
    <row r="265" spans="1:64" x14ac:dyDescent="0.4">
      <c r="A265" s="69">
        <v>3</v>
      </c>
      <c r="B265" s="63" t="s">
        <v>679</v>
      </c>
      <c r="C265" s="83">
        <f t="shared" si="5"/>
        <v>0</v>
      </c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  <c r="AM265" s="70"/>
      <c r="AN265" s="70"/>
      <c r="AO265" s="70"/>
      <c r="AP265" s="70"/>
      <c r="AQ265" s="70"/>
      <c r="AR265" s="70"/>
      <c r="AS265" s="70"/>
      <c r="AT265" s="70"/>
      <c r="AU265" s="70"/>
      <c r="AV265" s="70"/>
      <c r="AW265" s="70"/>
      <c r="AX265" s="70"/>
      <c r="AY265" s="70"/>
      <c r="AZ265" s="70"/>
      <c r="BA265" s="70"/>
      <c r="BB265" s="70"/>
      <c r="BC265" s="70"/>
      <c r="BD265" s="70"/>
      <c r="BE265" s="70"/>
      <c r="BF265" s="70"/>
      <c r="BG265" s="70"/>
      <c r="BH265" s="70"/>
      <c r="BI265" s="70"/>
      <c r="BJ265" s="70"/>
      <c r="BK265" s="70"/>
      <c r="BL265" s="70"/>
    </row>
    <row r="266" spans="1:64" x14ac:dyDescent="0.4">
      <c r="A266" s="69">
        <v>4</v>
      </c>
      <c r="B266" s="63" t="s">
        <v>680</v>
      </c>
      <c r="C266" s="83">
        <f t="shared" si="5"/>
        <v>0</v>
      </c>
      <c r="D266" s="70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70"/>
      <c r="AC266" s="70"/>
      <c r="AD266" s="70"/>
      <c r="AE266" s="70"/>
      <c r="AF266" s="70"/>
      <c r="AG266" s="70"/>
      <c r="AH266" s="70"/>
      <c r="AI266" s="70"/>
      <c r="AJ266" s="70"/>
      <c r="AK266" s="70"/>
      <c r="AL266" s="70"/>
      <c r="AM266" s="70"/>
      <c r="AN266" s="70"/>
      <c r="AO266" s="70"/>
      <c r="AP266" s="70"/>
      <c r="AQ266" s="70"/>
      <c r="AR266" s="70"/>
      <c r="AS266" s="70"/>
      <c r="AT266" s="70"/>
      <c r="AU266" s="70"/>
      <c r="AV266" s="70"/>
      <c r="AW266" s="70"/>
      <c r="AX266" s="70"/>
      <c r="AY266" s="70"/>
      <c r="AZ266" s="70"/>
      <c r="BA266" s="70"/>
      <c r="BB266" s="70"/>
      <c r="BC266" s="70"/>
      <c r="BD266" s="70"/>
      <c r="BE266" s="70"/>
      <c r="BF266" s="70"/>
      <c r="BG266" s="70"/>
      <c r="BH266" s="70"/>
      <c r="BI266" s="70"/>
      <c r="BJ266" s="70"/>
      <c r="BK266" s="70"/>
      <c r="BL266" s="70"/>
    </row>
    <row r="267" spans="1:64" x14ac:dyDescent="0.4">
      <c r="A267" s="69">
        <v>5</v>
      </c>
      <c r="B267" s="63" t="s">
        <v>681</v>
      </c>
      <c r="C267" s="83">
        <f t="shared" si="5"/>
        <v>0</v>
      </c>
      <c r="D267" s="70"/>
      <c r="E267" s="70"/>
      <c r="F267" s="70"/>
      <c r="G267" s="70"/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/>
      <c r="Y267" s="70"/>
      <c r="Z267" s="70"/>
      <c r="AA267" s="70"/>
      <c r="AB267" s="70"/>
      <c r="AC267" s="70"/>
      <c r="AD267" s="70"/>
      <c r="AE267" s="70"/>
      <c r="AF267" s="70"/>
      <c r="AG267" s="70"/>
      <c r="AH267" s="70"/>
      <c r="AI267" s="70"/>
      <c r="AJ267" s="70"/>
      <c r="AK267" s="70"/>
      <c r="AL267" s="70"/>
      <c r="AM267" s="70"/>
      <c r="AN267" s="70"/>
      <c r="AO267" s="70"/>
      <c r="AP267" s="70"/>
      <c r="AQ267" s="70"/>
      <c r="AR267" s="70"/>
      <c r="AS267" s="70"/>
      <c r="AT267" s="70"/>
      <c r="AU267" s="70"/>
      <c r="AV267" s="70"/>
      <c r="AW267" s="70"/>
      <c r="AX267" s="70"/>
      <c r="AY267" s="70"/>
      <c r="AZ267" s="70"/>
      <c r="BA267" s="70"/>
      <c r="BB267" s="70"/>
      <c r="BC267" s="70"/>
      <c r="BD267" s="70"/>
      <c r="BE267" s="70"/>
      <c r="BF267" s="70"/>
      <c r="BG267" s="70"/>
      <c r="BH267" s="70"/>
      <c r="BI267" s="70"/>
      <c r="BJ267" s="70"/>
      <c r="BK267" s="70"/>
      <c r="BL267" s="70"/>
    </row>
    <row r="268" spans="1:64" x14ac:dyDescent="0.4">
      <c r="A268" s="69">
        <v>6</v>
      </c>
      <c r="B268" s="63" t="s">
        <v>682</v>
      </c>
      <c r="C268" s="83">
        <f t="shared" si="5"/>
        <v>0</v>
      </c>
      <c r="D268" s="70"/>
      <c r="E268" s="70"/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  <c r="AA268" s="70"/>
      <c r="AB268" s="70"/>
      <c r="AC268" s="70"/>
      <c r="AD268" s="70"/>
      <c r="AE268" s="70"/>
      <c r="AF268" s="70"/>
      <c r="AG268" s="70"/>
      <c r="AH268" s="70"/>
      <c r="AI268" s="70"/>
      <c r="AJ268" s="70"/>
      <c r="AK268" s="70"/>
      <c r="AL268" s="70"/>
      <c r="AM268" s="70"/>
      <c r="AN268" s="70"/>
      <c r="AO268" s="70"/>
      <c r="AP268" s="70"/>
      <c r="AQ268" s="70"/>
      <c r="AR268" s="70"/>
      <c r="AS268" s="70"/>
      <c r="AT268" s="70"/>
      <c r="AU268" s="70"/>
      <c r="AV268" s="70"/>
      <c r="AW268" s="70"/>
      <c r="AX268" s="70"/>
      <c r="AY268" s="70"/>
      <c r="AZ268" s="70"/>
      <c r="BA268" s="70"/>
      <c r="BB268" s="70"/>
      <c r="BC268" s="70"/>
      <c r="BD268" s="70"/>
      <c r="BE268" s="70"/>
      <c r="BF268" s="70"/>
      <c r="BG268" s="70"/>
      <c r="BH268" s="70"/>
      <c r="BI268" s="70"/>
      <c r="BJ268" s="70"/>
      <c r="BK268" s="70"/>
      <c r="BL268" s="70"/>
    </row>
    <row r="269" spans="1:64" x14ac:dyDescent="0.4">
      <c r="A269" s="69">
        <v>7</v>
      </c>
      <c r="B269" s="63" t="s">
        <v>683</v>
      </c>
      <c r="C269" s="83">
        <f t="shared" si="5"/>
        <v>0</v>
      </c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  <c r="AM269" s="70"/>
      <c r="AN269" s="70"/>
      <c r="AO269" s="70"/>
      <c r="AP269" s="70"/>
      <c r="AQ269" s="70"/>
      <c r="AR269" s="70"/>
      <c r="AS269" s="70"/>
      <c r="AT269" s="70"/>
      <c r="AU269" s="70"/>
      <c r="AV269" s="70"/>
      <c r="AW269" s="70"/>
      <c r="AX269" s="70"/>
      <c r="AY269" s="70"/>
      <c r="AZ269" s="70"/>
      <c r="BA269" s="70"/>
      <c r="BB269" s="70"/>
      <c r="BC269" s="70"/>
      <c r="BD269" s="70"/>
      <c r="BE269" s="70"/>
      <c r="BF269" s="70"/>
      <c r="BG269" s="70"/>
      <c r="BH269" s="70"/>
      <c r="BI269" s="70"/>
      <c r="BJ269" s="70"/>
      <c r="BK269" s="70"/>
      <c r="BL269" s="70"/>
    </row>
    <row r="270" spans="1:64" x14ac:dyDescent="0.4">
      <c r="A270" s="69">
        <v>8</v>
      </c>
      <c r="B270" s="63" t="s">
        <v>684</v>
      </c>
      <c r="C270" s="83">
        <f t="shared" si="5"/>
        <v>0</v>
      </c>
      <c r="D270" s="70"/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/>
      <c r="W270" s="70"/>
      <c r="X270" s="70"/>
      <c r="Y270" s="70"/>
      <c r="Z270" s="70"/>
      <c r="AA270" s="70"/>
      <c r="AB270" s="70"/>
      <c r="AC270" s="70"/>
      <c r="AD270" s="70"/>
      <c r="AE270" s="70"/>
      <c r="AF270" s="70"/>
      <c r="AG270" s="70"/>
      <c r="AH270" s="70"/>
      <c r="AI270" s="70"/>
      <c r="AJ270" s="70"/>
      <c r="AK270" s="70"/>
      <c r="AL270" s="70"/>
      <c r="AM270" s="70"/>
      <c r="AN270" s="70"/>
      <c r="AO270" s="70"/>
      <c r="AP270" s="70"/>
      <c r="AQ270" s="70"/>
      <c r="AR270" s="70"/>
      <c r="AS270" s="70"/>
      <c r="AT270" s="70"/>
      <c r="AU270" s="70"/>
      <c r="AV270" s="70"/>
      <c r="AW270" s="70"/>
      <c r="AX270" s="70"/>
      <c r="AY270" s="70"/>
      <c r="AZ270" s="70"/>
      <c r="BA270" s="70"/>
      <c r="BB270" s="70"/>
      <c r="BC270" s="70"/>
      <c r="BD270" s="70"/>
      <c r="BE270" s="70"/>
      <c r="BF270" s="70"/>
      <c r="BG270" s="70"/>
      <c r="BH270" s="70"/>
      <c r="BI270" s="70"/>
      <c r="BJ270" s="70"/>
      <c r="BK270" s="70"/>
      <c r="BL270" s="70"/>
    </row>
    <row r="271" spans="1:64" ht="18" thickBot="1" x14ac:dyDescent="0.45">
      <c r="A271" s="69">
        <v>9</v>
      </c>
      <c r="B271" s="64" t="s">
        <v>685</v>
      </c>
      <c r="C271" s="84">
        <f t="shared" si="5"/>
        <v>0</v>
      </c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0"/>
      <c r="AN271" s="70"/>
      <c r="AO271" s="70"/>
      <c r="AP271" s="70"/>
      <c r="AQ271" s="70"/>
      <c r="AR271" s="70"/>
      <c r="AS271" s="70"/>
      <c r="AT271" s="70"/>
      <c r="AU271" s="70"/>
      <c r="AV271" s="70"/>
      <c r="AW271" s="70"/>
      <c r="AX271" s="70"/>
      <c r="AY271" s="70"/>
      <c r="AZ271" s="70"/>
      <c r="BA271" s="70"/>
      <c r="BB271" s="70"/>
      <c r="BC271" s="70"/>
      <c r="BD271" s="70"/>
      <c r="BE271" s="70"/>
      <c r="BF271" s="70"/>
      <c r="BG271" s="70"/>
      <c r="BH271" s="70"/>
      <c r="BI271" s="70"/>
      <c r="BJ271" s="70"/>
      <c r="BK271" s="70"/>
      <c r="BL271" s="70"/>
    </row>
    <row r="272" spans="1:64" x14ac:dyDescent="0.4">
      <c r="A272" s="69"/>
      <c r="B272" s="70"/>
      <c r="D272" s="70"/>
      <c r="E272" s="70"/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0"/>
      <c r="AN272" s="70"/>
      <c r="AO272" s="70"/>
      <c r="AP272" s="70"/>
      <c r="AQ272" s="70"/>
      <c r="AR272" s="70"/>
      <c r="AS272" s="70"/>
      <c r="AT272" s="70"/>
      <c r="AU272" s="70"/>
      <c r="AV272" s="70"/>
      <c r="AW272" s="70"/>
      <c r="AX272" s="70"/>
      <c r="AY272" s="70"/>
      <c r="AZ272" s="70"/>
      <c r="BA272" s="70"/>
      <c r="BB272" s="70"/>
      <c r="BC272" s="70"/>
      <c r="BD272" s="70"/>
      <c r="BE272" s="70"/>
      <c r="BF272" s="70"/>
      <c r="BG272" s="70"/>
      <c r="BH272" s="70"/>
      <c r="BI272" s="70"/>
      <c r="BJ272" s="70"/>
      <c r="BK272" s="70"/>
      <c r="BL272" s="70"/>
    </row>
    <row r="273" spans="1:64" x14ac:dyDescent="0.4">
      <c r="A273" s="69"/>
      <c r="B273" s="70"/>
      <c r="D273" s="70"/>
      <c r="E273" s="70"/>
      <c r="F273" s="70"/>
      <c r="G273" s="70"/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/>
      <c r="Y273" s="70"/>
      <c r="Z273" s="70"/>
      <c r="AA273" s="70"/>
      <c r="AB273" s="70"/>
      <c r="AC273" s="70"/>
      <c r="AD273" s="70"/>
      <c r="AE273" s="70"/>
      <c r="AF273" s="70"/>
      <c r="AG273" s="70"/>
      <c r="AH273" s="70"/>
      <c r="AI273" s="70"/>
      <c r="AJ273" s="70"/>
      <c r="AK273" s="70"/>
      <c r="AL273" s="70"/>
      <c r="AM273" s="70"/>
      <c r="AN273" s="70"/>
      <c r="AO273" s="70"/>
      <c r="AP273" s="70"/>
      <c r="AQ273" s="70"/>
      <c r="AR273" s="70"/>
      <c r="AS273" s="70"/>
      <c r="AT273" s="70"/>
      <c r="AU273" s="70"/>
      <c r="AV273" s="70"/>
      <c r="AW273" s="70"/>
      <c r="AX273" s="70"/>
      <c r="AY273" s="70"/>
      <c r="AZ273" s="70"/>
      <c r="BA273" s="70"/>
      <c r="BB273" s="70"/>
      <c r="BC273" s="70"/>
      <c r="BD273" s="70"/>
      <c r="BE273" s="70"/>
      <c r="BF273" s="70"/>
      <c r="BG273" s="70"/>
      <c r="BH273" s="70"/>
      <c r="BI273" s="70"/>
      <c r="BJ273" s="70"/>
      <c r="BK273" s="70"/>
      <c r="BL273" s="70"/>
    </row>
    <row r="274" spans="1:64" x14ac:dyDescent="0.4">
      <c r="A274" s="69"/>
      <c r="B274" s="70"/>
      <c r="D274" s="70"/>
      <c r="E274" s="70"/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70"/>
      <c r="AC274" s="70"/>
      <c r="AD274" s="70"/>
      <c r="AE274" s="70"/>
      <c r="AF274" s="70"/>
      <c r="AG274" s="70"/>
      <c r="AH274" s="70"/>
      <c r="AI274" s="70"/>
      <c r="AJ274" s="70"/>
      <c r="AK274" s="70"/>
      <c r="AL274" s="70"/>
      <c r="AM274" s="70"/>
      <c r="AN274" s="70"/>
      <c r="AO274" s="70"/>
      <c r="AP274" s="70"/>
      <c r="AQ274" s="70"/>
      <c r="AR274" s="70"/>
      <c r="AS274" s="70"/>
      <c r="AT274" s="70"/>
      <c r="AU274" s="70"/>
      <c r="AV274" s="70"/>
      <c r="AW274" s="70"/>
      <c r="AX274" s="70"/>
      <c r="AY274" s="70"/>
      <c r="AZ274" s="70"/>
      <c r="BA274" s="70"/>
      <c r="BB274" s="70"/>
      <c r="BC274" s="70"/>
      <c r="BD274" s="70"/>
      <c r="BE274" s="70"/>
      <c r="BF274" s="70"/>
      <c r="BG274" s="70"/>
      <c r="BH274" s="70"/>
      <c r="BI274" s="70"/>
      <c r="BJ274" s="70"/>
      <c r="BK274" s="70"/>
      <c r="BL274" s="70"/>
    </row>
    <row r="275" spans="1:64" x14ac:dyDescent="0.4">
      <c r="A275" s="69"/>
      <c r="B275" s="70"/>
      <c r="D275" s="70"/>
      <c r="E275" s="70"/>
      <c r="F275" s="70"/>
      <c r="G275" s="70"/>
      <c r="H275" s="70"/>
      <c r="I275" s="70"/>
      <c r="J275" s="70"/>
      <c r="K275" s="70"/>
      <c r="L275" s="70"/>
      <c r="M275" s="70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  <c r="AA275" s="70"/>
      <c r="AB275" s="70"/>
      <c r="AC275" s="70"/>
      <c r="AD275" s="70"/>
      <c r="AE275" s="70"/>
      <c r="AF275" s="70"/>
      <c r="AG275" s="70"/>
      <c r="AH275" s="70"/>
      <c r="AI275" s="70"/>
      <c r="AJ275" s="70"/>
      <c r="AK275" s="70"/>
      <c r="AL275" s="70"/>
      <c r="AM275" s="70"/>
      <c r="AN275" s="70"/>
      <c r="AO275" s="70"/>
      <c r="AP275" s="70"/>
      <c r="AQ275" s="70"/>
      <c r="AR275" s="70"/>
      <c r="AS275" s="70"/>
      <c r="AT275" s="70"/>
      <c r="AU275" s="70"/>
      <c r="AV275" s="70"/>
      <c r="AW275" s="70"/>
      <c r="AX275" s="70"/>
      <c r="AY275" s="70"/>
      <c r="AZ275" s="70"/>
      <c r="BA275" s="70"/>
      <c r="BB275" s="70"/>
      <c r="BC275" s="70"/>
      <c r="BD275" s="70"/>
      <c r="BE275" s="70"/>
      <c r="BF275" s="70"/>
      <c r="BG275" s="70"/>
      <c r="BH275" s="70"/>
      <c r="BI275" s="70"/>
      <c r="BJ275" s="70"/>
      <c r="BK275" s="70"/>
      <c r="BL275" s="70"/>
    </row>
    <row r="276" spans="1:64" x14ac:dyDescent="0.4">
      <c r="A276" s="69"/>
      <c r="B276" s="70"/>
      <c r="D276" s="70"/>
      <c r="E276" s="70"/>
      <c r="F276" s="70"/>
      <c r="G276" s="70"/>
      <c r="H276" s="70"/>
      <c r="I276" s="70"/>
      <c r="J276" s="70"/>
      <c r="K276" s="70"/>
      <c r="L276" s="70"/>
      <c r="M276" s="70"/>
      <c r="N276" s="70"/>
      <c r="O276" s="70"/>
      <c r="P276" s="70"/>
      <c r="Q276" s="70"/>
      <c r="R276" s="70"/>
      <c r="S276" s="70"/>
      <c r="T276" s="70"/>
      <c r="U276" s="70"/>
      <c r="V276" s="70"/>
      <c r="W276" s="70"/>
      <c r="X276" s="70"/>
      <c r="Y276" s="70"/>
      <c r="Z276" s="70"/>
      <c r="AA276" s="70"/>
      <c r="AB276" s="70"/>
      <c r="AC276" s="70"/>
      <c r="AD276" s="70"/>
      <c r="AE276" s="70"/>
      <c r="AF276" s="70"/>
      <c r="AG276" s="70"/>
      <c r="AH276" s="70"/>
      <c r="AI276" s="70"/>
      <c r="AJ276" s="70"/>
      <c r="AK276" s="70"/>
      <c r="AL276" s="70"/>
      <c r="AM276" s="70"/>
      <c r="AN276" s="70"/>
      <c r="AO276" s="70"/>
      <c r="AP276" s="70"/>
      <c r="AQ276" s="70"/>
      <c r="AR276" s="70"/>
      <c r="AS276" s="70"/>
      <c r="AT276" s="70"/>
      <c r="AU276" s="70"/>
      <c r="AV276" s="70"/>
      <c r="AW276" s="70"/>
      <c r="AX276" s="70"/>
      <c r="AY276" s="70"/>
      <c r="AZ276" s="70"/>
      <c r="BA276" s="70"/>
      <c r="BB276" s="70"/>
      <c r="BC276" s="70"/>
      <c r="BD276" s="70"/>
      <c r="BE276" s="70"/>
      <c r="BF276" s="70"/>
      <c r="BG276" s="70"/>
      <c r="BH276" s="70"/>
      <c r="BI276" s="70"/>
      <c r="BJ276" s="70"/>
      <c r="BK276" s="70"/>
      <c r="BL276" s="70"/>
    </row>
    <row r="277" spans="1:64" x14ac:dyDescent="0.4">
      <c r="A277" s="69"/>
      <c r="B277" s="70"/>
      <c r="D277" s="70"/>
      <c r="E277" s="70"/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  <c r="AA277" s="70"/>
      <c r="AB277" s="70"/>
      <c r="AC277" s="70"/>
      <c r="AD277" s="70"/>
      <c r="AE277" s="70"/>
      <c r="AF277" s="70"/>
      <c r="AG277" s="70"/>
      <c r="AH277" s="70"/>
      <c r="AI277" s="70"/>
      <c r="AJ277" s="70"/>
      <c r="AK277" s="70"/>
      <c r="AL277" s="70"/>
      <c r="AM277" s="70"/>
      <c r="AN277" s="70"/>
      <c r="AO277" s="70"/>
      <c r="AP277" s="70"/>
      <c r="AQ277" s="70"/>
      <c r="AR277" s="70"/>
      <c r="AS277" s="70"/>
      <c r="AT277" s="70"/>
      <c r="AU277" s="70"/>
      <c r="AV277" s="70"/>
      <c r="AW277" s="70"/>
      <c r="AX277" s="70"/>
      <c r="AY277" s="70"/>
      <c r="AZ277" s="70"/>
      <c r="BA277" s="70"/>
      <c r="BB277" s="70"/>
      <c r="BC277" s="70"/>
      <c r="BD277" s="70"/>
      <c r="BE277" s="70"/>
      <c r="BF277" s="70"/>
      <c r="BG277" s="70"/>
      <c r="BH277" s="70"/>
      <c r="BI277" s="70"/>
      <c r="BJ277" s="70"/>
      <c r="BK277" s="70"/>
      <c r="BL277" s="70"/>
    </row>
    <row r="278" spans="1:64" x14ac:dyDescent="0.4">
      <c r="A278" s="69"/>
      <c r="B278" s="70"/>
      <c r="D278" s="70"/>
      <c r="E278" s="70"/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  <c r="AA278" s="70"/>
      <c r="AB278" s="70"/>
      <c r="AC278" s="70"/>
      <c r="AD278" s="70"/>
      <c r="AE278" s="70"/>
      <c r="AF278" s="70"/>
      <c r="AG278" s="70"/>
      <c r="AH278" s="70"/>
      <c r="AI278" s="70"/>
      <c r="AJ278" s="70"/>
      <c r="AK278" s="70"/>
      <c r="AL278" s="70"/>
      <c r="AM278" s="70"/>
      <c r="AN278" s="70"/>
      <c r="AO278" s="70"/>
      <c r="AP278" s="70"/>
      <c r="AQ278" s="70"/>
      <c r="AR278" s="70"/>
      <c r="AS278" s="70"/>
      <c r="AT278" s="70"/>
      <c r="AU278" s="70"/>
      <c r="AV278" s="70"/>
      <c r="AW278" s="70"/>
      <c r="AX278" s="70"/>
      <c r="AY278" s="70"/>
      <c r="AZ278" s="70"/>
      <c r="BA278" s="70"/>
      <c r="BB278" s="70"/>
      <c r="BC278" s="70"/>
      <c r="BD278" s="70"/>
      <c r="BE278" s="70"/>
      <c r="BF278" s="70"/>
      <c r="BG278" s="70"/>
      <c r="BH278" s="70"/>
      <c r="BI278" s="70"/>
      <c r="BJ278" s="70"/>
      <c r="BK278" s="70"/>
      <c r="BL278" s="70"/>
    </row>
    <row r="279" spans="1:64" x14ac:dyDescent="0.4">
      <c r="A279" s="69"/>
      <c r="B279" s="70"/>
      <c r="D279" s="70"/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  <c r="AA279" s="70"/>
      <c r="AB279" s="70"/>
      <c r="AC279" s="70"/>
      <c r="AD279" s="70"/>
      <c r="AE279" s="70"/>
      <c r="AF279" s="70"/>
      <c r="AG279" s="70"/>
      <c r="AH279" s="70"/>
      <c r="AI279" s="70"/>
      <c r="AJ279" s="70"/>
      <c r="AK279" s="70"/>
      <c r="AL279" s="70"/>
      <c r="AM279" s="70"/>
      <c r="AN279" s="70"/>
      <c r="AO279" s="70"/>
      <c r="AP279" s="70"/>
      <c r="AQ279" s="70"/>
      <c r="AR279" s="70"/>
      <c r="AS279" s="70"/>
      <c r="AT279" s="70"/>
      <c r="AU279" s="70"/>
      <c r="AV279" s="70"/>
      <c r="AW279" s="70"/>
      <c r="AX279" s="70"/>
      <c r="AY279" s="70"/>
      <c r="AZ279" s="70"/>
      <c r="BA279" s="70"/>
      <c r="BB279" s="70"/>
      <c r="BC279" s="70"/>
      <c r="BD279" s="70"/>
      <c r="BE279" s="70"/>
      <c r="BF279" s="70"/>
      <c r="BG279" s="70"/>
      <c r="BH279" s="70"/>
      <c r="BI279" s="70"/>
      <c r="BJ279" s="70"/>
      <c r="BK279" s="70"/>
      <c r="BL279" s="70"/>
    </row>
    <row r="280" spans="1:64" x14ac:dyDescent="0.4">
      <c r="A280" s="69"/>
      <c r="B280" s="70"/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  <c r="AA280" s="70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  <c r="AS280" s="70"/>
      <c r="AT280" s="70"/>
      <c r="AU280" s="70"/>
      <c r="AV280" s="70"/>
      <c r="AW280" s="70"/>
      <c r="AX280" s="70"/>
      <c r="AY280" s="70"/>
      <c r="AZ280" s="70"/>
      <c r="BA280" s="70"/>
      <c r="BB280" s="70"/>
      <c r="BC280" s="70"/>
      <c r="BD280" s="70"/>
      <c r="BE280" s="70"/>
      <c r="BF280" s="70"/>
      <c r="BG280" s="70"/>
      <c r="BH280" s="70"/>
      <c r="BI280" s="70"/>
      <c r="BJ280" s="70"/>
      <c r="BK280" s="70"/>
      <c r="BL280" s="70"/>
    </row>
    <row r="281" spans="1:64" x14ac:dyDescent="0.4">
      <c r="A281" s="69"/>
      <c r="B281" s="70"/>
      <c r="D281" s="70"/>
      <c r="E281" s="70"/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0"/>
      <c r="AE281" s="70"/>
      <c r="AF281" s="70"/>
      <c r="AG281" s="70"/>
      <c r="AH281" s="70"/>
      <c r="AI281" s="70"/>
      <c r="AJ281" s="70"/>
      <c r="AK281" s="70"/>
      <c r="AL281" s="70"/>
      <c r="AM281" s="70"/>
      <c r="AN281" s="70"/>
      <c r="AO281" s="70"/>
      <c r="AP281" s="70"/>
      <c r="AQ281" s="70"/>
      <c r="AR281" s="70"/>
      <c r="AS281" s="70"/>
      <c r="AT281" s="70"/>
      <c r="AU281" s="70"/>
      <c r="AV281" s="70"/>
      <c r="AW281" s="70"/>
      <c r="AX281" s="70"/>
      <c r="AY281" s="70"/>
      <c r="AZ281" s="70"/>
      <c r="BA281" s="70"/>
      <c r="BB281" s="70"/>
      <c r="BC281" s="70"/>
      <c r="BD281" s="70"/>
      <c r="BE281" s="70"/>
      <c r="BF281" s="70"/>
      <c r="BG281" s="70"/>
      <c r="BH281" s="70"/>
      <c r="BI281" s="70"/>
      <c r="BJ281" s="70"/>
      <c r="BK281" s="70"/>
      <c r="BL281" s="70"/>
    </row>
    <row r="282" spans="1:64" x14ac:dyDescent="0.4">
      <c r="A282" s="69"/>
      <c r="B282" s="70"/>
      <c r="D282" s="70"/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/>
      <c r="Y282" s="70"/>
      <c r="Z282" s="70"/>
      <c r="AA282" s="70"/>
      <c r="AB282" s="70"/>
      <c r="AC282" s="70"/>
      <c r="AD282" s="70"/>
      <c r="AE282" s="70"/>
      <c r="AF282" s="70"/>
      <c r="AG282" s="70"/>
      <c r="AH282" s="70"/>
      <c r="AI282" s="70"/>
      <c r="AJ282" s="70"/>
      <c r="AK282" s="70"/>
      <c r="AL282" s="70"/>
      <c r="AM282" s="70"/>
      <c r="AN282" s="70"/>
      <c r="AO282" s="70"/>
      <c r="AP282" s="70"/>
      <c r="AQ282" s="70"/>
      <c r="AR282" s="70"/>
      <c r="AS282" s="70"/>
      <c r="AT282" s="70"/>
      <c r="AU282" s="70"/>
      <c r="AV282" s="70"/>
      <c r="AW282" s="70"/>
      <c r="AX282" s="70"/>
      <c r="AY282" s="70"/>
      <c r="AZ282" s="70"/>
      <c r="BA282" s="70"/>
      <c r="BB282" s="70"/>
      <c r="BC282" s="70"/>
      <c r="BD282" s="70"/>
      <c r="BE282" s="70"/>
      <c r="BF282" s="70"/>
      <c r="BG282" s="70"/>
      <c r="BH282" s="70"/>
      <c r="BI282" s="70"/>
      <c r="BJ282" s="70"/>
      <c r="BK282" s="70"/>
      <c r="BL282" s="70"/>
    </row>
    <row r="283" spans="1:64" x14ac:dyDescent="0.4">
      <c r="A283" s="69"/>
      <c r="B283" s="70"/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70"/>
      <c r="AC283" s="70"/>
      <c r="AD283" s="70"/>
      <c r="AE283" s="70"/>
      <c r="AF283" s="70"/>
      <c r="AG283" s="70"/>
      <c r="AH283" s="70"/>
      <c r="AI283" s="70"/>
      <c r="AJ283" s="70"/>
      <c r="AK283" s="70"/>
      <c r="AL283" s="70"/>
      <c r="AM283" s="70"/>
      <c r="AN283" s="70"/>
      <c r="AO283" s="70"/>
      <c r="AP283" s="70"/>
      <c r="AQ283" s="70"/>
      <c r="AR283" s="70"/>
      <c r="AS283" s="70"/>
      <c r="AT283" s="70"/>
      <c r="AU283" s="70"/>
      <c r="AV283" s="70"/>
      <c r="AW283" s="70"/>
      <c r="AX283" s="70"/>
      <c r="AY283" s="70"/>
      <c r="AZ283" s="70"/>
      <c r="BA283" s="70"/>
      <c r="BB283" s="70"/>
      <c r="BC283" s="70"/>
      <c r="BD283" s="70"/>
      <c r="BE283" s="70"/>
      <c r="BF283" s="70"/>
      <c r="BG283" s="70"/>
      <c r="BH283" s="70"/>
      <c r="BI283" s="70"/>
      <c r="BJ283" s="70"/>
      <c r="BK283" s="70"/>
      <c r="BL283" s="70"/>
    </row>
    <row r="284" spans="1:64" x14ac:dyDescent="0.4">
      <c r="A284" s="69"/>
      <c r="B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  <c r="AM284" s="70"/>
      <c r="AN284" s="70"/>
      <c r="AO284" s="70"/>
      <c r="AP284" s="70"/>
      <c r="AQ284" s="70"/>
      <c r="AR284" s="70"/>
      <c r="AS284" s="70"/>
      <c r="AT284" s="70"/>
      <c r="AU284" s="70"/>
      <c r="AV284" s="70"/>
      <c r="AW284" s="70"/>
      <c r="AX284" s="70"/>
      <c r="AY284" s="70"/>
      <c r="AZ284" s="70"/>
      <c r="BA284" s="70"/>
      <c r="BB284" s="70"/>
      <c r="BC284" s="70"/>
      <c r="BD284" s="70"/>
      <c r="BE284" s="70"/>
      <c r="BF284" s="70"/>
      <c r="BG284" s="70"/>
      <c r="BH284" s="70"/>
      <c r="BI284" s="70"/>
      <c r="BJ284" s="70"/>
      <c r="BK284" s="70"/>
      <c r="BL284" s="70"/>
    </row>
    <row r="285" spans="1:64" x14ac:dyDescent="0.4">
      <c r="A285" s="69"/>
      <c r="B285" s="70"/>
      <c r="D285" s="70"/>
      <c r="E285" s="70"/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70"/>
      <c r="AC285" s="70"/>
      <c r="AD285" s="70"/>
      <c r="AE285" s="70"/>
      <c r="AF285" s="70"/>
      <c r="AG285" s="70"/>
      <c r="AH285" s="70"/>
      <c r="AI285" s="70"/>
      <c r="AJ285" s="70"/>
      <c r="AK285" s="70"/>
      <c r="AL285" s="70"/>
      <c r="AM285" s="70"/>
      <c r="AN285" s="70"/>
      <c r="AO285" s="70"/>
      <c r="AP285" s="70"/>
      <c r="AQ285" s="70"/>
      <c r="AR285" s="70"/>
      <c r="AS285" s="70"/>
      <c r="AT285" s="70"/>
      <c r="AU285" s="70"/>
      <c r="AV285" s="70"/>
      <c r="AW285" s="70"/>
      <c r="AX285" s="70"/>
      <c r="AY285" s="70"/>
      <c r="AZ285" s="70"/>
      <c r="BA285" s="70"/>
      <c r="BB285" s="70"/>
      <c r="BC285" s="70"/>
      <c r="BD285" s="70"/>
      <c r="BE285" s="70"/>
      <c r="BF285" s="70"/>
      <c r="BG285" s="70"/>
      <c r="BH285" s="70"/>
      <c r="BI285" s="70"/>
      <c r="BJ285" s="70"/>
      <c r="BK285" s="70"/>
      <c r="BL285" s="70"/>
    </row>
    <row r="286" spans="1:64" x14ac:dyDescent="0.4">
      <c r="A286" s="69"/>
      <c r="B286" s="70"/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0"/>
      <c r="AE286" s="70"/>
      <c r="AF286" s="70"/>
      <c r="AG286" s="70"/>
      <c r="AH286" s="70"/>
      <c r="AI286" s="70"/>
      <c r="AJ286" s="70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70"/>
      <c r="AV286" s="70"/>
      <c r="AW286" s="70"/>
      <c r="AX286" s="70"/>
      <c r="AY286" s="70"/>
      <c r="AZ286" s="70"/>
      <c r="BA286" s="70"/>
      <c r="BB286" s="70"/>
      <c r="BC286" s="70"/>
      <c r="BD286" s="70"/>
      <c r="BE286" s="70"/>
      <c r="BF286" s="70"/>
      <c r="BG286" s="70"/>
      <c r="BH286" s="70"/>
      <c r="BI286" s="70"/>
      <c r="BJ286" s="70"/>
      <c r="BK286" s="70"/>
      <c r="BL286" s="70"/>
    </row>
    <row r="287" spans="1:64" x14ac:dyDescent="0.4">
      <c r="A287" s="69"/>
      <c r="B287" s="70"/>
      <c r="D287" s="70"/>
      <c r="E287" s="70"/>
      <c r="F287" s="70"/>
      <c r="G287" s="70"/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  <c r="AA287" s="70"/>
      <c r="AB287" s="70"/>
      <c r="AC287" s="70"/>
      <c r="AD287" s="70"/>
      <c r="AE287" s="70"/>
      <c r="AF287" s="70"/>
      <c r="AG287" s="70"/>
      <c r="AH287" s="70"/>
      <c r="AI287" s="70"/>
      <c r="AJ287" s="70"/>
      <c r="AK287" s="70"/>
      <c r="AL287" s="70"/>
      <c r="AM287" s="70"/>
      <c r="AN287" s="70"/>
      <c r="AO287" s="70"/>
      <c r="AP287" s="70"/>
      <c r="AQ287" s="70"/>
      <c r="AR287" s="70"/>
      <c r="AS287" s="70"/>
      <c r="AT287" s="70"/>
      <c r="AU287" s="70"/>
      <c r="AV287" s="70"/>
      <c r="AW287" s="70"/>
      <c r="AX287" s="70"/>
      <c r="AY287" s="70"/>
      <c r="AZ287" s="70"/>
      <c r="BA287" s="70"/>
      <c r="BB287" s="70"/>
      <c r="BC287" s="70"/>
      <c r="BD287" s="70"/>
      <c r="BE287" s="70"/>
      <c r="BF287" s="70"/>
      <c r="BG287" s="70"/>
      <c r="BH287" s="70"/>
      <c r="BI287" s="70"/>
      <c r="BJ287" s="70"/>
      <c r="BK287" s="70"/>
      <c r="BL287" s="70"/>
    </row>
    <row r="288" spans="1:64" x14ac:dyDescent="0.4">
      <c r="A288" s="69"/>
      <c r="B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70"/>
      <c r="AV288" s="70"/>
      <c r="AW288" s="70"/>
      <c r="AX288" s="70"/>
      <c r="AY288" s="70"/>
      <c r="AZ288" s="70"/>
      <c r="BA288" s="70"/>
      <c r="BB288" s="70"/>
      <c r="BC288" s="70"/>
      <c r="BD288" s="70"/>
      <c r="BE288" s="70"/>
      <c r="BF288" s="70"/>
      <c r="BG288" s="70"/>
      <c r="BH288" s="70"/>
      <c r="BI288" s="70"/>
      <c r="BJ288" s="70"/>
      <c r="BK288" s="70"/>
      <c r="BL288" s="70"/>
    </row>
    <row r="289" spans="1:64" x14ac:dyDescent="0.4">
      <c r="A289" s="69"/>
      <c r="B289" s="70"/>
      <c r="D289" s="70"/>
      <c r="E289" s="70"/>
      <c r="F289" s="70"/>
      <c r="G289" s="70"/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  <c r="AA289" s="70"/>
      <c r="AB289" s="70"/>
      <c r="AC289" s="70"/>
      <c r="AD289" s="70"/>
      <c r="AE289" s="70"/>
      <c r="AF289" s="70"/>
      <c r="AG289" s="70"/>
      <c r="AH289" s="70"/>
      <c r="AI289" s="70"/>
      <c r="AJ289" s="70"/>
      <c r="AK289" s="70"/>
      <c r="AL289" s="70"/>
      <c r="AM289" s="70"/>
      <c r="AN289" s="70"/>
      <c r="AO289" s="70"/>
      <c r="AP289" s="70"/>
      <c r="AQ289" s="70"/>
      <c r="AR289" s="70"/>
      <c r="AS289" s="70"/>
      <c r="AT289" s="70"/>
      <c r="AU289" s="70"/>
      <c r="AV289" s="70"/>
      <c r="AW289" s="70"/>
      <c r="AX289" s="70"/>
      <c r="AY289" s="70"/>
      <c r="AZ289" s="70"/>
      <c r="BA289" s="70"/>
      <c r="BB289" s="70"/>
      <c r="BC289" s="70"/>
      <c r="BD289" s="70"/>
      <c r="BE289" s="70"/>
      <c r="BF289" s="70"/>
      <c r="BG289" s="70"/>
      <c r="BH289" s="70"/>
      <c r="BI289" s="70"/>
      <c r="BJ289" s="70"/>
      <c r="BK289" s="70"/>
      <c r="BL289" s="70"/>
    </row>
    <row r="290" spans="1:64" x14ac:dyDescent="0.4">
      <c r="A290" s="69"/>
      <c r="B290" s="70"/>
      <c r="D290" s="70"/>
      <c r="E290" s="70"/>
      <c r="F290" s="70"/>
      <c r="G290" s="70"/>
      <c r="H290" s="70"/>
      <c r="I290" s="70"/>
      <c r="J290" s="70"/>
      <c r="K290" s="70"/>
      <c r="L290" s="70"/>
      <c r="M290" s="70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  <c r="AE290" s="70"/>
      <c r="AF290" s="70"/>
      <c r="AG290" s="70"/>
      <c r="AH290" s="70"/>
      <c r="AI290" s="70"/>
      <c r="AJ290" s="70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70"/>
      <c r="AV290" s="70"/>
      <c r="AW290" s="70"/>
      <c r="AX290" s="70"/>
      <c r="AY290" s="70"/>
      <c r="AZ290" s="70"/>
      <c r="BA290" s="70"/>
      <c r="BB290" s="70"/>
      <c r="BC290" s="70"/>
      <c r="BD290" s="70"/>
      <c r="BE290" s="70"/>
      <c r="BF290" s="70"/>
      <c r="BG290" s="70"/>
      <c r="BH290" s="70"/>
      <c r="BI290" s="70"/>
      <c r="BJ290" s="70"/>
      <c r="BK290" s="70"/>
      <c r="BL290" s="70"/>
    </row>
    <row r="291" spans="1:64" x14ac:dyDescent="0.4">
      <c r="A291" s="69"/>
      <c r="B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  <c r="AM291" s="70"/>
      <c r="AN291" s="70"/>
      <c r="AO291" s="70"/>
      <c r="AP291" s="70"/>
      <c r="AQ291" s="70"/>
      <c r="AR291" s="70"/>
      <c r="AS291" s="70"/>
      <c r="AT291" s="70"/>
      <c r="AU291" s="70"/>
      <c r="AV291" s="70"/>
      <c r="AW291" s="70"/>
      <c r="AX291" s="70"/>
      <c r="AY291" s="70"/>
      <c r="AZ291" s="70"/>
      <c r="BA291" s="70"/>
      <c r="BB291" s="70"/>
      <c r="BC291" s="70"/>
      <c r="BD291" s="70"/>
      <c r="BE291" s="70"/>
      <c r="BF291" s="70"/>
      <c r="BG291" s="70"/>
      <c r="BH291" s="70"/>
      <c r="BI291" s="70"/>
      <c r="BJ291" s="70"/>
      <c r="BK291" s="70"/>
      <c r="BL291" s="70"/>
    </row>
    <row r="292" spans="1:64" x14ac:dyDescent="0.4">
      <c r="A292" s="69"/>
      <c r="B292" s="70"/>
      <c r="D292" s="70"/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  <c r="AA292" s="70"/>
      <c r="AB292" s="70"/>
      <c r="AC292" s="70"/>
      <c r="AD292" s="70"/>
      <c r="AE292" s="70"/>
      <c r="AF292" s="70"/>
      <c r="AG292" s="70"/>
      <c r="AH292" s="70"/>
      <c r="AI292" s="70"/>
      <c r="AJ292" s="70"/>
      <c r="AK292" s="70"/>
      <c r="AL292" s="70"/>
      <c r="AM292" s="70"/>
      <c r="AN292" s="70"/>
      <c r="AO292" s="70"/>
      <c r="AP292" s="70"/>
      <c r="AQ292" s="70"/>
      <c r="AR292" s="70"/>
      <c r="AS292" s="70"/>
      <c r="AT292" s="70"/>
      <c r="AU292" s="70"/>
      <c r="AV292" s="70"/>
      <c r="AW292" s="70"/>
      <c r="AX292" s="70"/>
      <c r="AY292" s="70"/>
      <c r="AZ292" s="70"/>
      <c r="BA292" s="70"/>
      <c r="BB292" s="70"/>
      <c r="BC292" s="70"/>
      <c r="BD292" s="70"/>
      <c r="BE292" s="70"/>
      <c r="BF292" s="70"/>
      <c r="BG292" s="70"/>
      <c r="BH292" s="70"/>
      <c r="BI292" s="70"/>
      <c r="BJ292" s="70"/>
      <c r="BK292" s="70"/>
      <c r="BL292" s="70"/>
    </row>
    <row r="293" spans="1:64" x14ac:dyDescent="0.4">
      <c r="A293" s="69"/>
      <c r="B293" s="70"/>
      <c r="D293" s="70"/>
      <c r="E293" s="70"/>
      <c r="F293" s="70"/>
      <c r="G293" s="70"/>
      <c r="H293" s="70"/>
      <c r="I293" s="70"/>
      <c r="J293" s="70"/>
      <c r="K293" s="70"/>
      <c r="L293" s="70"/>
      <c r="M293" s="70"/>
      <c r="N293" s="70"/>
      <c r="O293" s="70"/>
      <c r="P293" s="70"/>
      <c r="Q293" s="70"/>
      <c r="R293" s="70"/>
      <c r="S293" s="70"/>
      <c r="T293" s="70"/>
      <c r="U293" s="70"/>
      <c r="V293" s="70"/>
      <c r="W293" s="70"/>
      <c r="X293" s="70"/>
      <c r="Y293" s="70"/>
      <c r="Z293" s="70"/>
      <c r="AA293" s="70"/>
      <c r="AB293" s="70"/>
      <c r="AC293" s="70"/>
      <c r="AD293" s="70"/>
      <c r="AE293" s="70"/>
      <c r="AF293" s="70"/>
      <c r="AG293" s="70"/>
      <c r="AH293" s="70"/>
      <c r="AI293" s="70"/>
      <c r="AJ293" s="70"/>
      <c r="AK293" s="70"/>
      <c r="AL293" s="70"/>
      <c r="AM293" s="70"/>
      <c r="AN293" s="70"/>
      <c r="AO293" s="70"/>
      <c r="AP293" s="70"/>
      <c r="AQ293" s="70"/>
      <c r="AR293" s="70"/>
      <c r="AS293" s="70"/>
      <c r="AT293" s="70"/>
      <c r="AU293" s="70"/>
      <c r="AV293" s="70"/>
      <c r="AW293" s="70"/>
      <c r="AX293" s="70"/>
      <c r="AY293" s="70"/>
      <c r="AZ293" s="70"/>
      <c r="BA293" s="70"/>
      <c r="BB293" s="70"/>
      <c r="BC293" s="70"/>
      <c r="BD293" s="70"/>
      <c r="BE293" s="70"/>
      <c r="BF293" s="70"/>
      <c r="BG293" s="70"/>
      <c r="BH293" s="70"/>
      <c r="BI293" s="70"/>
      <c r="BJ293" s="70"/>
      <c r="BK293" s="70"/>
      <c r="BL293" s="70"/>
    </row>
    <row r="294" spans="1:64" x14ac:dyDescent="0.4">
      <c r="A294" s="69"/>
      <c r="B294" s="70"/>
      <c r="D294" s="70"/>
      <c r="E294" s="70"/>
      <c r="F294" s="70"/>
      <c r="G294" s="70"/>
      <c r="H294" s="70"/>
      <c r="I294" s="70"/>
      <c r="J294" s="70"/>
      <c r="K294" s="70"/>
      <c r="L294" s="70"/>
      <c r="M294" s="70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  <c r="AE294" s="70"/>
      <c r="AF294" s="70"/>
      <c r="AG294" s="70"/>
      <c r="AH294" s="70"/>
      <c r="AI294" s="70"/>
      <c r="AJ294" s="70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70"/>
      <c r="AV294" s="70"/>
      <c r="AW294" s="70"/>
      <c r="AX294" s="70"/>
      <c r="AY294" s="70"/>
      <c r="AZ294" s="70"/>
      <c r="BA294" s="70"/>
      <c r="BB294" s="70"/>
      <c r="BC294" s="70"/>
      <c r="BD294" s="70"/>
      <c r="BE294" s="70"/>
      <c r="BF294" s="70"/>
      <c r="BG294" s="70"/>
      <c r="BH294" s="70"/>
      <c r="BI294" s="70"/>
      <c r="BJ294" s="70"/>
      <c r="BK294" s="70"/>
      <c r="BL294" s="70"/>
    </row>
    <row r="295" spans="1:64" x14ac:dyDescent="0.4">
      <c r="A295" s="69"/>
      <c r="B295" s="70"/>
      <c r="D295" s="70"/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  <c r="AE295" s="70"/>
      <c r="AF295" s="70"/>
      <c r="AG295" s="70"/>
      <c r="AH295" s="70"/>
      <c r="AI295" s="70"/>
      <c r="AJ295" s="70"/>
      <c r="AK295" s="70"/>
      <c r="AL295" s="70"/>
      <c r="AM295" s="70"/>
      <c r="AN295" s="70"/>
      <c r="AO295" s="70"/>
      <c r="AP295" s="70"/>
      <c r="AQ295" s="70"/>
      <c r="AR295" s="70"/>
      <c r="AS295" s="70"/>
      <c r="AT295" s="70"/>
      <c r="AU295" s="70"/>
      <c r="AV295" s="70"/>
      <c r="AW295" s="70"/>
      <c r="AX295" s="70"/>
      <c r="AY295" s="70"/>
      <c r="AZ295" s="70"/>
      <c r="BA295" s="70"/>
      <c r="BB295" s="70"/>
      <c r="BC295" s="70"/>
      <c r="BD295" s="70"/>
      <c r="BE295" s="70"/>
      <c r="BF295" s="70"/>
      <c r="BG295" s="70"/>
      <c r="BH295" s="70"/>
      <c r="BI295" s="70"/>
      <c r="BJ295" s="70"/>
      <c r="BK295" s="70"/>
      <c r="BL295" s="70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J252"/>
  <sheetViews>
    <sheetView workbookViewId="0">
      <pane xSplit="2" ySplit="4" topLeftCell="C5" activePane="bottomRight" state="frozen"/>
      <selection pane="topRight" activeCell="B1" sqref="B1"/>
      <selection pane="bottomLeft" activeCell="A5" sqref="A5"/>
      <selection pane="bottomRight" activeCell="C5" sqref="C5"/>
    </sheetView>
  </sheetViews>
  <sheetFormatPr defaultRowHeight="17.399999999999999" x14ac:dyDescent="0.4"/>
  <cols>
    <col min="1" max="1" width="3.3984375" style="5" bestFit="1" customWidth="1"/>
    <col min="2" max="2" width="22.796875" bestFit="1" customWidth="1"/>
    <col min="3" max="4" width="10.8984375" bestFit="1" customWidth="1"/>
    <col min="5" max="5" width="14.3984375" bestFit="1" customWidth="1"/>
    <col min="6" max="9" width="10.8984375" bestFit="1" customWidth="1"/>
    <col min="10" max="10" width="12.3984375" bestFit="1" customWidth="1"/>
    <col min="11" max="12" width="10.8984375" bestFit="1" customWidth="1"/>
    <col min="13" max="13" width="12.3984375" bestFit="1" customWidth="1"/>
    <col min="14" max="14" width="10.8984375" bestFit="1" customWidth="1"/>
    <col min="15" max="15" width="12.3984375" bestFit="1" customWidth="1"/>
    <col min="16" max="17" width="10.8984375" bestFit="1" customWidth="1"/>
    <col min="18" max="19" width="12.3984375" bestFit="1" customWidth="1"/>
    <col min="20" max="21" width="10.8984375" bestFit="1" customWidth="1"/>
    <col min="22" max="22" width="14.3984375" bestFit="1" customWidth="1"/>
    <col min="23" max="23" width="11.8984375" bestFit="1" customWidth="1"/>
    <col min="24" max="24" width="14.3984375" bestFit="1" customWidth="1"/>
    <col min="25" max="25" width="12.3984375" bestFit="1" customWidth="1"/>
    <col min="26" max="26" width="10.8984375" bestFit="1" customWidth="1"/>
    <col min="27" max="27" width="12.3984375" bestFit="1" customWidth="1"/>
    <col min="28" max="30" width="10.8984375" bestFit="1" customWidth="1"/>
    <col min="31" max="31" width="12.3984375" bestFit="1" customWidth="1"/>
    <col min="32" max="32" width="14.3984375" bestFit="1" customWidth="1"/>
    <col min="33" max="34" width="10.8984375" bestFit="1" customWidth="1"/>
    <col min="35" max="35" width="24.09765625" bestFit="1" customWidth="1"/>
    <col min="36" max="36" width="14.3984375" bestFit="1" customWidth="1"/>
    <col min="37" max="37" width="16.296875" bestFit="1" customWidth="1"/>
    <col min="38" max="38" width="12.3984375" bestFit="1" customWidth="1"/>
    <col min="39" max="39" width="10.8984375" bestFit="1" customWidth="1"/>
    <col min="40" max="41" width="12.3984375" bestFit="1" customWidth="1"/>
    <col min="42" max="42" width="10.8984375" bestFit="1" customWidth="1"/>
    <col min="43" max="43" width="12.3984375" bestFit="1" customWidth="1"/>
    <col min="44" max="44" width="18.296875" bestFit="1" customWidth="1"/>
    <col min="45" max="45" width="10.8984375" bestFit="1" customWidth="1"/>
    <col min="46" max="47" width="14.3984375" bestFit="1" customWidth="1"/>
    <col min="48" max="48" width="12.3984375" bestFit="1" customWidth="1"/>
    <col min="49" max="49" width="19.09765625" bestFit="1" customWidth="1"/>
    <col min="50" max="50" width="15.3984375" bestFit="1" customWidth="1"/>
    <col min="51" max="51" width="11.69921875" bestFit="1" customWidth="1"/>
    <col min="52" max="52" width="15.3984375" bestFit="1" customWidth="1"/>
    <col min="53" max="53" width="15.09765625" bestFit="1" customWidth="1"/>
    <col min="54" max="54" width="14.59765625" bestFit="1" customWidth="1"/>
    <col min="55" max="55" width="14.3984375" bestFit="1" customWidth="1"/>
    <col min="56" max="56" width="15.3984375" bestFit="1" customWidth="1"/>
    <col min="57" max="57" width="14.3984375" bestFit="1" customWidth="1"/>
    <col min="58" max="58" width="15.3984375" bestFit="1" customWidth="1"/>
    <col min="59" max="59" width="16.19921875" bestFit="1" customWidth="1"/>
    <col min="60" max="60" width="22.19921875" bestFit="1" customWidth="1"/>
    <col min="61" max="61" width="18.296875" bestFit="1" customWidth="1"/>
    <col min="62" max="62" width="12.3984375" bestFit="1" customWidth="1"/>
  </cols>
  <sheetData>
    <row r="1" spans="1:62" ht="18" thickBot="1" x14ac:dyDescent="0.45">
      <c r="B1" s="48" t="s">
        <v>1064</v>
      </c>
      <c r="C1" s="58" t="s">
        <v>1065</v>
      </c>
      <c r="D1" s="58" t="s">
        <v>1066</v>
      </c>
      <c r="E1" s="58" t="s">
        <v>1065</v>
      </c>
      <c r="F1" s="58" t="s">
        <v>1067</v>
      </c>
      <c r="G1" s="58" t="s">
        <v>1067</v>
      </c>
      <c r="H1" s="58" t="s">
        <v>1066</v>
      </c>
      <c r="I1" s="58" t="s">
        <v>1066</v>
      </c>
      <c r="J1" s="58" t="s">
        <v>1067</v>
      </c>
      <c r="K1" s="58" t="s">
        <v>1065</v>
      </c>
      <c r="L1" s="58" t="s">
        <v>1066</v>
      </c>
      <c r="M1" s="58" t="s">
        <v>1067</v>
      </c>
      <c r="N1" s="58" t="s">
        <v>1066</v>
      </c>
      <c r="O1" s="58" t="s">
        <v>1066</v>
      </c>
      <c r="P1" s="58" t="s">
        <v>1066</v>
      </c>
      <c r="Q1" s="58" t="s">
        <v>1066</v>
      </c>
      <c r="R1" s="58" t="s">
        <v>1066</v>
      </c>
      <c r="S1" s="58" t="s">
        <v>1066</v>
      </c>
      <c r="T1" s="58" t="s">
        <v>1066</v>
      </c>
      <c r="U1" s="58" t="s">
        <v>1066</v>
      </c>
      <c r="V1" s="58" t="s">
        <v>1066</v>
      </c>
      <c r="W1" s="58" t="s">
        <v>1065</v>
      </c>
      <c r="X1" s="58" t="s">
        <v>1066</v>
      </c>
      <c r="Y1" s="58" t="s">
        <v>1065</v>
      </c>
      <c r="Z1" s="58" t="s">
        <v>1066</v>
      </c>
      <c r="AA1" s="58" t="s">
        <v>1066</v>
      </c>
      <c r="AB1" s="58" t="s">
        <v>1066</v>
      </c>
      <c r="AC1" s="58" t="s">
        <v>1066</v>
      </c>
      <c r="AD1" s="58" t="s">
        <v>1066</v>
      </c>
      <c r="AE1" s="58" t="s">
        <v>1066</v>
      </c>
      <c r="AF1" s="58" t="s">
        <v>1065</v>
      </c>
      <c r="AG1" s="58" t="s">
        <v>1065</v>
      </c>
      <c r="AH1" s="58" t="s">
        <v>1065</v>
      </c>
      <c r="AI1" s="58" t="s">
        <v>1066</v>
      </c>
      <c r="AJ1" s="58" t="s">
        <v>1066</v>
      </c>
      <c r="AK1" s="58" t="s">
        <v>1066</v>
      </c>
      <c r="AL1" s="58" t="s">
        <v>1067</v>
      </c>
      <c r="AM1" s="58" t="s">
        <v>1065</v>
      </c>
      <c r="AN1" s="58" t="s">
        <v>1065</v>
      </c>
      <c r="AO1" s="58" t="s">
        <v>1066</v>
      </c>
      <c r="AP1" s="58" t="s">
        <v>1065</v>
      </c>
      <c r="AQ1" s="58" t="s">
        <v>1066</v>
      </c>
      <c r="AR1" s="58" t="s">
        <v>1065</v>
      </c>
      <c r="AS1" s="58" t="s">
        <v>1065</v>
      </c>
      <c r="AT1" s="58" t="s">
        <v>1065</v>
      </c>
      <c r="AU1" s="58" t="s">
        <v>1065</v>
      </c>
      <c r="AV1" s="58" t="s">
        <v>1066</v>
      </c>
      <c r="AW1" s="58" t="s">
        <v>1066</v>
      </c>
      <c r="AX1" s="58" t="s">
        <v>1066</v>
      </c>
      <c r="AY1" s="58" t="s">
        <v>1065</v>
      </c>
      <c r="AZ1" s="58" t="s">
        <v>1065</v>
      </c>
      <c r="BA1" s="58" t="s">
        <v>1065</v>
      </c>
      <c r="BB1" s="58" t="s">
        <v>1065</v>
      </c>
      <c r="BC1" s="58" t="s">
        <v>1065</v>
      </c>
      <c r="BD1" s="58" t="s">
        <v>1065</v>
      </c>
      <c r="BE1" s="58" t="s">
        <v>1065</v>
      </c>
      <c r="BF1" s="58" t="s">
        <v>1066</v>
      </c>
      <c r="BG1" s="58" t="s">
        <v>1065</v>
      </c>
      <c r="BH1" s="58" t="s">
        <v>1066</v>
      </c>
      <c r="BI1" s="58" t="s">
        <v>1066</v>
      </c>
      <c r="BJ1" s="58" t="s">
        <v>1068</v>
      </c>
    </row>
    <row r="2" spans="1:62" ht="18" thickBot="1" x14ac:dyDescent="0.45">
      <c r="B2" s="48" t="s">
        <v>1069</v>
      </c>
      <c r="C2" s="55">
        <v>44318</v>
      </c>
      <c r="D2" s="55">
        <v>44135</v>
      </c>
      <c r="E2" s="55">
        <v>44318</v>
      </c>
      <c r="F2" s="55">
        <v>44410</v>
      </c>
      <c r="G2" s="55">
        <v>44410</v>
      </c>
      <c r="H2" s="55">
        <v>44135</v>
      </c>
      <c r="I2" s="55">
        <v>44135</v>
      </c>
      <c r="J2" s="55">
        <v>44410</v>
      </c>
      <c r="K2" s="55">
        <v>44318</v>
      </c>
      <c r="L2" s="55">
        <v>44135</v>
      </c>
      <c r="M2" s="55">
        <v>44410</v>
      </c>
      <c r="N2" s="55">
        <v>44135</v>
      </c>
      <c r="O2" s="55">
        <v>44135</v>
      </c>
      <c r="P2" s="55">
        <v>44135</v>
      </c>
      <c r="Q2" s="55">
        <v>44135</v>
      </c>
      <c r="R2" s="55">
        <v>44135</v>
      </c>
      <c r="S2" s="55">
        <v>44135</v>
      </c>
      <c r="T2" s="55">
        <v>44135</v>
      </c>
      <c r="U2" s="55">
        <v>44135</v>
      </c>
      <c r="V2" s="55">
        <v>44135</v>
      </c>
      <c r="W2" s="55">
        <v>44318</v>
      </c>
      <c r="X2" s="55">
        <v>44135</v>
      </c>
      <c r="Y2" s="55">
        <v>44318</v>
      </c>
      <c r="Z2" s="55">
        <v>44135</v>
      </c>
      <c r="AA2" s="55">
        <v>44135</v>
      </c>
      <c r="AB2" s="55">
        <v>44135</v>
      </c>
      <c r="AC2" s="55">
        <v>44135</v>
      </c>
      <c r="AD2" s="55">
        <v>44135</v>
      </c>
      <c r="AE2" s="55">
        <v>44135</v>
      </c>
      <c r="AF2" s="55">
        <v>44318</v>
      </c>
      <c r="AG2" s="55">
        <v>44318</v>
      </c>
      <c r="AH2" s="55">
        <v>44318</v>
      </c>
      <c r="AI2" s="55">
        <v>44135</v>
      </c>
      <c r="AJ2" s="55">
        <v>44135</v>
      </c>
      <c r="AK2" s="55">
        <v>44135</v>
      </c>
      <c r="AL2" s="55">
        <v>44410</v>
      </c>
      <c r="AM2" s="55">
        <v>44318</v>
      </c>
      <c r="AN2" s="55">
        <v>44318</v>
      </c>
      <c r="AO2" s="55">
        <v>44135</v>
      </c>
      <c r="AP2" s="55">
        <v>44318</v>
      </c>
      <c r="AQ2" s="55">
        <v>44135</v>
      </c>
      <c r="AR2" s="55">
        <v>44318</v>
      </c>
      <c r="AS2" s="55">
        <v>44318</v>
      </c>
      <c r="AT2" s="55">
        <v>44318</v>
      </c>
      <c r="AU2" s="55">
        <v>44318</v>
      </c>
      <c r="AV2" s="55">
        <v>44135</v>
      </c>
      <c r="AW2" s="55">
        <v>44135</v>
      </c>
      <c r="AX2" s="55">
        <v>44135</v>
      </c>
      <c r="AY2" s="55">
        <v>44318</v>
      </c>
      <c r="AZ2" s="55">
        <v>44318</v>
      </c>
      <c r="BA2" s="55">
        <v>44318</v>
      </c>
      <c r="BB2" s="55">
        <v>44318</v>
      </c>
      <c r="BC2" s="55">
        <v>44318</v>
      </c>
      <c r="BD2" s="55">
        <v>44318</v>
      </c>
      <c r="BE2" s="55">
        <v>44318</v>
      </c>
      <c r="BF2" s="55">
        <v>44135</v>
      </c>
      <c r="BG2" s="55">
        <v>44318</v>
      </c>
      <c r="BH2" s="55">
        <v>44135</v>
      </c>
      <c r="BI2" s="55">
        <v>44135</v>
      </c>
      <c r="BJ2" s="55">
        <v>44318</v>
      </c>
    </row>
    <row r="3" spans="1:62" ht="18" thickBot="1" x14ac:dyDescent="0.45">
      <c r="B3" s="48" t="s">
        <v>1070</v>
      </c>
      <c r="C3" s="2">
        <f>COUNTA(C4:C248)</f>
        <v>224</v>
      </c>
      <c r="D3" s="2">
        <f>COUNTA(D4:D248)</f>
        <v>232</v>
      </c>
      <c r="E3" s="2">
        <f t="shared" ref="E3:BJ3" si="0">COUNTA(E4:E248)</f>
        <v>230</v>
      </c>
      <c r="F3" s="2">
        <f t="shared" si="0"/>
        <v>223</v>
      </c>
      <c r="G3" s="2">
        <f t="shared" si="0"/>
        <v>212</v>
      </c>
      <c r="H3" s="2">
        <f t="shared" si="0"/>
        <v>207</v>
      </c>
      <c r="I3" s="2">
        <f t="shared" si="0"/>
        <v>237</v>
      </c>
      <c r="J3" s="2">
        <f t="shared" si="0"/>
        <v>227</v>
      </c>
      <c r="K3" s="2">
        <f t="shared" si="0"/>
        <v>114</v>
      </c>
      <c r="L3" s="2">
        <f t="shared" si="0"/>
        <v>176</v>
      </c>
      <c r="M3" s="2">
        <f t="shared" si="0"/>
        <v>224</v>
      </c>
      <c r="N3" s="2">
        <f t="shared" si="0"/>
        <v>227</v>
      </c>
      <c r="O3" s="2">
        <f t="shared" si="0"/>
        <v>89</v>
      </c>
      <c r="P3" s="2">
        <f t="shared" si="0"/>
        <v>215</v>
      </c>
      <c r="Q3" s="2">
        <f t="shared" si="0"/>
        <v>184</v>
      </c>
      <c r="R3" s="2">
        <f t="shared" si="0"/>
        <v>110</v>
      </c>
      <c r="S3" s="2">
        <f t="shared" si="0"/>
        <v>208</v>
      </c>
      <c r="T3" s="2">
        <f t="shared" si="0"/>
        <v>147</v>
      </c>
      <c r="U3" s="2">
        <f t="shared" si="0"/>
        <v>227</v>
      </c>
      <c r="V3" s="2">
        <f t="shared" si="0"/>
        <v>208</v>
      </c>
      <c r="W3" s="2">
        <f t="shared" si="0"/>
        <v>50</v>
      </c>
      <c r="X3" s="2">
        <f t="shared" si="0"/>
        <v>94</v>
      </c>
      <c r="Y3" s="2">
        <f t="shared" si="0"/>
        <v>46</v>
      </c>
      <c r="Z3" s="2">
        <f t="shared" si="0"/>
        <v>143</v>
      </c>
      <c r="AA3" s="2">
        <f t="shared" si="0"/>
        <v>192</v>
      </c>
      <c r="AB3" s="2">
        <f t="shared" si="0"/>
        <v>233</v>
      </c>
      <c r="AC3" s="2">
        <f t="shared" si="0"/>
        <v>150</v>
      </c>
      <c r="AD3" s="2">
        <f t="shared" si="0"/>
        <v>161</v>
      </c>
      <c r="AE3" s="2">
        <f t="shared" si="0"/>
        <v>144</v>
      </c>
      <c r="AF3" s="2">
        <f t="shared" si="0"/>
        <v>54</v>
      </c>
      <c r="AG3" s="2">
        <f t="shared" si="0"/>
        <v>124</v>
      </c>
      <c r="AH3" s="2">
        <f t="shared" si="0"/>
        <v>168</v>
      </c>
      <c r="AI3" s="2">
        <f t="shared" si="0"/>
        <v>185</v>
      </c>
      <c r="AJ3" s="2">
        <f t="shared" si="0"/>
        <v>227</v>
      </c>
      <c r="AK3" s="2">
        <f t="shared" si="0"/>
        <v>40</v>
      </c>
      <c r="AL3" s="2">
        <f t="shared" si="0"/>
        <v>14</v>
      </c>
      <c r="AM3" s="2">
        <f t="shared" si="0"/>
        <v>88</v>
      </c>
      <c r="AN3" s="2">
        <f t="shared" si="0"/>
        <v>44</v>
      </c>
      <c r="AO3" s="2">
        <f t="shared" si="0"/>
        <v>22</v>
      </c>
      <c r="AP3" s="2">
        <f t="shared" si="0"/>
        <v>54</v>
      </c>
      <c r="AQ3" s="2">
        <f t="shared" si="0"/>
        <v>61</v>
      </c>
      <c r="AR3" s="2">
        <f t="shared" si="0"/>
        <v>105</v>
      </c>
      <c r="AS3" s="2">
        <f t="shared" si="0"/>
        <v>42</v>
      </c>
      <c r="AT3" s="2">
        <f t="shared" si="0"/>
        <v>22</v>
      </c>
      <c r="AU3" s="2">
        <f t="shared" si="0"/>
        <v>217</v>
      </c>
      <c r="AV3" s="2">
        <f t="shared" si="0"/>
        <v>28</v>
      </c>
      <c r="AW3" s="2">
        <f t="shared" si="0"/>
        <v>135</v>
      </c>
      <c r="AX3" s="2">
        <f t="shared" si="0"/>
        <v>104</v>
      </c>
      <c r="AY3" s="2">
        <f t="shared" si="0"/>
        <v>141</v>
      </c>
      <c r="AZ3" s="2">
        <f t="shared" si="0"/>
        <v>25</v>
      </c>
      <c r="BA3" s="2">
        <f t="shared" si="0"/>
        <v>151</v>
      </c>
      <c r="BB3" s="2">
        <f t="shared" si="0"/>
        <v>201</v>
      </c>
      <c r="BC3" s="2">
        <f t="shared" si="0"/>
        <v>94</v>
      </c>
      <c r="BD3" s="2">
        <f t="shared" si="0"/>
        <v>54</v>
      </c>
      <c r="BE3" s="2">
        <f t="shared" si="0"/>
        <v>62</v>
      </c>
      <c r="BF3" s="2">
        <f t="shared" si="0"/>
        <v>13</v>
      </c>
      <c r="BG3" s="2">
        <f t="shared" si="0"/>
        <v>121</v>
      </c>
      <c r="BH3" s="2">
        <f t="shared" si="0"/>
        <v>53</v>
      </c>
      <c r="BI3" s="2">
        <f t="shared" si="0"/>
        <v>18</v>
      </c>
      <c r="BJ3" s="2">
        <f t="shared" si="0"/>
        <v>20</v>
      </c>
    </row>
    <row r="4" spans="1:62" ht="18" thickBot="1" x14ac:dyDescent="0.45">
      <c r="B4" s="48" t="s">
        <v>1001</v>
      </c>
      <c r="C4" s="49" t="s">
        <v>1002</v>
      </c>
      <c r="D4" s="49" t="s">
        <v>1003</v>
      </c>
      <c r="E4" s="49" t="s">
        <v>1004</v>
      </c>
      <c r="F4" s="49" t="s">
        <v>1005</v>
      </c>
      <c r="G4" s="49" t="s">
        <v>1006</v>
      </c>
      <c r="H4" s="49" t="s">
        <v>1007</v>
      </c>
      <c r="I4" s="49" t="s">
        <v>1008</v>
      </c>
      <c r="J4" s="49" t="s">
        <v>1009</v>
      </c>
      <c r="K4" s="49" t="s">
        <v>1010</v>
      </c>
      <c r="L4" s="49" t="s">
        <v>1011</v>
      </c>
      <c r="M4" s="49" t="s">
        <v>1012</v>
      </c>
      <c r="N4" s="49" t="s">
        <v>1013</v>
      </c>
      <c r="O4" s="49" t="s">
        <v>1014</v>
      </c>
      <c r="P4" s="49" t="s">
        <v>1015</v>
      </c>
      <c r="Q4" s="49" t="s">
        <v>1016</v>
      </c>
      <c r="R4" s="49" t="s">
        <v>1017</v>
      </c>
      <c r="S4" s="49" t="s">
        <v>1018</v>
      </c>
      <c r="T4" s="49" t="s">
        <v>1019</v>
      </c>
      <c r="U4" s="49" t="s">
        <v>1020</v>
      </c>
      <c r="V4" s="49" t="s">
        <v>1021</v>
      </c>
      <c r="W4" s="50" t="s">
        <v>1022</v>
      </c>
      <c r="X4" s="49" t="s">
        <v>1023</v>
      </c>
      <c r="Y4" s="49" t="s">
        <v>1024</v>
      </c>
      <c r="Z4" s="49" t="s">
        <v>1025</v>
      </c>
      <c r="AA4" s="49" t="s">
        <v>1026</v>
      </c>
      <c r="AB4" s="49" t="s">
        <v>1027</v>
      </c>
      <c r="AC4" s="49" t="s">
        <v>1028</v>
      </c>
      <c r="AD4" s="49" t="s">
        <v>1029</v>
      </c>
      <c r="AE4" s="49" t="s">
        <v>1030</v>
      </c>
      <c r="AF4" s="49" t="s">
        <v>1031</v>
      </c>
      <c r="AG4" s="49" t="s">
        <v>1032</v>
      </c>
      <c r="AH4" s="49" t="s">
        <v>1033</v>
      </c>
      <c r="AI4" s="49" t="s">
        <v>1034</v>
      </c>
      <c r="AJ4" s="49" t="s">
        <v>1035</v>
      </c>
      <c r="AK4" s="49" t="s">
        <v>1036</v>
      </c>
      <c r="AL4" s="49" t="s">
        <v>1037</v>
      </c>
      <c r="AM4" s="49" t="s">
        <v>1038</v>
      </c>
      <c r="AN4" s="49" t="s">
        <v>1039</v>
      </c>
      <c r="AO4" s="49" t="s">
        <v>1040</v>
      </c>
      <c r="AP4" s="49" t="s">
        <v>1041</v>
      </c>
      <c r="AQ4" s="49" t="s">
        <v>1042</v>
      </c>
      <c r="AR4" s="49" t="s">
        <v>1043</v>
      </c>
      <c r="AS4" s="49" t="s">
        <v>1044</v>
      </c>
      <c r="AT4" s="49" t="s">
        <v>1045</v>
      </c>
      <c r="AU4" s="49" t="s">
        <v>830</v>
      </c>
      <c r="AV4" s="49" t="s">
        <v>1046</v>
      </c>
      <c r="AW4" s="51" t="s">
        <v>1047</v>
      </c>
      <c r="AX4" s="51" t="s">
        <v>1048</v>
      </c>
      <c r="AY4" s="51" t="s">
        <v>1049</v>
      </c>
      <c r="AZ4" s="51" t="s">
        <v>1050</v>
      </c>
      <c r="BA4" s="50" t="s">
        <v>1051</v>
      </c>
      <c r="BB4" s="52" t="s">
        <v>1052</v>
      </c>
      <c r="BC4" s="49" t="s">
        <v>1053</v>
      </c>
      <c r="BD4" s="51" t="s">
        <v>1054</v>
      </c>
      <c r="BE4" s="49" t="s">
        <v>1055</v>
      </c>
      <c r="BF4" s="51" t="s">
        <v>1056</v>
      </c>
      <c r="BG4" s="50" t="s">
        <v>1057</v>
      </c>
      <c r="BH4" s="53" t="s">
        <v>1058</v>
      </c>
      <c r="BI4" s="53" t="s">
        <v>1059</v>
      </c>
      <c r="BJ4" s="54" t="s">
        <v>1060</v>
      </c>
    </row>
    <row r="5" spans="1:62" x14ac:dyDescent="0.4">
      <c r="A5" s="5">
        <f>COUNT(C5:BJ5)</f>
        <v>0</v>
      </c>
      <c r="B5" s="4" t="s">
        <v>1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</row>
    <row r="6" spans="1:62" x14ac:dyDescent="0.4">
      <c r="A6" s="5">
        <f t="shared" ref="A6:A69" si="1">COUNT(C6:BJ6)</f>
        <v>31</v>
      </c>
      <c r="B6" s="3" t="s">
        <v>22</v>
      </c>
      <c r="C6" s="56">
        <v>44279</v>
      </c>
      <c r="D6" s="55">
        <v>44386</v>
      </c>
      <c r="E6" s="56">
        <v>44225</v>
      </c>
      <c r="F6" s="55">
        <v>44503</v>
      </c>
      <c r="G6" s="55"/>
      <c r="H6" s="55">
        <v>44390</v>
      </c>
      <c r="I6" s="55">
        <v>44308</v>
      </c>
      <c r="J6" s="56">
        <v>44361</v>
      </c>
      <c r="K6" s="55"/>
      <c r="L6" s="55">
        <v>44280</v>
      </c>
      <c r="M6" s="55">
        <v>44502</v>
      </c>
      <c r="N6" s="55">
        <v>44389</v>
      </c>
      <c r="O6" s="55"/>
      <c r="P6" s="55">
        <v>44385</v>
      </c>
      <c r="Q6" s="55">
        <v>44379</v>
      </c>
      <c r="R6" s="55"/>
      <c r="S6" s="55">
        <v>44383</v>
      </c>
      <c r="T6" s="55"/>
      <c r="U6" s="55">
        <v>44384</v>
      </c>
      <c r="V6" s="55"/>
      <c r="W6" s="56">
        <v>44280</v>
      </c>
      <c r="X6" s="55">
        <v>44383</v>
      </c>
      <c r="Y6" s="55"/>
      <c r="Z6" s="55"/>
      <c r="AA6" s="55">
        <v>44445</v>
      </c>
      <c r="AB6" s="55">
        <v>44384</v>
      </c>
      <c r="AC6" s="55"/>
      <c r="AD6" s="55">
        <v>44445</v>
      </c>
      <c r="AE6" s="55"/>
      <c r="AF6" s="55">
        <v>44503</v>
      </c>
      <c r="AG6" s="56">
        <v>44278</v>
      </c>
      <c r="AH6" s="55">
        <v>44504</v>
      </c>
      <c r="AI6" s="55">
        <v>44377</v>
      </c>
      <c r="AJ6" s="55">
        <v>44386</v>
      </c>
      <c r="AK6" s="55"/>
      <c r="AL6" s="55"/>
      <c r="AM6" s="55"/>
      <c r="AN6" s="55"/>
      <c r="AO6" s="55"/>
      <c r="AP6" s="55"/>
      <c r="AQ6" s="55"/>
      <c r="AR6" s="55">
        <v>44322</v>
      </c>
      <c r="AS6" s="55"/>
      <c r="AT6" s="55"/>
      <c r="AU6" s="55">
        <v>44498</v>
      </c>
      <c r="AV6" s="55"/>
      <c r="AW6" s="55"/>
      <c r="AX6" s="55"/>
      <c r="AY6" s="56">
        <v>44278</v>
      </c>
      <c r="AZ6" s="55"/>
      <c r="BA6" s="56">
        <v>44225</v>
      </c>
      <c r="BB6" s="55">
        <v>44504</v>
      </c>
      <c r="BC6" s="56">
        <v>44278</v>
      </c>
      <c r="BD6" s="56">
        <v>44279</v>
      </c>
      <c r="BE6" s="55"/>
      <c r="BF6" s="55"/>
      <c r="BG6" s="55"/>
      <c r="BH6" s="55"/>
      <c r="BI6" s="55"/>
      <c r="BJ6" s="55"/>
    </row>
    <row r="7" spans="1:62" x14ac:dyDescent="0.4">
      <c r="A7" s="5">
        <f t="shared" si="1"/>
        <v>29</v>
      </c>
      <c r="B7" s="3" t="s">
        <v>2</v>
      </c>
      <c r="C7" s="55">
        <v>44481</v>
      </c>
      <c r="D7" s="55">
        <v>44491</v>
      </c>
      <c r="E7" s="55">
        <v>44445</v>
      </c>
      <c r="F7" s="55"/>
      <c r="G7" s="55"/>
      <c r="H7" s="55">
        <v>44419</v>
      </c>
      <c r="I7" s="55">
        <v>44293</v>
      </c>
      <c r="J7" s="55">
        <v>44504</v>
      </c>
      <c r="K7" s="55"/>
      <c r="L7" s="55"/>
      <c r="M7" s="56">
        <v>44183</v>
      </c>
      <c r="N7" s="55">
        <v>44490</v>
      </c>
      <c r="O7" s="55"/>
      <c r="P7" s="55">
        <v>44487</v>
      </c>
      <c r="Q7" s="55">
        <v>44491</v>
      </c>
      <c r="R7" s="55"/>
      <c r="S7" s="55">
        <v>44491</v>
      </c>
      <c r="T7" s="55"/>
      <c r="U7" s="55">
        <v>44487</v>
      </c>
      <c r="V7" s="55">
        <v>44358</v>
      </c>
      <c r="W7" s="55"/>
      <c r="X7" s="55">
        <v>44489</v>
      </c>
      <c r="Y7" s="55"/>
      <c r="Z7" s="55">
        <v>44271</v>
      </c>
      <c r="AA7" s="55">
        <v>44264</v>
      </c>
      <c r="AB7" s="55">
        <v>44264</v>
      </c>
      <c r="AC7" s="55"/>
      <c r="AD7" s="55">
        <v>44489</v>
      </c>
      <c r="AE7" s="55"/>
      <c r="AF7" s="55">
        <v>44488</v>
      </c>
      <c r="AG7" s="55">
        <v>44418</v>
      </c>
      <c r="AH7" s="55">
        <v>44481</v>
      </c>
      <c r="AI7" s="55">
        <v>44357</v>
      </c>
      <c r="AJ7" s="55">
        <v>44488</v>
      </c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>
        <v>44487</v>
      </c>
      <c r="AV7" s="55">
        <v>44491</v>
      </c>
      <c r="AW7" s="55"/>
      <c r="AX7" s="55"/>
      <c r="AY7" s="55">
        <v>44491</v>
      </c>
      <c r="AZ7" s="55"/>
      <c r="BA7" s="55"/>
      <c r="BB7" s="55">
        <v>44445</v>
      </c>
      <c r="BC7" s="55">
        <v>44491</v>
      </c>
      <c r="BD7" s="55">
        <v>44491</v>
      </c>
      <c r="BE7" s="55"/>
      <c r="BF7" s="55"/>
      <c r="BG7" s="55"/>
      <c r="BH7" s="55"/>
      <c r="BI7" s="55"/>
      <c r="BJ7" s="55"/>
    </row>
    <row r="8" spans="1:62" x14ac:dyDescent="0.4">
      <c r="A8" s="5">
        <f t="shared" si="1"/>
        <v>32</v>
      </c>
      <c r="B8" s="3" t="s">
        <v>3</v>
      </c>
      <c r="C8" s="55">
        <v>44467</v>
      </c>
      <c r="D8" s="55">
        <v>44467</v>
      </c>
      <c r="E8" s="55">
        <v>44467</v>
      </c>
      <c r="F8" s="55">
        <v>44466</v>
      </c>
      <c r="G8" s="55"/>
      <c r="H8" s="55">
        <v>44467</v>
      </c>
      <c r="I8" s="55">
        <v>44466</v>
      </c>
      <c r="J8" s="55"/>
      <c r="K8" s="55"/>
      <c r="L8" s="55">
        <v>44466</v>
      </c>
      <c r="M8" s="55">
        <v>44467</v>
      </c>
      <c r="N8" s="55">
        <v>44467</v>
      </c>
      <c r="O8" s="55"/>
      <c r="P8" s="55">
        <v>44467</v>
      </c>
      <c r="Q8" s="55"/>
      <c r="R8" s="55"/>
      <c r="S8" s="55">
        <v>44467</v>
      </c>
      <c r="T8" s="55"/>
      <c r="U8" s="55">
        <v>44467</v>
      </c>
      <c r="V8" s="55">
        <v>44467</v>
      </c>
      <c r="W8" s="55"/>
      <c r="X8" s="55">
        <v>44466</v>
      </c>
      <c r="Y8" s="55"/>
      <c r="Z8" s="55">
        <v>44466</v>
      </c>
      <c r="AA8" s="55">
        <v>44466</v>
      </c>
      <c r="AB8" s="55">
        <v>44456</v>
      </c>
      <c r="AC8" s="55"/>
      <c r="AD8" s="55">
        <v>44467</v>
      </c>
      <c r="AE8" s="55"/>
      <c r="AF8" s="55">
        <v>44466</v>
      </c>
      <c r="AG8" s="55">
        <v>44467</v>
      </c>
      <c r="AH8" s="55">
        <v>44467</v>
      </c>
      <c r="AI8" s="55">
        <v>44467</v>
      </c>
      <c r="AJ8" s="55">
        <v>44467</v>
      </c>
      <c r="AK8" s="55"/>
      <c r="AL8" s="55"/>
      <c r="AM8" s="55"/>
      <c r="AN8" s="55"/>
      <c r="AO8" s="55">
        <v>44467</v>
      </c>
      <c r="AP8" s="55"/>
      <c r="AQ8" s="55">
        <v>44467</v>
      </c>
      <c r="AR8" s="55"/>
      <c r="AS8" s="55"/>
      <c r="AT8" s="55">
        <v>44466</v>
      </c>
      <c r="AU8" s="55">
        <v>44466</v>
      </c>
      <c r="AV8" s="55"/>
      <c r="AW8" s="55"/>
      <c r="AX8" s="55"/>
      <c r="AY8" s="55">
        <v>44467</v>
      </c>
      <c r="AZ8" s="55"/>
      <c r="BA8" s="55">
        <v>44467</v>
      </c>
      <c r="BB8" s="55">
        <v>44467</v>
      </c>
      <c r="BC8" s="55">
        <v>44467</v>
      </c>
      <c r="BD8" s="55">
        <v>44467</v>
      </c>
      <c r="BE8" s="55"/>
      <c r="BF8" s="55"/>
      <c r="BG8" s="55"/>
      <c r="BH8" s="55"/>
      <c r="BI8" s="55"/>
      <c r="BJ8" s="55"/>
    </row>
    <row r="9" spans="1:62" x14ac:dyDescent="0.4">
      <c r="A9" s="5">
        <f t="shared" si="1"/>
        <v>35</v>
      </c>
      <c r="B9" s="3" t="s">
        <v>4</v>
      </c>
      <c r="C9" s="55"/>
      <c r="D9" s="55">
        <v>44469</v>
      </c>
      <c r="E9" s="55">
        <v>44442</v>
      </c>
      <c r="F9" s="55">
        <v>44447</v>
      </c>
      <c r="G9" s="55">
        <v>44449</v>
      </c>
      <c r="H9" s="55">
        <v>44469</v>
      </c>
      <c r="I9" s="55">
        <v>44469</v>
      </c>
      <c r="J9" s="55">
        <v>44470</v>
      </c>
      <c r="K9" s="55"/>
      <c r="L9" s="55"/>
      <c r="M9" s="55">
        <v>44447</v>
      </c>
      <c r="N9" s="55">
        <v>44469</v>
      </c>
      <c r="O9" s="55">
        <v>44469</v>
      </c>
      <c r="P9" s="55">
        <v>44469</v>
      </c>
      <c r="Q9" s="55">
        <v>44369</v>
      </c>
      <c r="R9" s="55">
        <v>44355</v>
      </c>
      <c r="S9" s="55">
        <v>44355</v>
      </c>
      <c r="T9" s="55"/>
      <c r="U9" s="55">
        <v>44469</v>
      </c>
      <c r="V9" s="55">
        <v>44454</v>
      </c>
      <c r="W9" s="55"/>
      <c r="X9" s="55">
        <v>44454</v>
      </c>
      <c r="Y9" s="55"/>
      <c r="Z9" s="55">
        <v>44469</v>
      </c>
      <c r="AA9" s="55">
        <v>44369</v>
      </c>
      <c r="AB9" s="55">
        <v>44355</v>
      </c>
      <c r="AC9" s="55"/>
      <c r="AD9" s="55">
        <v>44369</v>
      </c>
      <c r="AE9" s="55">
        <v>44355</v>
      </c>
      <c r="AF9" s="55">
        <v>44356</v>
      </c>
      <c r="AG9" s="55">
        <v>44469</v>
      </c>
      <c r="AH9" s="55">
        <v>44357</v>
      </c>
      <c r="AI9" s="55">
        <v>44365</v>
      </c>
      <c r="AJ9" s="55">
        <v>44365</v>
      </c>
      <c r="AK9" s="55"/>
      <c r="AL9" s="55"/>
      <c r="AM9" s="55"/>
      <c r="AN9" s="55"/>
      <c r="AO9" s="55"/>
      <c r="AP9" s="55"/>
      <c r="AQ9" s="55"/>
      <c r="AR9" s="55"/>
      <c r="AS9" s="55"/>
      <c r="AT9" s="55">
        <v>44357</v>
      </c>
      <c r="AU9" s="55">
        <v>44357</v>
      </c>
      <c r="AV9" s="55"/>
      <c r="AW9" s="55"/>
      <c r="AX9" s="55"/>
      <c r="AY9" s="55">
        <v>44469</v>
      </c>
      <c r="AZ9" s="55">
        <v>44469</v>
      </c>
      <c r="BA9" s="55">
        <v>44355</v>
      </c>
      <c r="BB9" s="55">
        <v>44469</v>
      </c>
      <c r="BC9" s="55">
        <v>44356</v>
      </c>
      <c r="BD9" s="55">
        <v>44356</v>
      </c>
      <c r="BE9" s="55"/>
      <c r="BF9" s="55"/>
      <c r="BG9" s="55"/>
      <c r="BH9" s="55"/>
      <c r="BI9" s="55"/>
      <c r="BJ9" s="55"/>
    </row>
    <row r="10" spans="1:62" x14ac:dyDescent="0.4">
      <c r="A10" s="5">
        <f t="shared" si="1"/>
        <v>40</v>
      </c>
      <c r="B10" s="3" t="s">
        <v>5</v>
      </c>
      <c r="C10" s="55">
        <v>44370</v>
      </c>
      <c r="D10" s="55">
        <v>44186</v>
      </c>
      <c r="E10" s="56">
        <v>44195</v>
      </c>
      <c r="F10" s="56">
        <v>44022</v>
      </c>
      <c r="G10" s="56">
        <v>44127</v>
      </c>
      <c r="H10" s="55">
        <v>44186</v>
      </c>
      <c r="I10" s="55">
        <v>44376</v>
      </c>
      <c r="J10" s="56">
        <v>44378</v>
      </c>
      <c r="K10" s="55"/>
      <c r="L10" s="55"/>
      <c r="M10" s="56">
        <v>44376</v>
      </c>
      <c r="N10" s="56">
        <v>43538</v>
      </c>
      <c r="O10" s="55">
        <v>44376</v>
      </c>
      <c r="P10" s="55">
        <v>44383</v>
      </c>
      <c r="Q10" s="55">
        <v>44186</v>
      </c>
      <c r="R10" s="55">
        <v>44187</v>
      </c>
      <c r="S10" s="55">
        <v>44186</v>
      </c>
      <c r="T10" s="55"/>
      <c r="U10" s="56">
        <v>44027</v>
      </c>
      <c r="V10" s="55">
        <v>44369</v>
      </c>
      <c r="W10" s="55">
        <v>44376</v>
      </c>
      <c r="X10" s="55">
        <v>44195</v>
      </c>
      <c r="Y10" s="55"/>
      <c r="Z10" s="55">
        <v>44187</v>
      </c>
      <c r="AA10" s="55">
        <v>44370</v>
      </c>
      <c r="AB10" s="55">
        <v>44370</v>
      </c>
      <c r="AC10" s="55"/>
      <c r="AD10" s="55">
        <v>44369</v>
      </c>
      <c r="AE10" s="55"/>
      <c r="AF10" s="55"/>
      <c r="AG10" s="55"/>
      <c r="AH10" s="56">
        <v>44188</v>
      </c>
      <c r="AI10" s="56">
        <v>44026</v>
      </c>
      <c r="AJ10" s="56">
        <v>44026</v>
      </c>
      <c r="AK10" s="55">
        <v>44188</v>
      </c>
      <c r="AL10" s="55"/>
      <c r="AM10" s="55"/>
      <c r="AN10" s="55"/>
      <c r="AO10" s="55"/>
      <c r="AP10" s="55"/>
      <c r="AQ10" s="55">
        <v>44146</v>
      </c>
      <c r="AR10" s="55">
        <v>44475</v>
      </c>
      <c r="AS10" s="55"/>
      <c r="AT10" s="55">
        <v>44369</v>
      </c>
      <c r="AU10" s="55">
        <v>44375</v>
      </c>
      <c r="AV10" s="56">
        <v>44025</v>
      </c>
      <c r="AW10" s="55"/>
      <c r="AX10" s="55"/>
      <c r="AY10" s="56">
        <v>44195</v>
      </c>
      <c r="AZ10" s="55">
        <v>44369</v>
      </c>
      <c r="BA10" s="56">
        <v>44195</v>
      </c>
      <c r="BB10" s="55">
        <v>44369</v>
      </c>
      <c r="BC10" s="56">
        <v>44188</v>
      </c>
      <c r="BD10" s="56">
        <v>44188</v>
      </c>
      <c r="BE10" s="56">
        <v>44130</v>
      </c>
      <c r="BF10" s="55"/>
      <c r="BG10" s="55">
        <v>44376</v>
      </c>
      <c r="BH10" s="55"/>
      <c r="BI10" s="55"/>
      <c r="BJ10" s="55"/>
    </row>
    <row r="11" spans="1:62" x14ac:dyDescent="0.4">
      <c r="A11" s="5">
        <f t="shared" si="1"/>
        <v>21</v>
      </c>
      <c r="B11" s="3" t="s">
        <v>6</v>
      </c>
      <c r="C11" s="55">
        <v>44392</v>
      </c>
      <c r="D11" s="55">
        <v>44372</v>
      </c>
      <c r="E11" s="55">
        <v>44426</v>
      </c>
      <c r="F11" s="55">
        <v>44420</v>
      </c>
      <c r="G11" s="55"/>
      <c r="H11" s="55">
        <v>44377</v>
      </c>
      <c r="I11" s="55"/>
      <c r="J11" s="55"/>
      <c r="K11" s="55"/>
      <c r="L11" s="55"/>
      <c r="M11" s="55">
        <v>44447</v>
      </c>
      <c r="N11" s="55">
        <v>44259</v>
      </c>
      <c r="O11" s="55"/>
      <c r="P11" s="55"/>
      <c r="Q11" s="55"/>
      <c r="R11" s="55"/>
      <c r="S11" s="55"/>
      <c r="T11" s="55"/>
      <c r="U11" s="55">
        <v>44267</v>
      </c>
      <c r="V11" s="55">
        <v>44301</v>
      </c>
      <c r="W11" s="55"/>
      <c r="X11" s="55"/>
      <c r="Y11" s="55"/>
      <c r="Z11" s="55"/>
      <c r="AA11" s="55"/>
      <c r="AB11" s="55">
        <v>44273</v>
      </c>
      <c r="AC11" s="55"/>
      <c r="AD11" s="55"/>
      <c r="AE11" s="55"/>
      <c r="AF11" s="55"/>
      <c r="AG11" s="55"/>
      <c r="AH11" s="55">
        <v>44421</v>
      </c>
      <c r="AI11" s="55">
        <v>44316</v>
      </c>
      <c r="AJ11" s="55">
        <v>44319</v>
      </c>
      <c r="AK11" s="55"/>
      <c r="AL11" s="55"/>
      <c r="AM11" s="55"/>
      <c r="AN11" s="55"/>
      <c r="AO11" s="55"/>
      <c r="AP11" s="55"/>
      <c r="AQ11" s="55"/>
      <c r="AR11" s="55">
        <v>44370</v>
      </c>
      <c r="AS11" s="55"/>
      <c r="AT11" s="55"/>
      <c r="AU11" s="55">
        <v>44431</v>
      </c>
      <c r="AV11" s="55"/>
      <c r="AW11" s="55"/>
      <c r="AX11" s="55"/>
      <c r="AY11" s="55">
        <v>44378</v>
      </c>
      <c r="AZ11" s="55"/>
      <c r="BA11" s="55">
        <v>44426</v>
      </c>
      <c r="BB11" s="55">
        <v>44420</v>
      </c>
      <c r="BC11" s="55">
        <v>44439</v>
      </c>
      <c r="BD11" s="55">
        <v>44439</v>
      </c>
      <c r="BE11" s="55"/>
      <c r="BF11" s="55"/>
      <c r="BG11" s="55">
        <v>44428</v>
      </c>
      <c r="BH11" s="55"/>
      <c r="BI11" s="55"/>
      <c r="BJ11" s="55"/>
    </row>
    <row r="12" spans="1:62" x14ac:dyDescent="0.4">
      <c r="A12" s="5">
        <f t="shared" si="1"/>
        <v>31</v>
      </c>
      <c r="B12" s="3" t="s">
        <v>7</v>
      </c>
      <c r="C12" s="56">
        <v>44125</v>
      </c>
      <c r="D12" s="55">
        <v>44147</v>
      </c>
      <c r="E12" s="55">
        <v>44482</v>
      </c>
      <c r="F12" s="55">
        <v>44482</v>
      </c>
      <c r="G12" s="55">
        <v>44482</v>
      </c>
      <c r="H12" s="56">
        <v>44125</v>
      </c>
      <c r="I12" s="55">
        <v>44467</v>
      </c>
      <c r="J12" s="55">
        <v>44438</v>
      </c>
      <c r="K12" s="55"/>
      <c r="L12" s="55"/>
      <c r="M12" s="55">
        <v>44482</v>
      </c>
      <c r="N12" s="55">
        <v>44334</v>
      </c>
      <c r="O12" s="55"/>
      <c r="P12" s="55">
        <v>44174</v>
      </c>
      <c r="Q12" s="56">
        <v>44125</v>
      </c>
      <c r="R12" s="55"/>
      <c r="S12" s="55"/>
      <c r="T12" s="55"/>
      <c r="U12" s="56">
        <v>44125</v>
      </c>
      <c r="V12" s="55">
        <v>44174</v>
      </c>
      <c r="W12" s="56">
        <v>44022</v>
      </c>
      <c r="X12" s="56">
        <v>43969</v>
      </c>
      <c r="Y12" s="55">
        <v>44481</v>
      </c>
      <c r="Z12" s="56">
        <v>44125</v>
      </c>
      <c r="AA12" s="56">
        <v>44125</v>
      </c>
      <c r="AB12" s="55">
        <v>44174</v>
      </c>
      <c r="AC12" s="56">
        <v>44125</v>
      </c>
      <c r="AD12" s="55"/>
      <c r="AE12" s="55"/>
      <c r="AF12" s="55"/>
      <c r="AG12" s="55"/>
      <c r="AH12" s="55">
        <v>44435</v>
      </c>
      <c r="AI12" s="56">
        <v>44125</v>
      </c>
      <c r="AJ12" s="55">
        <v>44433</v>
      </c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6">
        <v>44316</v>
      </c>
      <c r="AV12" s="55"/>
      <c r="AW12" s="55"/>
      <c r="AX12" s="55"/>
      <c r="AY12" s="56">
        <v>44154</v>
      </c>
      <c r="AZ12" s="55"/>
      <c r="BA12" s="55">
        <v>44467</v>
      </c>
      <c r="BB12" s="55">
        <v>44425</v>
      </c>
      <c r="BC12" s="55">
        <v>44482</v>
      </c>
      <c r="BD12" s="56">
        <v>44153</v>
      </c>
      <c r="BE12" s="55"/>
      <c r="BF12" s="55"/>
      <c r="BG12" s="56">
        <v>44154</v>
      </c>
      <c r="BH12" s="55"/>
      <c r="BI12" s="55"/>
      <c r="BJ12" s="55"/>
    </row>
    <row r="13" spans="1:62" x14ac:dyDescent="0.4">
      <c r="A13" s="5">
        <f t="shared" si="1"/>
        <v>29</v>
      </c>
      <c r="B13" s="3" t="s">
        <v>8</v>
      </c>
      <c r="C13" s="55">
        <v>44498</v>
      </c>
      <c r="D13" s="55">
        <v>44363</v>
      </c>
      <c r="E13" s="55">
        <v>44448</v>
      </c>
      <c r="F13" s="55"/>
      <c r="G13" s="55">
        <v>44445</v>
      </c>
      <c r="H13" s="55">
        <v>44270</v>
      </c>
      <c r="I13" s="55">
        <v>44410</v>
      </c>
      <c r="J13" s="56">
        <v>44404</v>
      </c>
      <c r="K13" s="55"/>
      <c r="L13" s="55"/>
      <c r="M13" s="56">
        <v>44391</v>
      </c>
      <c r="N13" s="55">
        <v>44454</v>
      </c>
      <c r="O13" s="55">
        <v>44363</v>
      </c>
      <c r="P13" s="55">
        <v>44363</v>
      </c>
      <c r="Q13" s="55"/>
      <c r="R13" s="55"/>
      <c r="S13" s="55">
        <v>44365</v>
      </c>
      <c r="T13" s="55"/>
      <c r="U13" s="55">
        <v>44362</v>
      </c>
      <c r="V13" s="55">
        <v>44298</v>
      </c>
      <c r="W13" s="55">
        <v>44364</v>
      </c>
      <c r="X13" s="55">
        <v>44391</v>
      </c>
      <c r="Y13" s="55"/>
      <c r="Z13" s="55"/>
      <c r="AA13" s="55">
        <v>44392</v>
      </c>
      <c r="AB13" s="55">
        <v>44376</v>
      </c>
      <c r="AC13" s="55">
        <v>44333</v>
      </c>
      <c r="AD13" s="55"/>
      <c r="AE13" s="55"/>
      <c r="AF13" s="55"/>
      <c r="AG13" s="55"/>
      <c r="AH13" s="55">
        <v>44357</v>
      </c>
      <c r="AI13" s="55">
        <v>44301</v>
      </c>
      <c r="AJ13" s="55">
        <v>44274</v>
      </c>
      <c r="AK13" s="55">
        <v>44354</v>
      </c>
      <c r="AL13" s="55"/>
      <c r="AM13" s="55"/>
      <c r="AN13" s="55"/>
      <c r="AO13" s="55"/>
      <c r="AP13" s="55"/>
      <c r="AQ13" s="55"/>
      <c r="AR13" s="55"/>
      <c r="AS13" s="55"/>
      <c r="AT13" s="55"/>
      <c r="AU13" s="55">
        <v>44468</v>
      </c>
      <c r="AV13" s="55"/>
      <c r="AW13" s="55"/>
      <c r="AX13" s="55"/>
      <c r="AY13" s="55">
        <v>44488</v>
      </c>
      <c r="AZ13" s="55"/>
      <c r="BA13" s="55">
        <v>44433</v>
      </c>
      <c r="BB13" s="55">
        <v>44448</v>
      </c>
      <c r="BC13" s="55">
        <v>44495</v>
      </c>
      <c r="BD13" s="55">
        <v>44449</v>
      </c>
      <c r="BE13" s="55"/>
      <c r="BF13" s="55"/>
      <c r="BG13" s="55"/>
      <c r="BH13" s="55"/>
      <c r="BI13" s="55"/>
      <c r="BJ13" s="55"/>
    </row>
    <row r="14" spans="1:62" x14ac:dyDescent="0.4">
      <c r="A14" s="5">
        <f t="shared" si="1"/>
        <v>35</v>
      </c>
      <c r="B14" s="3" t="s">
        <v>9</v>
      </c>
      <c r="C14" s="55">
        <v>44498</v>
      </c>
      <c r="D14" s="55">
        <v>44434</v>
      </c>
      <c r="E14" s="55">
        <v>44503</v>
      </c>
      <c r="F14" s="55">
        <v>44482</v>
      </c>
      <c r="G14" s="55">
        <v>44482</v>
      </c>
      <c r="H14" s="55">
        <v>44440</v>
      </c>
      <c r="I14" s="55">
        <v>44342</v>
      </c>
      <c r="J14" s="55">
        <v>44481</v>
      </c>
      <c r="K14" s="55"/>
      <c r="L14" s="55"/>
      <c r="M14" s="55">
        <v>44482</v>
      </c>
      <c r="N14" s="55">
        <v>44342</v>
      </c>
      <c r="O14" s="55"/>
      <c r="P14" s="55">
        <v>44440</v>
      </c>
      <c r="Q14" s="55">
        <v>44377</v>
      </c>
      <c r="R14" s="55"/>
      <c r="S14" s="55">
        <v>44440</v>
      </c>
      <c r="T14" s="55"/>
      <c r="U14" s="55">
        <v>44432</v>
      </c>
      <c r="V14" s="55">
        <v>44351</v>
      </c>
      <c r="W14" s="55">
        <v>44498</v>
      </c>
      <c r="X14" s="55">
        <v>44382</v>
      </c>
      <c r="Y14" s="55">
        <v>44495</v>
      </c>
      <c r="Z14" s="55">
        <v>44426</v>
      </c>
      <c r="AA14" s="55">
        <v>44434</v>
      </c>
      <c r="AB14" s="55">
        <v>44440</v>
      </c>
      <c r="AC14" s="55"/>
      <c r="AD14" s="55">
        <v>44371</v>
      </c>
      <c r="AE14" s="55"/>
      <c r="AF14" s="55">
        <v>44503</v>
      </c>
      <c r="AG14" s="55">
        <v>44503</v>
      </c>
      <c r="AH14" s="55"/>
      <c r="AI14" s="55">
        <v>44356</v>
      </c>
      <c r="AJ14" s="55">
        <v>44356</v>
      </c>
      <c r="AK14" s="55"/>
      <c r="AL14" s="55"/>
      <c r="AM14" s="55"/>
      <c r="AN14" s="55"/>
      <c r="AO14" s="55"/>
      <c r="AP14" s="55"/>
      <c r="AQ14" s="55"/>
      <c r="AR14" s="55">
        <v>44503</v>
      </c>
      <c r="AS14" s="55"/>
      <c r="AT14" s="55"/>
      <c r="AU14" s="55">
        <v>44503</v>
      </c>
      <c r="AV14" s="55"/>
      <c r="AW14" s="55"/>
      <c r="AX14" s="55">
        <v>44356</v>
      </c>
      <c r="AY14" s="55">
        <v>44503</v>
      </c>
      <c r="AZ14" s="55"/>
      <c r="BA14" s="55">
        <v>44503</v>
      </c>
      <c r="BB14" s="55">
        <v>44481</v>
      </c>
      <c r="BC14" s="55">
        <v>44498</v>
      </c>
      <c r="BD14" s="55">
        <v>44503</v>
      </c>
      <c r="BE14" s="55"/>
      <c r="BF14" s="55"/>
      <c r="BG14" s="55">
        <v>44407</v>
      </c>
      <c r="BH14" s="55"/>
      <c r="BI14" s="55"/>
      <c r="BJ14" s="55"/>
    </row>
    <row r="15" spans="1:62" x14ac:dyDescent="0.4">
      <c r="A15" s="5">
        <f t="shared" si="1"/>
        <v>23</v>
      </c>
      <c r="B15" s="3" t="s">
        <v>23</v>
      </c>
      <c r="C15" s="56">
        <v>42884</v>
      </c>
      <c r="D15" s="56">
        <v>43671</v>
      </c>
      <c r="E15" s="56">
        <v>43714</v>
      </c>
      <c r="F15" s="56">
        <v>43276</v>
      </c>
      <c r="G15" s="56">
        <v>43276</v>
      </c>
      <c r="H15" s="56">
        <v>43276</v>
      </c>
      <c r="I15" s="56">
        <v>43277</v>
      </c>
      <c r="J15" s="56">
        <v>43277</v>
      </c>
      <c r="K15" s="55"/>
      <c r="L15" s="56">
        <v>43739</v>
      </c>
      <c r="M15" s="56">
        <v>43745</v>
      </c>
      <c r="N15" s="56">
        <v>43276</v>
      </c>
      <c r="O15" s="55"/>
      <c r="P15" s="56">
        <v>43276</v>
      </c>
      <c r="Q15" s="56">
        <v>43742</v>
      </c>
      <c r="R15" s="55"/>
      <c r="S15" s="56">
        <v>43276</v>
      </c>
      <c r="T15" s="55"/>
      <c r="U15" s="56">
        <v>43740</v>
      </c>
      <c r="V15" s="56">
        <v>43276</v>
      </c>
      <c r="W15" s="55"/>
      <c r="X15" s="55"/>
      <c r="Y15" s="55"/>
      <c r="Z15" s="56">
        <v>43276</v>
      </c>
      <c r="AA15" s="55"/>
      <c r="AB15" s="56">
        <v>43739</v>
      </c>
      <c r="AC15" s="55"/>
      <c r="AD15" s="56">
        <v>43560</v>
      </c>
      <c r="AE15" s="56">
        <v>43276</v>
      </c>
      <c r="AF15" s="55"/>
      <c r="AG15" s="55"/>
      <c r="AH15" s="56">
        <v>43861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>
        <v>44432</v>
      </c>
      <c r="BC15" s="55"/>
      <c r="BD15" s="56">
        <v>43679</v>
      </c>
      <c r="BE15" s="55"/>
      <c r="BF15" s="55"/>
      <c r="BG15" s="55"/>
      <c r="BH15" s="55"/>
      <c r="BI15" s="55"/>
      <c r="BJ15" s="55"/>
    </row>
    <row r="16" spans="1:62" x14ac:dyDescent="0.4">
      <c r="A16" s="5">
        <f t="shared" si="1"/>
        <v>30</v>
      </c>
      <c r="B16" s="3" t="s">
        <v>10</v>
      </c>
      <c r="C16" s="55">
        <v>44454</v>
      </c>
      <c r="D16" s="55">
        <v>44453</v>
      </c>
      <c r="E16" s="55">
        <v>44454</v>
      </c>
      <c r="F16" s="55">
        <v>44452</v>
      </c>
      <c r="G16" s="55">
        <v>44453</v>
      </c>
      <c r="H16" s="55">
        <v>44452</v>
      </c>
      <c r="I16" s="55">
        <v>44453</v>
      </c>
      <c r="J16" s="55">
        <v>44453</v>
      </c>
      <c r="K16" s="55"/>
      <c r="L16" s="55"/>
      <c r="M16" s="55">
        <v>44453</v>
      </c>
      <c r="N16" s="55">
        <v>44453</v>
      </c>
      <c r="O16" s="55">
        <v>44454</v>
      </c>
      <c r="P16" s="55">
        <v>44456</v>
      </c>
      <c r="Q16" s="55">
        <v>44453</v>
      </c>
      <c r="R16" s="55"/>
      <c r="S16" s="55">
        <v>44453</v>
      </c>
      <c r="T16" s="55"/>
      <c r="U16" s="55">
        <v>44453</v>
      </c>
      <c r="V16" s="55">
        <v>44452</v>
      </c>
      <c r="W16" s="55"/>
      <c r="X16" s="55"/>
      <c r="Y16" s="55"/>
      <c r="Z16" s="55">
        <v>44452</v>
      </c>
      <c r="AA16" s="55">
        <v>44452</v>
      </c>
      <c r="AB16" s="55">
        <v>44452</v>
      </c>
      <c r="AC16" s="55"/>
      <c r="AD16" s="55">
        <v>44452</v>
      </c>
      <c r="AE16" s="55"/>
      <c r="AF16" s="55">
        <v>44452</v>
      </c>
      <c r="AG16" s="55">
        <v>44452</v>
      </c>
      <c r="AH16" s="55">
        <v>44452</v>
      </c>
      <c r="AI16" s="55">
        <v>44452</v>
      </c>
      <c r="AJ16" s="55">
        <v>44452</v>
      </c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>
        <v>44452</v>
      </c>
      <c r="AV16" s="55"/>
      <c r="AW16" s="55"/>
      <c r="AX16" s="55"/>
      <c r="AY16" s="55"/>
      <c r="AZ16" s="55"/>
      <c r="BA16" s="55">
        <v>44454</v>
      </c>
      <c r="BB16" s="55">
        <v>44453</v>
      </c>
      <c r="BC16" s="55">
        <v>44452</v>
      </c>
      <c r="BD16" s="55">
        <v>44452</v>
      </c>
      <c r="BE16" s="55"/>
      <c r="BF16" s="55"/>
      <c r="BG16" s="55"/>
      <c r="BH16" s="55"/>
      <c r="BI16" s="55"/>
      <c r="BJ16" s="55"/>
    </row>
    <row r="17" spans="1:62" x14ac:dyDescent="0.4">
      <c r="A17" s="5">
        <f t="shared" si="1"/>
        <v>34</v>
      </c>
      <c r="B17" s="3" t="s">
        <v>11</v>
      </c>
      <c r="C17" s="55">
        <v>44322</v>
      </c>
      <c r="D17" s="55">
        <v>44333</v>
      </c>
      <c r="E17" s="56">
        <v>44315</v>
      </c>
      <c r="F17" s="56">
        <v>44379</v>
      </c>
      <c r="G17" s="56">
        <v>44379</v>
      </c>
      <c r="H17" s="55">
        <v>44426</v>
      </c>
      <c r="I17" s="55">
        <v>44299</v>
      </c>
      <c r="J17" s="55">
        <v>44435</v>
      </c>
      <c r="K17" s="55"/>
      <c r="L17" s="55">
        <v>44188</v>
      </c>
      <c r="M17" s="55">
        <v>44445</v>
      </c>
      <c r="N17" s="55">
        <v>44277</v>
      </c>
      <c r="O17" s="55"/>
      <c r="P17" s="55">
        <v>44426</v>
      </c>
      <c r="Q17" s="55"/>
      <c r="R17" s="55"/>
      <c r="S17" s="55">
        <v>44319</v>
      </c>
      <c r="T17" s="55"/>
      <c r="U17" s="55">
        <v>44313</v>
      </c>
      <c r="V17" s="55">
        <v>44379</v>
      </c>
      <c r="W17" s="55"/>
      <c r="X17" s="55">
        <v>44404</v>
      </c>
      <c r="Y17" s="55"/>
      <c r="Z17" s="55">
        <v>44292</v>
      </c>
      <c r="AA17" s="55">
        <v>44426</v>
      </c>
      <c r="AB17" s="55">
        <v>44379</v>
      </c>
      <c r="AC17" s="55">
        <v>44404</v>
      </c>
      <c r="AD17" s="55">
        <v>44333</v>
      </c>
      <c r="AE17" s="55">
        <v>44319</v>
      </c>
      <c r="AF17" s="55"/>
      <c r="AG17" s="55"/>
      <c r="AH17" s="55">
        <v>44463</v>
      </c>
      <c r="AI17" s="55">
        <v>44274</v>
      </c>
      <c r="AJ17" s="55">
        <v>44313</v>
      </c>
      <c r="AK17" s="55"/>
      <c r="AL17" s="55"/>
      <c r="AM17" s="55"/>
      <c r="AN17" s="55"/>
      <c r="AO17" s="55"/>
      <c r="AP17" s="55"/>
      <c r="AQ17" s="55"/>
      <c r="AR17" s="55">
        <v>44445</v>
      </c>
      <c r="AS17" s="55"/>
      <c r="AT17" s="55">
        <v>44319</v>
      </c>
      <c r="AU17" s="55">
        <v>44319</v>
      </c>
      <c r="AV17" s="55"/>
      <c r="AW17" s="55"/>
      <c r="AX17" s="55">
        <v>44426</v>
      </c>
      <c r="AY17" s="55">
        <v>44319</v>
      </c>
      <c r="AZ17" s="55"/>
      <c r="BA17" s="55">
        <v>44362</v>
      </c>
      <c r="BB17" s="55">
        <v>44445</v>
      </c>
      <c r="BC17" s="56">
        <v>44307</v>
      </c>
      <c r="BD17" s="56">
        <v>44302</v>
      </c>
      <c r="BE17" s="55"/>
      <c r="BF17" s="55"/>
      <c r="BG17" s="55"/>
      <c r="BH17" s="55"/>
      <c r="BI17" s="55"/>
      <c r="BJ17" s="55"/>
    </row>
    <row r="18" spans="1:62" x14ac:dyDescent="0.4">
      <c r="A18" s="5">
        <f t="shared" si="1"/>
        <v>40</v>
      </c>
      <c r="B18" s="3" t="s">
        <v>12</v>
      </c>
      <c r="C18" s="56">
        <v>44134</v>
      </c>
      <c r="D18" s="55">
        <v>44410</v>
      </c>
      <c r="E18" s="55">
        <v>44371</v>
      </c>
      <c r="F18" s="55">
        <v>44425</v>
      </c>
      <c r="G18" s="56">
        <v>43704</v>
      </c>
      <c r="H18" s="56">
        <v>44127</v>
      </c>
      <c r="I18" s="55">
        <v>44370</v>
      </c>
      <c r="J18" s="56">
        <v>43699</v>
      </c>
      <c r="K18" s="55"/>
      <c r="L18" s="55">
        <v>44371</v>
      </c>
      <c r="M18" s="56">
        <v>44371</v>
      </c>
      <c r="N18" s="55">
        <v>44326</v>
      </c>
      <c r="O18" s="55"/>
      <c r="P18" s="56">
        <v>44124</v>
      </c>
      <c r="Q18" s="55">
        <v>44413</v>
      </c>
      <c r="R18" s="55">
        <v>44413</v>
      </c>
      <c r="S18" s="55">
        <v>44413</v>
      </c>
      <c r="T18" s="55"/>
      <c r="U18" s="55">
        <v>44420</v>
      </c>
      <c r="V18" s="55">
        <v>44413</v>
      </c>
      <c r="W18" s="55"/>
      <c r="X18" s="55">
        <v>44425</v>
      </c>
      <c r="Y18" s="55"/>
      <c r="Z18" s="55">
        <v>44413</v>
      </c>
      <c r="AA18" s="55">
        <v>44410</v>
      </c>
      <c r="AB18" s="55">
        <v>44413</v>
      </c>
      <c r="AC18" s="55"/>
      <c r="AD18" s="56">
        <v>44123</v>
      </c>
      <c r="AE18" s="55"/>
      <c r="AF18" s="56">
        <v>44123</v>
      </c>
      <c r="AG18" s="55">
        <v>44432</v>
      </c>
      <c r="AH18" s="55">
        <v>44371</v>
      </c>
      <c r="AI18" s="55">
        <v>44420</v>
      </c>
      <c r="AJ18" s="55">
        <v>44425</v>
      </c>
      <c r="AK18" s="55">
        <v>44425</v>
      </c>
      <c r="AL18" s="55"/>
      <c r="AM18" s="55"/>
      <c r="AN18" s="55">
        <v>44371</v>
      </c>
      <c r="AO18" s="55"/>
      <c r="AP18" s="55"/>
      <c r="AQ18" s="56">
        <v>44123</v>
      </c>
      <c r="AR18" s="55">
        <v>44405</v>
      </c>
      <c r="AS18" s="55"/>
      <c r="AT18" s="56">
        <v>44123</v>
      </c>
      <c r="AU18" s="55">
        <v>44410</v>
      </c>
      <c r="AV18" s="55">
        <v>44425</v>
      </c>
      <c r="AW18" s="55"/>
      <c r="AX18" s="56">
        <v>44036</v>
      </c>
      <c r="AY18" s="56">
        <v>44126</v>
      </c>
      <c r="AZ18" s="55"/>
      <c r="BA18" s="56">
        <v>44123</v>
      </c>
      <c r="BB18" s="55">
        <v>44467</v>
      </c>
      <c r="BC18" s="56">
        <v>44126</v>
      </c>
      <c r="BD18" s="55">
        <v>44419</v>
      </c>
      <c r="BE18" s="55"/>
      <c r="BF18" s="55"/>
      <c r="BG18" s="55"/>
      <c r="BH18" s="55"/>
      <c r="BI18" s="55"/>
      <c r="BJ18" s="55"/>
    </row>
    <row r="19" spans="1:62" x14ac:dyDescent="0.4">
      <c r="A19" s="5">
        <f t="shared" si="1"/>
        <v>18</v>
      </c>
      <c r="B19" s="3" t="s">
        <v>24</v>
      </c>
      <c r="C19" s="55"/>
      <c r="D19" s="55">
        <v>44182</v>
      </c>
      <c r="E19" s="56">
        <v>44050</v>
      </c>
      <c r="F19" s="56">
        <v>43978</v>
      </c>
      <c r="G19" s="55"/>
      <c r="H19" s="55">
        <v>44414</v>
      </c>
      <c r="I19" s="55">
        <v>44434</v>
      </c>
      <c r="J19" s="55">
        <v>44420</v>
      </c>
      <c r="K19" s="55"/>
      <c r="L19" s="55">
        <v>44420</v>
      </c>
      <c r="M19" s="55">
        <v>44413</v>
      </c>
      <c r="N19" s="55">
        <v>44445</v>
      </c>
      <c r="O19" s="55"/>
      <c r="P19" s="55">
        <v>44420</v>
      </c>
      <c r="Q19" s="55"/>
      <c r="R19" s="55"/>
      <c r="S19" s="55"/>
      <c r="T19" s="55"/>
      <c r="U19" s="55"/>
      <c r="V19" s="55">
        <v>44420</v>
      </c>
      <c r="W19" s="55"/>
      <c r="X19" s="56">
        <v>44133</v>
      </c>
      <c r="Y19" s="55"/>
      <c r="Z19" s="55"/>
      <c r="AA19" s="55"/>
      <c r="AB19" s="55">
        <v>44432</v>
      </c>
      <c r="AC19" s="55"/>
      <c r="AD19" s="55"/>
      <c r="AE19" s="55"/>
      <c r="AF19" s="55">
        <v>44326</v>
      </c>
      <c r="AG19" s="55"/>
      <c r="AH19" s="55">
        <v>44439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6">
        <v>44133</v>
      </c>
      <c r="AS19" s="55"/>
      <c r="AT19" s="55"/>
      <c r="AU19" s="55">
        <v>44413</v>
      </c>
      <c r="AV19" s="55"/>
      <c r="AW19" s="55"/>
      <c r="AX19" s="55"/>
      <c r="AY19" s="55"/>
      <c r="AZ19" s="55"/>
      <c r="BA19" s="55"/>
      <c r="BB19" s="55"/>
      <c r="BC19" s="55"/>
      <c r="BD19" s="55">
        <v>44420</v>
      </c>
      <c r="BE19" s="55"/>
      <c r="BF19" s="55"/>
      <c r="BG19" s="55"/>
      <c r="BH19" s="55"/>
      <c r="BI19" s="55"/>
      <c r="BJ19" s="55"/>
    </row>
    <row r="20" spans="1:62" x14ac:dyDescent="0.4">
      <c r="A20" s="5">
        <f t="shared" si="1"/>
        <v>31</v>
      </c>
      <c r="B20" s="3" t="s">
        <v>13</v>
      </c>
      <c r="C20" s="55">
        <v>44336</v>
      </c>
      <c r="D20" s="55">
        <v>44327</v>
      </c>
      <c r="E20" s="55">
        <v>44372</v>
      </c>
      <c r="F20" s="55">
        <v>44433</v>
      </c>
      <c r="G20" s="55">
        <v>44468</v>
      </c>
      <c r="H20" s="55">
        <v>44469</v>
      </c>
      <c r="I20" s="55">
        <v>44305</v>
      </c>
      <c r="J20" s="55">
        <v>44468</v>
      </c>
      <c r="K20" s="55"/>
      <c r="L20" s="55"/>
      <c r="M20" s="55">
        <v>44463</v>
      </c>
      <c r="N20" s="55">
        <v>44327</v>
      </c>
      <c r="O20" s="55"/>
      <c r="P20" s="55">
        <v>44372</v>
      </c>
      <c r="Q20" s="55">
        <v>44433</v>
      </c>
      <c r="R20" s="55"/>
      <c r="S20" s="55"/>
      <c r="T20" s="55"/>
      <c r="U20" s="55">
        <v>44348</v>
      </c>
      <c r="V20" s="55">
        <v>44337</v>
      </c>
      <c r="W20" s="55">
        <v>44348</v>
      </c>
      <c r="X20" s="55">
        <v>44336</v>
      </c>
      <c r="Y20" s="55"/>
      <c r="Z20" s="55"/>
      <c r="AA20" s="55">
        <v>44342</v>
      </c>
      <c r="AB20" s="55">
        <v>44342</v>
      </c>
      <c r="AC20" s="55"/>
      <c r="AD20" s="55">
        <v>44433</v>
      </c>
      <c r="AE20" s="55"/>
      <c r="AF20" s="55">
        <v>44372</v>
      </c>
      <c r="AG20" s="55">
        <v>44327</v>
      </c>
      <c r="AH20" s="55">
        <v>44340</v>
      </c>
      <c r="AI20" s="55">
        <v>44384</v>
      </c>
      <c r="AJ20" s="55">
        <v>44368</v>
      </c>
      <c r="AK20" s="55"/>
      <c r="AL20" s="55"/>
      <c r="AM20" s="55"/>
      <c r="AN20" s="55"/>
      <c r="AO20" s="55"/>
      <c r="AP20" s="55"/>
      <c r="AQ20" s="55"/>
      <c r="AR20" s="55"/>
      <c r="AS20" s="55"/>
      <c r="AT20" s="55">
        <v>44344</v>
      </c>
      <c r="AU20" s="55">
        <v>44372</v>
      </c>
      <c r="AV20" s="55"/>
      <c r="AW20" s="55"/>
      <c r="AX20" s="55"/>
      <c r="AY20" s="55">
        <v>44372</v>
      </c>
      <c r="AZ20" s="55"/>
      <c r="BA20" s="55">
        <v>44372</v>
      </c>
      <c r="BB20" s="55">
        <v>44418</v>
      </c>
      <c r="BC20" s="55">
        <v>44407</v>
      </c>
      <c r="BD20" s="55">
        <v>44384</v>
      </c>
      <c r="BE20" s="55"/>
      <c r="BF20" s="55"/>
      <c r="BG20" s="55"/>
      <c r="BH20" s="55"/>
      <c r="BI20" s="55"/>
      <c r="BJ20" s="55"/>
    </row>
    <row r="21" spans="1:62" x14ac:dyDescent="0.4">
      <c r="A21" s="5">
        <f t="shared" si="1"/>
        <v>38</v>
      </c>
      <c r="B21" s="3" t="s">
        <v>14</v>
      </c>
      <c r="C21" s="55">
        <v>44438</v>
      </c>
      <c r="D21" s="55">
        <v>44284</v>
      </c>
      <c r="E21" s="55">
        <v>44425</v>
      </c>
      <c r="F21" s="55">
        <v>44489</v>
      </c>
      <c r="G21" s="55">
        <v>44489</v>
      </c>
      <c r="H21" s="55">
        <v>44273</v>
      </c>
      <c r="I21" s="55">
        <v>44264</v>
      </c>
      <c r="J21" s="55">
        <v>44484</v>
      </c>
      <c r="K21" s="55"/>
      <c r="L21" s="55">
        <v>44260</v>
      </c>
      <c r="M21" s="55">
        <v>44483</v>
      </c>
      <c r="N21" s="55">
        <v>44264</v>
      </c>
      <c r="O21" s="55"/>
      <c r="P21" s="55">
        <v>44284</v>
      </c>
      <c r="Q21" s="55">
        <v>44284</v>
      </c>
      <c r="R21" s="55">
        <v>44274</v>
      </c>
      <c r="S21" s="55">
        <v>44267</v>
      </c>
      <c r="T21" s="55"/>
      <c r="U21" s="55">
        <v>44278</v>
      </c>
      <c r="V21" s="55">
        <v>44295</v>
      </c>
      <c r="W21" s="55">
        <v>44438</v>
      </c>
      <c r="X21" s="55">
        <v>44278</v>
      </c>
      <c r="Y21" s="55"/>
      <c r="Z21" s="55">
        <v>44273</v>
      </c>
      <c r="AA21" s="55">
        <v>44267</v>
      </c>
      <c r="AB21" s="55">
        <v>44277</v>
      </c>
      <c r="AC21" s="55">
        <v>44277</v>
      </c>
      <c r="AD21" s="55">
        <v>44284</v>
      </c>
      <c r="AE21" s="55"/>
      <c r="AF21" s="55">
        <v>44425</v>
      </c>
      <c r="AG21" s="55">
        <v>44428</v>
      </c>
      <c r="AH21" s="55">
        <v>44426</v>
      </c>
      <c r="AI21" s="55">
        <v>44267</v>
      </c>
      <c r="AJ21" s="55">
        <v>44267</v>
      </c>
      <c r="AK21" s="55"/>
      <c r="AL21" s="55"/>
      <c r="AM21" s="55"/>
      <c r="AN21" s="55"/>
      <c r="AO21" s="55"/>
      <c r="AP21" s="55"/>
      <c r="AQ21" s="55">
        <v>44299</v>
      </c>
      <c r="AR21" s="55"/>
      <c r="AS21" s="55"/>
      <c r="AT21" s="55">
        <v>44428</v>
      </c>
      <c r="AU21" s="55">
        <v>44428</v>
      </c>
      <c r="AV21" s="55">
        <v>44284</v>
      </c>
      <c r="AW21" s="55"/>
      <c r="AX21" s="55"/>
      <c r="AY21" s="55">
        <v>44431</v>
      </c>
      <c r="AZ21" s="55"/>
      <c r="BA21" s="55">
        <v>44425</v>
      </c>
      <c r="BB21" s="55">
        <v>44410</v>
      </c>
      <c r="BC21" s="55">
        <v>44420</v>
      </c>
      <c r="BD21" s="55">
        <v>44420</v>
      </c>
      <c r="BE21" s="55"/>
      <c r="BF21" s="55"/>
      <c r="BG21" s="55"/>
      <c r="BH21" s="55"/>
      <c r="BI21" s="55"/>
      <c r="BJ21" s="55"/>
    </row>
    <row r="22" spans="1:62" x14ac:dyDescent="0.4">
      <c r="A22" s="5">
        <f t="shared" si="1"/>
        <v>31</v>
      </c>
      <c r="B22" s="3" t="s">
        <v>25</v>
      </c>
      <c r="C22" s="55">
        <v>44344</v>
      </c>
      <c r="D22" s="55">
        <v>44246</v>
      </c>
      <c r="E22" s="55">
        <v>44497</v>
      </c>
      <c r="F22" s="55">
        <v>44469</v>
      </c>
      <c r="G22" s="55">
        <v>44467</v>
      </c>
      <c r="H22" s="55">
        <v>44246</v>
      </c>
      <c r="I22" s="55">
        <v>44287</v>
      </c>
      <c r="J22" s="55">
        <v>44501</v>
      </c>
      <c r="K22" s="55"/>
      <c r="L22" s="55"/>
      <c r="M22" s="55">
        <v>44497</v>
      </c>
      <c r="N22" s="55">
        <v>44397</v>
      </c>
      <c r="O22" s="55"/>
      <c r="P22" s="55">
        <v>44371</v>
      </c>
      <c r="Q22" s="55">
        <v>44246</v>
      </c>
      <c r="R22" s="55">
        <v>44375</v>
      </c>
      <c r="S22" s="55">
        <v>44258</v>
      </c>
      <c r="T22" s="55"/>
      <c r="U22" s="55">
        <v>44376</v>
      </c>
      <c r="V22" s="55">
        <v>44454</v>
      </c>
      <c r="W22" s="55">
        <v>44421</v>
      </c>
      <c r="X22" s="55">
        <v>44375</v>
      </c>
      <c r="Y22" s="55"/>
      <c r="Z22" s="55">
        <v>44246</v>
      </c>
      <c r="AA22" s="55">
        <v>44250</v>
      </c>
      <c r="AB22" s="55">
        <v>44242</v>
      </c>
      <c r="AC22" s="55"/>
      <c r="AD22" s="55"/>
      <c r="AE22" s="55"/>
      <c r="AF22" s="55">
        <v>44377</v>
      </c>
      <c r="AG22" s="55">
        <v>44427</v>
      </c>
      <c r="AH22" s="55">
        <v>44407</v>
      </c>
      <c r="AI22" s="55"/>
      <c r="AJ22" s="55">
        <v>44497</v>
      </c>
      <c r="AK22" s="55"/>
      <c r="AL22" s="55"/>
      <c r="AM22" s="55"/>
      <c r="AN22" s="55"/>
      <c r="AO22" s="55"/>
      <c r="AP22" s="55"/>
      <c r="AQ22" s="55"/>
      <c r="AR22" s="55"/>
      <c r="AS22" s="55"/>
      <c r="AT22" s="55">
        <v>44376</v>
      </c>
      <c r="AU22" s="55">
        <v>44407</v>
      </c>
      <c r="AV22" s="55"/>
      <c r="AW22" s="55"/>
      <c r="AX22" s="55"/>
      <c r="AY22" s="55"/>
      <c r="AZ22" s="55"/>
      <c r="BA22" s="55">
        <v>44431</v>
      </c>
      <c r="BB22" s="55">
        <v>44376</v>
      </c>
      <c r="BC22" s="55">
        <v>44376</v>
      </c>
      <c r="BD22" s="55">
        <v>44376</v>
      </c>
      <c r="BE22" s="55"/>
      <c r="BF22" s="55"/>
      <c r="BG22" s="55"/>
      <c r="BH22" s="55"/>
      <c r="BI22" s="55"/>
      <c r="BJ22" s="55"/>
    </row>
    <row r="23" spans="1:62" x14ac:dyDescent="0.4">
      <c r="A23" s="5">
        <f t="shared" si="1"/>
        <v>35</v>
      </c>
      <c r="B23" s="3" t="s">
        <v>15</v>
      </c>
      <c r="C23" s="55">
        <v>44452</v>
      </c>
      <c r="D23" s="55">
        <v>44445</v>
      </c>
      <c r="E23" s="55">
        <v>44490</v>
      </c>
      <c r="F23" s="55">
        <v>44463</v>
      </c>
      <c r="G23" s="55">
        <v>44467</v>
      </c>
      <c r="H23" s="55">
        <v>44447</v>
      </c>
      <c r="I23" s="55">
        <v>44274</v>
      </c>
      <c r="J23" s="55">
        <v>44439</v>
      </c>
      <c r="K23" s="55"/>
      <c r="L23" s="55"/>
      <c r="M23" s="55">
        <v>44432</v>
      </c>
      <c r="N23" s="55">
        <v>44447</v>
      </c>
      <c r="O23" s="55">
        <v>44447</v>
      </c>
      <c r="P23" s="55">
        <v>44182</v>
      </c>
      <c r="Q23" s="55">
        <v>44463</v>
      </c>
      <c r="R23" s="55"/>
      <c r="S23" s="55"/>
      <c r="T23" s="55"/>
      <c r="U23" s="55">
        <v>44454</v>
      </c>
      <c r="V23" s="55">
        <v>44445</v>
      </c>
      <c r="W23" s="55">
        <v>44447</v>
      </c>
      <c r="X23" s="55">
        <v>44421</v>
      </c>
      <c r="Y23" s="55">
        <v>44421</v>
      </c>
      <c r="Z23" s="55">
        <v>44421</v>
      </c>
      <c r="AA23" s="55">
        <v>44447</v>
      </c>
      <c r="AB23" s="55">
        <v>44182</v>
      </c>
      <c r="AC23" s="55"/>
      <c r="AD23" s="55"/>
      <c r="AE23" s="55">
        <v>44463</v>
      </c>
      <c r="AF23" s="55"/>
      <c r="AG23" s="55">
        <v>44421</v>
      </c>
      <c r="AH23" s="55">
        <v>44490</v>
      </c>
      <c r="AI23" s="55">
        <v>44439</v>
      </c>
      <c r="AJ23" s="55">
        <v>44439</v>
      </c>
      <c r="AK23" s="55"/>
      <c r="AL23" s="55"/>
      <c r="AM23" s="55"/>
      <c r="AN23" s="55"/>
      <c r="AO23" s="55"/>
      <c r="AP23" s="55"/>
      <c r="AQ23" s="55"/>
      <c r="AR23" s="55">
        <v>44411</v>
      </c>
      <c r="AS23" s="55"/>
      <c r="AT23" s="55">
        <v>44452</v>
      </c>
      <c r="AU23" s="55">
        <v>44421</v>
      </c>
      <c r="AV23" s="55"/>
      <c r="AW23" s="55"/>
      <c r="AX23" s="55">
        <v>44452</v>
      </c>
      <c r="AY23" s="55">
        <v>44354</v>
      </c>
      <c r="AZ23" s="55"/>
      <c r="BA23" s="55"/>
      <c r="BB23" s="55">
        <v>44421</v>
      </c>
      <c r="BC23" s="55">
        <v>44427</v>
      </c>
      <c r="BD23" s="55">
        <v>44340</v>
      </c>
      <c r="BE23" s="55"/>
      <c r="BF23" s="55"/>
      <c r="BG23" s="55">
        <v>44452</v>
      </c>
      <c r="BH23" s="55"/>
      <c r="BI23" s="55"/>
      <c r="BJ23" s="55"/>
    </row>
    <row r="24" spans="1:62" x14ac:dyDescent="0.4">
      <c r="A24" s="5">
        <f t="shared" si="1"/>
        <v>33</v>
      </c>
      <c r="B24" s="3" t="s">
        <v>16</v>
      </c>
      <c r="C24" s="55">
        <v>44347</v>
      </c>
      <c r="D24" s="55">
        <v>44487</v>
      </c>
      <c r="E24" s="55">
        <v>44365</v>
      </c>
      <c r="F24" s="56">
        <v>44308</v>
      </c>
      <c r="G24" s="56">
        <v>44308</v>
      </c>
      <c r="H24" s="55">
        <v>44301</v>
      </c>
      <c r="I24" s="55">
        <v>44344</v>
      </c>
      <c r="J24" s="55">
        <v>44476</v>
      </c>
      <c r="K24" s="55"/>
      <c r="L24" s="55">
        <v>44491</v>
      </c>
      <c r="M24" s="55">
        <v>44462</v>
      </c>
      <c r="N24" s="56">
        <v>44095</v>
      </c>
      <c r="O24" s="55"/>
      <c r="P24" s="55">
        <v>44306</v>
      </c>
      <c r="Q24" s="55">
        <v>44349</v>
      </c>
      <c r="R24" s="55"/>
      <c r="S24" s="55">
        <v>44308</v>
      </c>
      <c r="T24" s="55"/>
      <c r="U24" s="55">
        <v>44336</v>
      </c>
      <c r="V24" s="55">
        <v>44487</v>
      </c>
      <c r="W24" s="55">
        <v>44357</v>
      </c>
      <c r="X24" s="56">
        <v>44089</v>
      </c>
      <c r="Y24" s="55"/>
      <c r="Z24" s="56">
        <v>44124</v>
      </c>
      <c r="AA24" s="55">
        <v>44306</v>
      </c>
      <c r="AB24" s="55">
        <v>44487</v>
      </c>
      <c r="AC24" s="55"/>
      <c r="AD24" s="55">
        <v>44348</v>
      </c>
      <c r="AE24" s="55"/>
      <c r="AF24" s="55">
        <v>44357</v>
      </c>
      <c r="AG24" s="56">
        <v>44306</v>
      </c>
      <c r="AH24" s="55">
        <v>44357</v>
      </c>
      <c r="AI24" s="55">
        <v>44186</v>
      </c>
      <c r="AJ24" s="55">
        <v>44186</v>
      </c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>
        <v>44340</v>
      </c>
      <c r="AZ24" s="55">
        <v>44343</v>
      </c>
      <c r="BA24" s="55">
        <v>44357</v>
      </c>
      <c r="BB24" s="56">
        <v>44301</v>
      </c>
      <c r="BC24" s="56">
        <v>44295</v>
      </c>
      <c r="BD24" s="56">
        <v>44295</v>
      </c>
      <c r="BE24" s="55"/>
      <c r="BF24" s="55"/>
      <c r="BG24" s="55"/>
      <c r="BH24" s="55"/>
      <c r="BI24" s="55"/>
      <c r="BJ24" s="55"/>
    </row>
    <row r="25" spans="1:62" x14ac:dyDescent="0.4">
      <c r="A25" s="5">
        <f t="shared" si="1"/>
        <v>29</v>
      </c>
      <c r="B25" s="3" t="s">
        <v>17</v>
      </c>
      <c r="C25" s="55">
        <v>44467</v>
      </c>
      <c r="D25" s="55">
        <v>44315</v>
      </c>
      <c r="E25" s="55">
        <v>44428</v>
      </c>
      <c r="F25" s="55">
        <v>44474</v>
      </c>
      <c r="G25" s="55">
        <v>44501</v>
      </c>
      <c r="H25" s="55">
        <v>44482</v>
      </c>
      <c r="I25" s="55">
        <v>44287</v>
      </c>
      <c r="J25" s="55">
        <v>44441</v>
      </c>
      <c r="K25" s="55"/>
      <c r="L25" s="55"/>
      <c r="M25" s="55"/>
      <c r="N25" s="55">
        <v>44287</v>
      </c>
      <c r="O25" s="55"/>
      <c r="P25" s="55">
        <v>44334</v>
      </c>
      <c r="Q25" s="55">
        <v>44382</v>
      </c>
      <c r="R25" s="55">
        <v>44382</v>
      </c>
      <c r="S25" s="55">
        <v>44435</v>
      </c>
      <c r="T25" s="55"/>
      <c r="U25" s="55">
        <v>44382</v>
      </c>
      <c r="V25" s="55">
        <v>44347</v>
      </c>
      <c r="W25" s="55">
        <v>44377</v>
      </c>
      <c r="X25" s="55"/>
      <c r="Y25" s="55"/>
      <c r="Z25" s="55"/>
      <c r="AA25" s="55">
        <v>44474</v>
      </c>
      <c r="AB25" s="55">
        <v>44467</v>
      </c>
      <c r="AC25" s="55"/>
      <c r="AD25" s="55"/>
      <c r="AE25" s="55"/>
      <c r="AF25" s="55">
        <v>44392</v>
      </c>
      <c r="AG25" s="55"/>
      <c r="AH25" s="55">
        <v>44382</v>
      </c>
      <c r="AI25" s="55">
        <v>44330</v>
      </c>
      <c r="AJ25" s="55">
        <v>44355</v>
      </c>
      <c r="AK25" s="55"/>
      <c r="AL25" s="55"/>
      <c r="AM25" s="55"/>
      <c r="AN25" s="55"/>
      <c r="AO25" s="55"/>
      <c r="AP25" s="55"/>
      <c r="AQ25" s="55"/>
      <c r="AR25" s="55"/>
      <c r="AS25" s="55"/>
      <c r="AT25" s="55">
        <v>44428</v>
      </c>
      <c r="AU25" s="55">
        <v>44405</v>
      </c>
      <c r="AV25" s="55"/>
      <c r="AW25" s="55"/>
      <c r="AX25" s="55"/>
      <c r="AY25" s="55">
        <v>44470</v>
      </c>
      <c r="AZ25" s="55"/>
      <c r="BA25" s="55">
        <v>44428</v>
      </c>
      <c r="BB25" s="55">
        <v>44426</v>
      </c>
      <c r="BC25" s="55">
        <v>44467</v>
      </c>
      <c r="BD25" s="55">
        <v>44371</v>
      </c>
      <c r="BE25" s="55"/>
      <c r="BF25" s="55"/>
      <c r="BG25" s="55"/>
      <c r="BH25" s="55"/>
      <c r="BI25" s="55"/>
      <c r="BJ25" s="55"/>
    </row>
    <row r="26" spans="1:62" x14ac:dyDescent="0.4">
      <c r="A26" s="5">
        <f t="shared" si="1"/>
        <v>41</v>
      </c>
      <c r="B26" s="3" t="s">
        <v>18</v>
      </c>
      <c r="C26" s="55">
        <v>44469</v>
      </c>
      <c r="D26" s="55">
        <v>44488</v>
      </c>
      <c r="E26" s="55">
        <v>44469</v>
      </c>
      <c r="F26" s="55">
        <v>44452</v>
      </c>
      <c r="G26" s="55">
        <v>44452</v>
      </c>
      <c r="H26" s="55">
        <v>44488</v>
      </c>
      <c r="I26" s="55">
        <v>44488</v>
      </c>
      <c r="J26" s="55">
        <v>44488</v>
      </c>
      <c r="K26" s="55"/>
      <c r="L26" s="55"/>
      <c r="M26" s="55">
        <v>44440</v>
      </c>
      <c r="N26" s="55">
        <v>44488</v>
      </c>
      <c r="O26" s="55">
        <v>44488</v>
      </c>
      <c r="P26" s="55">
        <v>44174</v>
      </c>
      <c r="Q26" s="55">
        <v>44488</v>
      </c>
      <c r="R26" s="55">
        <v>44488</v>
      </c>
      <c r="S26" s="55">
        <v>44488</v>
      </c>
      <c r="T26" s="55"/>
      <c r="U26" s="55">
        <v>44488</v>
      </c>
      <c r="V26" s="55">
        <v>44488</v>
      </c>
      <c r="W26" s="55">
        <v>44491</v>
      </c>
      <c r="X26" s="55">
        <v>44490</v>
      </c>
      <c r="Y26" s="55">
        <v>44490</v>
      </c>
      <c r="Z26" s="55">
        <v>44490</v>
      </c>
      <c r="AA26" s="55">
        <v>44490</v>
      </c>
      <c r="AB26" s="55">
        <v>44490</v>
      </c>
      <c r="AC26" s="55">
        <v>44491</v>
      </c>
      <c r="AD26" s="55">
        <v>44491</v>
      </c>
      <c r="AE26" s="55">
        <v>44491</v>
      </c>
      <c r="AF26" s="55">
        <v>44452</v>
      </c>
      <c r="AG26" s="55">
        <v>44452</v>
      </c>
      <c r="AH26" s="55">
        <v>44468</v>
      </c>
      <c r="AI26" s="55">
        <v>44491</v>
      </c>
      <c r="AJ26" s="55">
        <v>44491</v>
      </c>
      <c r="AK26" s="55"/>
      <c r="AL26" s="55"/>
      <c r="AM26" s="55"/>
      <c r="AN26" s="55"/>
      <c r="AO26" s="55"/>
      <c r="AP26" s="55"/>
      <c r="AQ26" s="55">
        <v>44491</v>
      </c>
      <c r="AR26" s="55">
        <v>44469</v>
      </c>
      <c r="AS26" s="55"/>
      <c r="AT26" s="55">
        <v>44452</v>
      </c>
      <c r="AU26" s="55">
        <v>44468</v>
      </c>
      <c r="AV26" s="55"/>
      <c r="AW26" s="55"/>
      <c r="AX26" s="55">
        <v>44491</v>
      </c>
      <c r="AY26" s="55">
        <v>44469</v>
      </c>
      <c r="AZ26" s="55"/>
      <c r="BA26" s="55">
        <v>44469</v>
      </c>
      <c r="BB26" s="55">
        <v>44469</v>
      </c>
      <c r="BC26" s="55">
        <v>44468</v>
      </c>
      <c r="BD26" s="55">
        <v>44468</v>
      </c>
      <c r="BE26" s="55"/>
      <c r="BF26" s="55"/>
      <c r="BG26" s="55"/>
      <c r="BH26" s="55"/>
      <c r="BI26" s="55"/>
      <c r="BJ26" s="55"/>
    </row>
    <row r="27" spans="1:62" x14ac:dyDescent="0.4">
      <c r="A27" s="5">
        <f t="shared" si="1"/>
        <v>39</v>
      </c>
      <c r="B27" s="3" t="s">
        <v>19</v>
      </c>
      <c r="C27" s="55">
        <v>44481</v>
      </c>
      <c r="D27" s="55"/>
      <c r="E27" s="55">
        <v>44491</v>
      </c>
      <c r="F27" s="55">
        <v>44497</v>
      </c>
      <c r="G27" s="56">
        <v>44028</v>
      </c>
      <c r="H27" s="55">
        <v>44482</v>
      </c>
      <c r="I27" s="55">
        <v>44491</v>
      </c>
      <c r="J27" s="55">
        <v>44491</v>
      </c>
      <c r="K27" s="55"/>
      <c r="L27" s="55">
        <v>44491</v>
      </c>
      <c r="M27" s="56">
        <v>44015</v>
      </c>
      <c r="N27" s="55">
        <v>44484</v>
      </c>
      <c r="O27" s="55">
        <v>44481</v>
      </c>
      <c r="P27" s="55">
        <v>44490</v>
      </c>
      <c r="Q27" s="55">
        <v>44490</v>
      </c>
      <c r="R27" s="55">
        <v>44498</v>
      </c>
      <c r="S27" s="55">
        <v>44498</v>
      </c>
      <c r="T27" s="55"/>
      <c r="U27" s="55">
        <v>44483</v>
      </c>
      <c r="V27" s="55"/>
      <c r="W27" s="55">
        <v>44490</v>
      </c>
      <c r="X27" s="55">
        <v>44482</v>
      </c>
      <c r="Y27" s="55"/>
      <c r="Z27" s="55">
        <v>44483</v>
      </c>
      <c r="AA27" s="55">
        <v>44489</v>
      </c>
      <c r="AB27" s="55">
        <v>44495</v>
      </c>
      <c r="AC27" s="55">
        <v>44491</v>
      </c>
      <c r="AD27" s="55"/>
      <c r="AE27" s="55">
        <v>44490</v>
      </c>
      <c r="AF27" s="55">
        <v>44497</v>
      </c>
      <c r="AG27" s="55">
        <v>44498</v>
      </c>
      <c r="AH27" s="55">
        <v>44491</v>
      </c>
      <c r="AI27" s="55">
        <v>44490</v>
      </c>
      <c r="AJ27" s="55">
        <v>44490</v>
      </c>
      <c r="AK27" s="55"/>
      <c r="AL27" s="55"/>
      <c r="AM27" s="55"/>
      <c r="AN27" s="56">
        <v>44137</v>
      </c>
      <c r="AO27" s="55"/>
      <c r="AP27" s="55"/>
      <c r="AQ27" s="55">
        <v>44481</v>
      </c>
      <c r="AR27" s="55"/>
      <c r="AS27" s="55"/>
      <c r="AT27" s="55">
        <v>44497</v>
      </c>
      <c r="AU27" s="56">
        <v>44015</v>
      </c>
      <c r="AV27" s="55"/>
      <c r="AW27" s="55"/>
      <c r="AX27" s="55">
        <v>44474</v>
      </c>
      <c r="AY27" s="55">
        <v>44476</v>
      </c>
      <c r="AZ27" s="55">
        <v>44491</v>
      </c>
      <c r="BA27" s="56">
        <v>44022</v>
      </c>
      <c r="BB27" s="55">
        <v>44491</v>
      </c>
      <c r="BC27" s="55">
        <v>44491</v>
      </c>
      <c r="BD27" s="55">
        <v>44491</v>
      </c>
      <c r="BE27" s="55"/>
      <c r="BF27" s="55"/>
      <c r="BG27" s="55"/>
      <c r="BH27" s="55"/>
      <c r="BI27" s="55"/>
      <c r="BJ27" s="55"/>
    </row>
    <row r="28" spans="1:62" x14ac:dyDescent="0.4">
      <c r="A28" s="5">
        <f t="shared" si="1"/>
        <v>43</v>
      </c>
      <c r="B28" s="3" t="s">
        <v>20</v>
      </c>
      <c r="C28" s="55">
        <v>44468</v>
      </c>
      <c r="D28" s="55">
        <v>44386</v>
      </c>
      <c r="E28" s="55">
        <v>44376</v>
      </c>
      <c r="F28" s="55">
        <v>44483</v>
      </c>
      <c r="G28" s="55">
        <v>44488</v>
      </c>
      <c r="H28" s="55">
        <v>44252</v>
      </c>
      <c r="I28" s="55">
        <v>44292</v>
      </c>
      <c r="J28" s="55">
        <v>44484</v>
      </c>
      <c r="K28" s="55"/>
      <c r="L28" s="55">
        <v>44433</v>
      </c>
      <c r="M28" s="55">
        <v>44456</v>
      </c>
      <c r="N28" s="55">
        <v>44420</v>
      </c>
      <c r="O28" s="55">
        <v>44291</v>
      </c>
      <c r="P28" s="55">
        <v>44194</v>
      </c>
      <c r="Q28" s="55">
        <v>44232</v>
      </c>
      <c r="R28" s="55">
        <v>44426</v>
      </c>
      <c r="S28" s="55">
        <v>44293</v>
      </c>
      <c r="T28" s="55"/>
      <c r="U28" s="55">
        <v>44425</v>
      </c>
      <c r="V28" s="55">
        <v>44420</v>
      </c>
      <c r="W28" s="55">
        <v>44362</v>
      </c>
      <c r="X28" s="55">
        <v>44420</v>
      </c>
      <c r="Y28" s="55">
        <v>44487</v>
      </c>
      <c r="Z28" s="55">
        <v>44291</v>
      </c>
      <c r="AA28" s="55">
        <v>44291</v>
      </c>
      <c r="AB28" s="55">
        <v>44252</v>
      </c>
      <c r="AC28" s="55"/>
      <c r="AD28" s="55">
        <v>44487</v>
      </c>
      <c r="AE28" s="55">
        <v>44438</v>
      </c>
      <c r="AF28" s="55">
        <v>44475</v>
      </c>
      <c r="AG28" s="55">
        <v>44432</v>
      </c>
      <c r="AH28" s="55">
        <v>44468</v>
      </c>
      <c r="AI28" s="55">
        <v>44420</v>
      </c>
      <c r="AJ28" s="55">
        <v>44420</v>
      </c>
      <c r="AK28" s="55">
        <v>44291</v>
      </c>
      <c r="AL28" s="55"/>
      <c r="AM28" s="55">
        <v>44433</v>
      </c>
      <c r="AN28" s="55"/>
      <c r="AO28" s="55"/>
      <c r="AP28" s="55"/>
      <c r="AQ28" s="55"/>
      <c r="AR28" s="55">
        <v>44427</v>
      </c>
      <c r="AS28" s="55"/>
      <c r="AT28" s="55">
        <v>44361</v>
      </c>
      <c r="AU28" s="55">
        <v>44363</v>
      </c>
      <c r="AV28" s="55"/>
      <c r="AW28" s="55">
        <v>44291</v>
      </c>
      <c r="AX28" s="55">
        <v>44487</v>
      </c>
      <c r="AY28" s="55">
        <v>44468</v>
      </c>
      <c r="AZ28" s="55"/>
      <c r="BA28" s="55">
        <v>44420</v>
      </c>
      <c r="BB28" s="55">
        <v>44468</v>
      </c>
      <c r="BC28" s="55">
        <v>44468</v>
      </c>
      <c r="BD28" s="55">
        <v>44433</v>
      </c>
      <c r="BE28" s="55"/>
      <c r="BF28" s="55"/>
      <c r="BG28" s="55"/>
      <c r="BH28" s="55"/>
      <c r="BI28" s="55"/>
      <c r="BJ28" s="55"/>
    </row>
    <row r="29" spans="1:62" x14ac:dyDescent="0.4">
      <c r="A29" s="5">
        <f t="shared" si="1"/>
        <v>35</v>
      </c>
      <c r="B29" s="3" t="s">
        <v>26</v>
      </c>
      <c r="C29" s="56">
        <v>44258</v>
      </c>
      <c r="D29" s="55">
        <v>44258</v>
      </c>
      <c r="E29" s="56">
        <v>44258</v>
      </c>
      <c r="F29" s="56">
        <v>44258</v>
      </c>
      <c r="G29" s="56">
        <v>44258</v>
      </c>
      <c r="H29" s="55">
        <v>44258</v>
      </c>
      <c r="I29" s="55">
        <v>44258</v>
      </c>
      <c r="J29" s="56">
        <v>44195</v>
      </c>
      <c r="K29" s="55"/>
      <c r="L29" s="55">
        <v>44258</v>
      </c>
      <c r="M29" s="56">
        <v>44258</v>
      </c>
      <c r="N29" s="55">
        <v>44258</v>
      </c>
      <c r="O29" s="55"/>
      <c r="P29" s="55">
        <v>44258</v>
      </c>
      <c r="Q29" s="55">
        <v>44258</v>
      </c>
      <c r="R29" s="55"/>
      <c r="S29" s="55">
        <v>44258</v>
      </c>
      <c r="T29" s="55"/>
      <c r="U29" s="55">
        <v>44195</v>
      </c>
      <c r="V29" s="55"/>
      <c r="W29" s="56">
        <v>44258</v>
      </c>
      <c r="X29" s="55">
        <v>44258</v>
      </c>
      <c r="Y29" s="55"/>
      <c r="Z29" s="55">
        <v>44258</v>
      </c>
      <c r="AA29" s="55">
        <v>44258</v>
      </c>
      <c r="AB29" s="55">
        <v>44258</v>
      </c>
      <c r="AC29" s="55"/>
      <c r="AD29" s="55">
        <v>44258</v>
      </c>
      <c r="AE29" s="55"/>
      <c r="AF29" s="56">
        <v>44258</v>
      </c>
      <c r="AG29" s="56">
        <v>44258</v>
      </c>
      <c r="AH29" s="56">
        <v>44258</v>
      </c>
      <c r="AI29" s="55">
        <v>44258</v>
      </c>
      <c r="AJ29" s="55">
        <v>44258</v>
      </c>
      <c r="AK29" s="55"/>
      <c r="AL29" s="55"/>
      <c r="AM29" s="56">
        <v>44258</v>
      </c>
      <c r="AN29" s="55"/>
      <c r="AO29" s="55"/>
      <c r="AP29" s="55"/>
      <c r="AQ29" s="55"/>
      <c r="AR29" s="55"/>
      <c r="AS29" s="55"/>
      <c r="AT29" s="56">
        <v>44258</v>
      </c>
      <c r="AU29" s="56">
        <v>43901</v>
      </c>
      <c r="AV29" s="55"/>
      <c r="AW29" s="55"/>
      <c r="AX29" s="55"/>
      <c r="AY29" s="56">
        <v>43901</v>
      </c>
      <c r="AZ29" s="55"/>
      <c r="BA29" s="56">
        <v>44258</v>
      </c>
      <c r="BB29" s="56">
        <v>44258</v>
      </c>
      <c r="BC29" s="56">
        <v>44195</v>
      </c>
      <c r="BD29" s="56">
        <v>44258</v>
      </c>
      <c r="BE29" s="55"/>
      <c r="BF29" s="55"/>
      <c r="BG29" s="56">
        <v>43901</v>
      </c>
      <c r="BH29" s="55"/>
      <c r="BI29" s="55"/>
      <c r="BJ29" s="55"/>
    </row>
    <row r="30" spans="1:62" x14ac:dyDescent="0.4">
      <c r="A30" s="5">
        <f t="shared" si="1"/>
        <v>33</v>
      </c>
      <c r="B30" s="3" t="s">
        <v>21</v>
      </c>
      <c r="C30" s="55">
        <v>44433</v>
      </c>
      <c r="D30" s="55">
        <v>44433</v>
      </c>
      <c r="E30" s="55">
        <v>44433</v>
      </c>
      <c r="F30" s="55">
        <v>44440</v>
      </c>
      <c r="G30" s="55">
        <v>44440</v>
      </c>
      <c r="H30" s="55">
        <v>44438</v>
      </c>
      <c r="I30" s="55">
        <v>44432</v>
      </c>
      <c r="J30" s="55">
        <v>44438</v>
      </c>
      <c r="K30" s="55"/>
      <c r="L30" s="55"/>
      <c r="M30" s="55">
        <v>44432</v>
      </c>
      <c r="N30" s="55">
        <v>44438</v>
      </c>
      <c r="O30" s="55">
        <v>44434</v>
      </c>
      <c r="P30" s="55">
        <v>44433</v>
      </c>
      <c r="Q30" s="55"/>
      <c r="R30" s="55">
        <v>44434</v>
      </c>
      <c r="S30" s="55"/>
      <c r="T30" s="55"/>
      <c r="U30" s="55">
        <v>44438</v>
      </c>
      <c r="V30" s="55">
        <v>44414</v>
      </c>
      <c r="W30" s="55"/>
      <c r="X30" s="55">
        <v>44438</v>
      </c>
      <c r="Y30" s="55"/>
      <c r="Z30" s="55">
        <v>44433</v>
      </c>
      <c r="AA30" s="55">
        <v>44434</v>
      </c>
      <c r="AB30" s="55">
        <v>44438</v>
      </c>
      <c r="AC30" s="55"/>
      <c r="AD30" s="55">
        <v>44433</v>
      </c>
      <c r="AE30" s="55">
        <v>44434</v>
      </c>
      <c r="AF30" s="55"/>
      <c r="AG30" s="55">
        <v>44433</v>
      </c>
      <c r="AH30" s="55">
        <v>44433</v>
      </c>
      <c r="AI30" s="55">
        <v>44434</v>
      </c>
      <c r="AJ30" s="55">
        <v>44433</v>
      </c>
      <c r="AK30" s="55"/>
      <c r="AL30" s="55"/>
      <c r="AM30" s="55"/>
      <c r="AN30" s="55">
        <v>44433</v>
      </c>
      <c r="AO30" s="55"/>
      <c r="AP30" s="55"/>
      <c r="AQ30" s="55"/>
      <c r="AR30" s="55">
        <v>44432</v>
      </c>
      <c r="AS30" s="55"/>
      <c r="AT30" s="55"/>
      <c r="AU30" s="55">
        <v>44433</v>
      </c>
      <c r="AV30" s="55"/>
      <c r="AW30" s="55"/>
      <c r="AX30" s="55"/>
      <c r="AY30" s="55">
        <v>44432</v>
      </c>
      <c r="AZ30" s="55"/>
      <c r="BA30" s="55">
        <v>44433</v>
      </c>
      <c r="BB30" s="55">
        <v>44432</v>
      </c>
      <c r="BC30" s="55"/>
      <c r="BD30" s="55">
        <v>44433</v>
      </c>
      <c r="BE30" s="55"/>
      <c r="BF30" s="55"/>
      <c r="BG30" s="55">
        <v>44433</v>
      </c>
      <c r="BH30" s="55"/>
      <c r="BI30" s="55"/>
      <c r="BJ30" s="55"/>
    </row>
    <row r="31" spans="1:62" x14ac:dyDescent="0.4">
      <c r="A31" s="5">
        <f t="shared" si="1"/>
        <v>16</v>
      </c>
      <c r="B31" s="3" t="s">
        <v>27</v>
      </c>
      <c r="C31" s="55"/>
      <c r="D31" s="55"/>
      <c r="E31" s="55"/>
      <c r="F31" s="55">
        <v>44494</v>
      </c>
      <c r="G31" s="55">
        <v>44496</v>
      </c>
      <c r="H31" s="55"/>
      <c r="I31" s="55"/>
      <c r="J31" s="55"/>
      <c r="K31" s="55"/>
      <c r="L31" s="55">
        <v>44257</v>
      </c>
      <c r="M31" s="55">
        <v>44469</v>
      </c>
      <c r="N31" s="55"/>
      <c r="O31" s="55">
        <v>44483</v>
      </c>
      <c r="P31" s="55"/>
      <c r="Q31" s="55">
        <v>44469</v>
      </c>
      <c r="R31" s="55"/>
      <c r="S31" s="55">
        <v>44496</v>
      </c>
      <c r="T31" s="55">
        <v>44494</v>
      </c>
      <c r="U31" s="55"/>
      <c r="V31" s="55"/>
      <c r="W31" s="55"/>
      <c r="X31" s="55"/>
      <c r="Y31" s="55"/>
      <c r="Z31" s="55"/>
      <c r="AA31" s="55"/>
      <c r="AB31" s="55">
        <v>44439</v>
      </c>
      <c r="AC31" s="55"/>
      <c r="AD31" s="55"/>
      <c r="AE31" s="55"/>
      <c r="AF31" s="55"/>
      <c r="AG31" s="55"/>
      <c r="AH31" s="55">
        <v>44496</v>
      </c>
      <c r="AI31" s="55"/>
      <c r="AJ31" s="55"/>
      <c r="AK31" s="55">
        <v>44326</v>
      </c>
      <c r="AL31" s="55"/>
      <c r="AM31" s="55">
        <v>44463</v>
      </c>
      <c r="AN31" s="55"/>
      <c r="AO31" s="55">
        <v>44137</v>
      </c>
      <c r="AP31" s="55"/>
      <c r="AQ31" s="55"/>
      <c r="AR31" s="55">
        <v>44375</v>
      </c>
      <c r="AS31" s="55"/>
      <c r="AT31" s="55"/>
      <c r="AU31" s="55"/>
      <c r="AV31" s="55"/>
      <c r="AW31" s="55">
        <v>44496</v>
      </c>
      <c r="AX31" s="55"/>
      <c r="AY31" s="55"/>
      <c r="AZ31" s="55"/>
      <c r="BA31" s="55"/>
      <c r="BB31" s="55"/>
      <c r="BC31" s="55"/>
      <c r="BD31" s="55"/>
      <c r="BE31" s="55">
        <v>44435</v>
      </c>
      <c r="BF31" s="55"/>
      <c r="BG31" s="55"/>
      <c r="BH31" s="55"/>
      <c r="BI31" s="55"/>
      <c r="BJ31" s="55"/>
    </row>
    <row r="32" spans="1:62" x14ac:dyDescent="0.4">
      <c r="A32" s="5">
        <f t="shared" si="1"/>
        <v>28</v>
      </c>
      <c r="B32" s="3" t="s">
        <v>28</v>
      </c>
      <c r="C32" s="55">
        <v>44484</v>
      </c>
      <c r="D32" s="55">
        <v>44463</v>
      </c>
      <c r="E32" s="55">
        <v>44456</v>
      </c>
      <c r="F32" s="55">
        <v>44498</v>
      </c>
      <c r="G32" s="55">
        <v>44484</v>
      </c>
      <c r="H32" s="55">
        <v>44484</v>
      </c>
      <c r="I32" s="55">
        <v>44498</v>
      </c>
      <c r="J32" s="55">
        <v>44484</v>
      </c>
      <c r="K32" s="55"/>
      <c r="L32" s="55">
        <v>44484</v>
      </c>
      <c r="M32" s="55">
        <v>44484</v>
      </c>
      <c r="N32" s="55">
        <v>44490</v>
      </c>
      <c r="O32" s="55"/>
      <c r="P32" s="55">
        <v>44498</v>
      </c>
      <c r="Q32" s="55"/>
      <c r="R32" s="55">
        <v>44487</v>
      </c>
      <c r="S32" s="55"/>
      <c r="T32" s="55"/>
      <c r="U32" s="55">
        <v>44490</v>
      </c>
      <c r="V32" s="55">
        <v>44487</v>
      </c>
      <c r="W32" s="55">
        <v>44495</v>
      </c>
      <c r="X32" s="55">
        <v>44487</v>
      </c>
      <c r="Y32" s="55"/>
      <c r="Z32" s="55"/>
      <c r="AA32" s="55">
        <v>44488</v>
      </c>
      <c r="AB32" s="55">
        <v>44490</v>
      </c>
      <c r="AC32" s="55">
        <v>44488</v>
      </c>
      <c r="AD32" s="55">
        <v>44488</v>
      </c>
      <c r="AE32" s="55"/>
      <c r="AF32" s="55"/>
      <c r="AG32" s="55">
        <v>44488</v>
      </c>
      <c r="AH32" s="55"/>
      <c r="AI32" s="55">
        <v>44488</v>
      </c>
      <c r="AJ32" s="55">
        <v>44488</v>
      </c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>
        <v>44489</v>
      </c>
      <c r="AV32" s="55"/>
      <c r="AW32" s="55"/>
      <c r="AX32" s="55"/>
      <c r="AY32" s="55">
        <v>44489</v>
      </c>
      <c r="AZ32" s="55"/>
      <c r="BA32" s="55">
        <v>44491</v>
      </c>
      <c r="BB32" s="55">
        <v>44489</v>
      </c>
      <c r="BC32" s="55"/>
      <c r="BD32" s="55"/>
      <c r="BE32" s="55"/>
      <c r="BF32" s="55"/>
      <c r="BG32" s="55"/>
      <c r="BH32" s="55"/>
      <c r="BI32" s="55"/>
      <c r="BJ32" s="55"/>
    </row>
    <row r="33" spans="1:62" x14ac:dyDescent="0.4">
      <c r="A33" s="5">
        <f t="shared" si="1"/>
        <v>34</v>
      </c>
      <c r="B33" s="3" t="s">
        <v>29</v>
      </c>
      <c r="C33" s="55">
        <v>44487</v>
      </c>
      <c r="D33" s="55">
        <v>44452</v>
      </c>
      <c r="E33" s="55">
        <v>44445</v>
      </c>
      <c r="F33" s="55">
        <v>44428</v>
      </c>
      <c r="G33" s="55">
        <v>44428</v>
      </c>
      <c r="H33" s="55">
        <v>44445</v>
      </c>
      <c r="I33" s="55">
        <v>44490</v>
      </c>
      <c r="J33" s="55">
        <v>44469</v>
      </c>
      <c r="K33" s="55"/>
      <c r="L33" s="55">
        <v>44482</v>
      </c>
      <c r="M33" s="55">
        <v>44454</v>
      </c>
      <c r="N33" s="55">
        <v>44427</v>
      </c>
      <c r="O33" s="55"/>
      <c r="P33" s="55">
        <v>44456</v>
      </c>
      <c r="Q33" s="55">
        <v>44456</v>
      </c>
      <c r="R33" s="55">
        <v>44456</v>
      </c>
      <c r="S33" s="55">
        <v>44455</v>
      </c>
      <c r="T33" s="55"/>
      <c r="U33" s="55">
        <v>44445</v>
      </c>
      <c r="V33" s="55">
        <v>44452</v>
      </c>
      <c r="W33" s="55">
        <v>44454</v>
      </c>
      <c r="X33" s="55">
        <v>44454</v>
      </c>
      <c r="Y33" s="55">
        <v>44490</v>
      </c>
      <c r="Z33" s="55">
        <v>44487</v>
      </c>
      <c r="AA33" s="55">
        <v>44445</v>
      </c>
      <c r="AB33" s="55">
        <v>44482</v>
      </c>
      <c r="AC33" s="55">
        <v>44489</v>
      </c>
      <c r="AD33" s="55">
        <v>44453</v>
      </c>
      <c r="AE33" s="55"/>
      <c r="AF33" s="55"/>
      <c r="AG33" s="55">
        <v>44456</v>
      </c>
      <c r="AH33" s="55"/>
      <c r="AI33" s="55">
        <v>44434</v>
      </c>
      <c r="AJ33" s="55">
        <v>44428</v>
      </c>
      <c r="AK33" s="55"/>
      <c r="AL33" s="55"/>
      <c r="AM33" s="55"/>
      <c r="AN33" s="55">
        <v>44431</v>
      </c>
      <c r="AO33" s="55"/>
      <c r="AP33" s="55"/>
      <c r="AQ33" s="55"/>
      <c r="AR33" s="55"/>
      <c r="AS33" s="55"/>
      <c r="AT33" s="55"/>
      <c r="AU33" s="55">
        <v>44434</v>
      </c>
      <c r="AV33" s="55">
        <v>44482</v>
      </c>
      <c r="AW33" s="55"/>
      <c r="AX33" s="55"/>
      <c r="AY33" s="55">
        <v>44490</v>
      </c>
      <c r="AZ33" s="55"/>
      <c r="BA33" s="55">
        <v>44466</v>
      </c>
      <c r="BB33" s="55">
        <v>44489</v>
      </c>
      <c r="BC33" s="55"/>
      <c r="BD33" s="55"/>
      <c r="BE33" s="55"/>
      <c r="BF33" s="55"/>
      <c r="BG33" s="55"/>
      <c r="BH33" s="55"/>
      <c r="BI33" s="55"/>
      <c r="BJ33" s="55"/>
    </row>
    <row r="34" spans="1:62" x14ac:dyDescent="0.4">
      <c r="A34" s="5">
        <f t="shared" si="1"/>
        <v>25</v>
      </c>
      <c r="B34" s="3" t="s">
        <v>30</v>
      </c>
      <c r="C34" s="55">
        <v>44487</v>
      </c>
      <c r="D34" s="55">
        <v>44397</v>
      </c>
      <c r="E34" s="55">
        <v>44490</v>
      </c>
      <c r="F34" s="55"/>
      <c r="G34" s="55"/>
      <c r="H34" s="55"/>
      <c r="I34" s="55">
        <v>44475</v>
      </c>
      <c r="J34" s="55">
        <v>44454</v>
      </c>
      <c r="K34" s="55"/>
      <c r="L34" s="55">
        <v>44399</v>
      </c>
      <c r="M34" s="55">
        <v>44482</v>
      </c>
      <c r="N34" s="55">
        <v>44489</v>
      </c>
      <c r="O34" s="55"/>
      <c r="P34" s="55">
        <v>44489</v>
      </c>
      <c r="Q34" s="55">
        <v>44375</v>
      </c>
      <c r="R34" s="55"/>
      <c r="S34" s="55"/>
      <c r="T34" s="55"/>
      <c r="U34" s="55">
        <v>44455</v>
      </c>
      <c r="V34" s="55"/>
      <c r="W34" s="55">
        <v>44487</v>
      </c>
      <c r="X34" s="55">
        <v>44445</v>
      </c>
      <c r="Y34" s="55"/>
      <c r="Z34" s="55">
        <v>44442</v>
      </c>
      <c r="AA34" s="55">
        <v>44491</v>
      </c>
      <c r="AB34" s="55">
        <v>44489</v>
      </c>
      <c r="AC34" s="55">
        <v>44428</v>
      </c>
      <c r="AD34" s="55">
        <v>44393</v>
      </c>
      <c r="AE34" s="55"/>
      <c r="AF34" s="55"/>
      <c r="AG34" s="56">
        <v>44189</v>
      </c>
      <c r="AH34" s="55"/>
      <c r="AI34" s="55">
        <v>44389</v>
      </c>
      <c r="AJ34" s="55">
        <v>44389</v>
      </c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>
        <v>44399</v>
      </c>
      <c r="AV34" s="55"/>
      <c r="AW34" s="55"/>
      <c r="AX34" s="55"/>
      <c r="AY34" s="55">
        <v>44361</v>
      </c>
      <c r="AZ34" s="55"/>
      <c r="BA34" s="55"/>
      <c r="BB34" s="55">
        <v>44487</v>
      </c>
      <c r="BC34" s="55"/>
      <c r="BD34" s="55"/>
      <c r="BE34" s="55"/>
      <c r="BF34" s="55"/>
      <c r="BG34" s="55">
        <v>44484</v>
      </c>
      <c r="BH34" s="55"/>
      <c r="BI34" s="55"/>
      <c r="BJ34" s="55"/>
    </row>
    <row r="35" spans="1:62" x14ac:dyDescent="0.4">
      <c r="A35" s="5">
        <f t="shared" si="1"/>
        <v>31</v>
      </c>
      <c r="B35" s="3" t="s">
        <v>31</v>
      </c>
      <c r="C35" s="56">
        <v>44279</v>
      </c>
      <c r="D35" s="55">
        <v>44285</v>
      </c>
      <c r="E35" s="55">
        <v>44487</v>
      </c>
      <c r="F35" s="55">
        <v>44449</v>
      </c>
      <c r="G35" s="55">
        <v>44475</v>
      </c>
      <c r="H35" s="55">
        <v>44277</v>
      </c>
      <c r="I35" s="55">
        <v>44281</v>
      </c>
      <c r="J35" s="55">
        <v>44496</v>
      </c>
      <c r="K35" s="55"/>
      <c r="L35" s="55">
        <v>44273</v>
      </c>
      <c r="M35" s="55">
        <v>44428</v>
      </c>
      <c r="N35" s="55">
        <v>44487</v>
      </c>
      <c r="O35" s="55"/>
      <c r="P35" s="55">
        <v>44410</v>
      </c>
      <c r="Q35" s="55">
        <v>44428</v>
      </c>
      <c r="R35" s="55"/>
      <c r="S35" s="55">
        <v>44277</v>
      </c>
      <c r="T35" s="55"/>
      <c r="U35" s="55">
        <v>44281</v>
      </c>
      <c r="V35" s="55">
        <v>44404</v>
      </c>
      <c r="W35" s="55">
        <v>44463</v>
      </c>
      <c r="X35" s="55">
        <v>44280</v>
      </c>
      <c r="Y35" s="55"/>
      <c r="Z35" s="55">
        <v>44390</v>
      </c>
      <c r="AA35" s="55">
        <v>44481</v>
      </c>
      <c r="AB35" s="55">
        <v>44474</v>
      </c>
      <c r="AC35" s="55">
        <v>44273</v>
      </c>
      <c r="AD35" s="55">
        <v>44285</v>
      </c>
      <c r="AE35" s="55">
        <v>44277</v>
      </c>
      <c r="AF35" s="55"/>
      <c r="AG35" s="55"/>
      <c r="AH35" s="55"/>
      <c r="AI35" s="55">
        <v>44390</v>
      </c>
      <c r="AJ35" s="55">
        <v>44481</v>
      </c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>
        <v>44463</v>
      </c>
      <c r="AV35" s="55"/>
      <c r="AW35" s="55"/>
      <c r="AX35" s="55">
        <v>44271</v>
      </c>
      <c r="AY35" s="55">
        <v>44497</v>
      </c>
      <c r="AZ35" s="55"/>
      <c r="BA35" s="56">
        <v>44279</v>
      </c>
      <c r="BB35" s="55">
        <v>44434</v>
      </c>
      <c r="BC35" s="55"/>
      <c r="BD35" s="55"/>
      <c r="BE35" s="55"/>
      <c r="BF35" s="55"/>
      <c r="BG35" s="55"/>
      <c r="BH35" s="55"/>
      <c r="BI35" s="55"/>
      <c r="BJ35" s="55"/>
    </row>
    <row r="36" spans="1:62" x14ac:dyDescent="0.4">
      <c r="A36" s="5">
        <f t="shared" si="1"/>
        <v>31</v>
      </c>
      <c r="B36" s="3" t="s">
        <v>32</v>
      </c>
      <c r="C36" s="55">
        <v>44496</v>
      </c>
      <c r="D36" s="55">
        <v>44489</v>
      </c>
      <c r="E36" s="55">
        <v>44462</v>
      </c>
      <c r="F36" s="55">
        <v>44432</v>
      </c>
      <c r="G36" s="55">
        <v>44494</v>
      </c>
      <c r="H36" s="55">
        <v>44305</v>
      </c>
      <c r="I36" s="55">
        <v>44481</v>
      </c>
      <c r="J36" s="55">
        <v>44496</v>
      </c>
      <c r="K36" s="55"/>
      <c r="L36" s="55">
        <v>44431</v>
      </c>
      <c r="M36" s="55">
        <v>44497</v>
      </c>
      <c r="N36" s="55">
        <v>44482</v>
      </c>
      <c r="O36" s="55"/>
      <c r="P36" s="55">
        <v>44419</v>
      </c>
      <c r="Q36" s="55">
        <v>44435</v>
      </c>
      <c r="R36" s="55">
        <v>44434</v>
      </c>
      <c r="S36" s="55">
        <v>44490</v>
      </c>
      <c r="T36" s="55"/>
      <c r="U36" s="55">
        <v>44435</v>
      </c>
      <c r="V36" s="55">
        <v>44434</v>
      </c>
      <c r="W36" s="55">
        <v>44483</v>
      </c>
      <c r="X36" s="55">
        <v>44490</v>
      </c>
      <c r="Y36" s="55">
        <v>44487</v>
      </c>
      <c r="Z36" s="55">
        <v>44434</v>
      </c>
      <c r="AA36" s="55">
        <v>44482</v>
      </c>
      <c r="AB36" s="55">
        <v>44483</v>
      </c>
      <c r="AC36" s="55"/>
      <c r="AD36" s="55"/>
      <c r="AE36" s="55"/>
      <c r="AF36" s="55"/>
      <c r="AG36" s="55">
        <v>44483</v>
      </c>
      <c r="AH36" s="55"/>
      <c r="AI36" s="55">
        <v>44433</v>
      </c>
      <c r="AJ36" s="55">
        <v>44432</v>
      </c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>
        <v>44496</v>
      </c>
      <c r="AV36" s="55"/>
      <c r="AW36" s="55"/>
      <c r="AX36" s="55"/>
      <c r="AY36" s="55">
        <v>44497</v>
      </c>
      <c r="AZ36" s="55"/>
      <c r="BA36" s="55">
        <v>44326</v>
      </c>
      <c r="BB36" s="55">
        <v>44327</v>
      </c>
      <c r="BC36" s="55">
        <v>44496</v>
      </c>
      <c r="BD36" s="55"/>
      <c r="BE36" s="55"/>
      <c r="BF36" s="55"/>
      <c r="BG36" s="55"/>
      <c r="BH36" s="55"/>
      <c r="BI36" s="55"/>
      <c r="BJ36" s="55"/>
    </row>
    <row r="37" spans="1:62" x14ac:dyDescent="0.4">
      <c r="A37" s="5">
        <f t="shared" si="1"/>
        <v>31</v>
      </c>
      <c r="B37" s="3" t="s">
        <v>33</v>
      </c>
      <c r="C37" s="55">
        <v>44483</v>
      </c>
      <c r="D37" s="55">
        <v>44483</v>
      </c>
      <c r="E37" s="55">
        <v>44483</v>
      </c>
      <c r="F37" s="55">
        <v>44487</v>
      </c>
      <c r="G37" s="55">
        <v>44484</v>
      </c>
      <c r="H37" s="55"/>
      <c r="I37" s="55">
        <v>44484</v>
      </c>
      <c r="J37" s="55">
        <v>44484</v>
      </c>
      <c r="K37" s="55"/>
      <c r="L37" s="55">
        <v>44487</v>
      </c>
      <c r="M37" s="55">
        <v>44477</v>
      </c>
      <c r="N37" s="55">
        <v>44483</v>
      </c>
      <c r="O37" s="55">
        <v>44483</v>
      </c>
      <c r="P37" s="55">
        <v>44484</v>
      </c>
      <c r="Q37" s="55">
        <v>44487</v>
      </c>
      <c r="R37" s="55"/>
      <c r="S37" s="55">
        <v>44487</v>
      </c>
      <c r="T37" s="55"/>
      <c r="U37" s="55">
        <v>44477</v>
      </c>
      <c r="V37" s="55">
        <v>44484</v>
      </c>
      <c r="W37" s="55">
        <v>44483</v>
      </c>
      <c r="X37" s="55">
        <v>44487</v>
      </c>
      <c r="Y37" s="55"/>
      <c r="Z37" s="55">
        <v>44483</v>
      </c>
      <c r="AA37" s="55">
        <v>44483</v>
      </c>
      <c r="AB37" s="55">
        <v>44483</v>
      </c>
      <c r="AC37" s="55">
        <v>44487</v>
      </c>
      <c r="AD37" s="55">
        <v>44483</v>
      </c>
      <c r="AE37" s="55"/>
      <c r="AF37" s="55"/>
      <c r="AG37" s="55">
        <v>44477</v>
      </c>
      <c r="AH37" s="55"/>
      <c r="AI37" s="55">
        <v>44483</v>
      </c>
      <c r="AJ37" s="55">
        <v>44483</v>
      </c>
      <c r="AK37" s="55"/>
      <c r="AL37" s="55"/>
      <c r="AM37" s="55">
        <v>44487</v>
      </c>
      <c r="AN37" s="55"/>
      <c r="AO37" s="55"/>
      <c r="AP37" s="55"/>
      <c r="AQ37" s="55"/>
      <c r="AR37" s="55"/>
      <c r="AS37" s="55"/>
      <c r="AT37" s="55"/>
      <c r="AU37" s="55">
        <v>44483</v>
      </c>
      <c r="AV37" s="55"/>
      <c r="AW37" s="55"/>
      <c r="AX37" s="55"/>
      <c r="AY37" s="55">
        <v>44488</v>
      </c>
      <c r="AZ37" s="55"/>
      <c r="BA37" s="55">
        <v>44483</v>
      </c>
      <c r="BB37" s="55">
        <v>44488</v>
      </c>
      <c r="BC37" s="55"/>
      <c r="BD37" s="55"/>
      <c r="BE37" s="55"/>
      <c r="BF37" s="55"/>
      <c r="BG37" s="55"/>
      <c r="BH37" s="55"/>
      <c r="BI37" s="55"/>
      <c r="BJ37" s="55"/>
    </row>
    <row r="38" spans="1:62" x14ac:dyDescent="0.4">
      <c r="A38" s="5">
        <f t="shared" si="1"/>
        <v>31</v>
      </c>
      <c r="B38" s="3" t="s">
        <v>34</v>
      </c>
      <c r="C38" s="55">
        <v>44361</v>
      </c>
      <c r="D38" s="55">
        <v>44396</v>
      </c>
      <c r="E38" s="55">
        <v>44356</v>
      </c>
      <c r="F38" s="55">
        <v>44449</v>
      </c>
      <c r="G38" s="55">
        <v>44449</v>
      </c>
      <c r="H38" s="55">
        <v>44357</v>
      </c>
      <c r="I38" s="55">
        <v>44357</v>
      </c>
      <c r="J38" s="55">
        <v>44490</v>
      </c>
      <c r="K38" s="55"/>
      <c r="L38" s="55">
        <v>44357</v>
      </c>
      <c r="M38" s="55">
        <v>44453</v>
      </c>
      <c r="N38" s="55">
        <v>44491</v>
      </c>
      <c r="O38" s="55"/>
      <c r="P38" s="55">
        <v>44384</v>
      </c>
      <c r="Q38" s="55">
        <v>44449</v>
      </c>
      <c r="R38" s="55">
        <v>44425</v>
      </c>
      <c r="S38" s="55">
        <v>44357</v>
      </c>
      <c r="T38" s="55"/>
      <c r="U38" s="55"/>
      <c r="V38" s="55">
        <v>44385</v>
      </c>
      <c r="W38" s="56">
        <v>44187</v>
      </c>
      <c r="X38" s="55">
        <v>44187</v>
      </c>
      <c r="Y38" s="55"/>
      <c r="Z38" s="55">
        <v>44357</v>
      </c>
      <c r="AA38" s="55">
        <v>44360</v>
      </c>
      <c r="AB38" s="55">
        <v>44490</v>
      </c>
      <c r="AC38" s="55">
        <v>44199</v>
      </c>
      <c r="AD38" s="55">
        <v>44357</v>
      </c>
      <c r="AE38" s="55"/>
      <c r="AF38" s="55"/>
      <c r="AG38" s="55">
        <v>44405</v>
      </c>
      <c r="AH38" s="55"/>
      <c r="AI38" s="55">
        <v>44175</v>
      </c>
      <c r="AJ38" s="55">
        <v>44175</v>
      </c>
      <c r="AK38" s="55"/>
      <c r="AL38" s="55"/>
      <c r="AM38" s="55"/>
      <c r="AN38" s="55">
        <v>44491</v>
      </c>
      <c r="AO38" s="55"/>
      <c r="AP38" s="55"/>
      <c r="AQ38" s="55"/>
      <c r="AR38" s="55">
        <v>44467</v>
      </c>
      <c r="AS38" s="55"/>
      <c r="AT38" s="55"/>
      <c r="AU38" s="55">
        <v>44410</v>
      </c>
      <c r="AV38" s="55"/>
      <c r="AW38" s="55"/>
      <c r="AX38" s="55"/>
      <c r="AY38" s="55"/>
      <c r="AZ38" s="55"/>
      <c r="BA38" s="55">
        <v>44356</v>
      </c>
      <c r="BB38" s="55"/>
      <c r="BC38" s="55">
        <v>44491</v>
      </c>
      <c r="BD38" s="55"/>
      <c r="BE38" s="55"/>
      <c r="BF38" s="55"/>
      <c r="BG38" s="55"/>
      <c r="BH38" s="55"/>
      <c r="BI38" s="55"/>
      <c r="BJ38" s="55"/>
    </row>
    <row r="39" spans="1:62" x14ac:dyDescent="0.4">
      <c r="A39" s="5">
        <f t="shared" si="1"/>
        <v>26</v>
      </c>
      <c r="B39" s="3" t="s">
        <v>35</v>
      </c>
      <c r="C39" s="55">
        <v>44497</v>
      </c>
      <c r="D39" s="55">
        <v>44322</v>
      </c>
      <c r="E39" s="55">
        <v>44403</v>
      </c>
      <c r="F39" s="55">
        <v>44497</v>
      </c>
      <c r="G39" s="55">
        <v>44497</v>
      </c>
      <c r="H39" s="55">
        <v>44404</v>
      </c>
      <c r="I39" s="55">
        <v>44259</v>
      </c>
      <c r="J39" s="55">
        <v>44432</v>
      </c>
      <c r="K39" s="55"/>
      <c r="L39" s="55"/>
      <c r="M39" s="55">
        <v>44498</v>
      </c>
      <c r="N39" s="55">
        <v>44404</v>
      </c>
      <c r="O39" s="55"/>
      <c r="P39" s="55">
        <v>44159</v>
      </c>
      <c r="Q39" s="55">
        <v>44497</v>
      </c>
      <c r="R39" s="55">
        <v>44159</v>
      </c>
      <c r="S39" s="55"/>
      <c r="T39" s="55"/>
      <c r="U39" s="55">
        <v>44159</v>
      </c>
      <c r="V39" s="55">
        <v>44284</v>
      </c>
      <c r="W39" s="55">
        <v>44467</v>
      </c>
      <c r="X39" s="55">
        <v>44404</v>
      </c>
      <c r="Y39" s="55"/>
      <c r="Z39" s="55">
        <v>44453</v>
      </c>
      <c r="AA39" s="55"/>
      <c r="AB39" s="55">
        <v>44159</v>
      </c>
      <c r="AC39" s="55"/>
      <c r="AD39" s="55">
        <v>44159</v>
      </c>
      <c r="AE39" s="55"/>
      <c r="AF39" s="55"/>
      <c r="AG39" s="55">
        <v>44498</v>
      </c>
      <c r="AH39" s="55"/>
      <c r="AI39" s="55">
        <v>44301</v>
      </c>
      <c r="AJ39" s="55">
        <v>44301</v>
      </c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>
        <v>44497</v>
      </c>
      <c r="AV39" s="55"/>
      <c r="AW39" s="55"/>
      <c r="AX39" s="55"/>
      <c r="AY39" s="55">
        <v>44495</v>
      </c>
      <c r="AZ39" s="55"/>
      <c r="BA39" s="55"/>
      <c r="BB39" s="55">
        <v>44320</v>
      </c>
      <c r="BC39" s="55"/>
      <c r="BD39" s="55"/>
      <c r="BE39" s="55"/>
      <c r="BF39" s="55"/>
      <c r="BG39" s="55"/>
      <c r="BH39" s="55"/>
      <c r="BI39" s="55"/>
      <c r="BJ39" s="55"/>
    </row>
    <row r="40" spans="1:62" x14ac:dyDescent="0.4">
      <c r="A40" s="5">
        <f t="shared" si="1"/>
        <v>34</v>
      </c>
      <c r="B40" s="3" t="s">
        <v>36</v>
      </c>
      <c r="C40" s="55">
        <v>44484</v>
      </c>
      <c r="D40" s="55">
        <v>44181</v>
      </c>
      <c r="E40" s="55">
        <v>44463</v>
      </c>
      <c r="F40" s="55">
        <v>44480</v>
      </c>
      <c r="G40" s="55">
        <v>44482</v>
      </c>
      <c r="H40" s="55">
        <v>44496</v>
      </c>
      <c r="I40" s="55">
        <v>44483</v>
      </c>
      <c r="J40" s="55">
        <v>44481</v>
      </c>
      <c r="K40" s="55"/>
      <c r="L40" s="55">
        <v>44482</v>
      </c>
      <c r="M40" s="55">
        <v>44482</v>
      </c>
      <c r="N40" s="55">
        <v>44362</v>
      </c>
      <c r="O40" s="55">
        <v>44180</v>
      </c>
      <c r="P40" s="55">
        <v>44187</v>
      </c>
      <c r="Q40" s="55">
        <v>44494</v>
      </c>
      <c r="R40" s="55"/>
      <c r="S40" s="55">
        <v>44169</v>
      </c>
      <c r="T40" s="55"/>
      <c r="U40" s="55">
        <v>44153</v>
      </c>
      <c r="V40" s="55">
        <v>44327</v>
      </c>
      <c r="W40" s="55">
        <v>44484</v>
      </c>
      <c r="X40" s="55">
        <v>44365</v>
      </c>
      <c r="Y40" s="55"/>
      <c r="Z40" s="55">
        <v>44351</v>
      </c>
      <c r="AA40" s="55">
        <v>44179</v>
      </c>
      <c r="AB40" s="55">
        <v>44483</v>
      </c>
      <c r="AC40" s="55">
        <v>44175</v>
      </c>
      <c r="AD40" s="55">
        <v>44181</v>
      </c>
      <c r="AE40" s="55">
        <v>44169</v>
      </c>
      <c r="AF40" s="55"/>
      <c r="AG40" s="55">
        <v>44342</v>
      </c>
      <c r="AH40" s="55"/>
      <c r="AI40" s="55">
        <v>44481</v>
      </c>
      <c r="AJ40" s="55">
        <v>44481</v>
      </c>
      <c r="AK40" s="55"/>
      <c r="AL40" s="55"/>
      <c r="AM40" s="55"/>
      <c r="AN40" s="55">
        <v>44398</v>
      </c>
      <c r="AO40" s="55"/>
      <c r="AP40" s="55"/>
      <c r="AQ40" s="55"/>
      <c r="AR40" s="55"/>
      <c r="AS40" s="55"/>
      <c r="AT40" s="55"/>
      <c r="AU40" s="55">
        <v>44419</v>
      </c>
      <c r="AV40" s="55"/>
      <c r="AW40" s="55"/>
      <c r="AX40" s="55">
        <v>44490</v>
      </c>
      <c r="AY40" s="55">
        <v>44376</v>
      </c>
      <c r="AZ40" s="55"/>
      <c r="BA40" s="55"/>
      <c r="BB40" s="55">
        <v>44369</v>
      </c>
      <c r="BC40" s="55"/>
      <c r="BD40" s="55"/>
      <c r="BE40" s="55"/>
      <c r="BF40" s="55"/>
      <c r="BG40" s="55">
        <v>44484</v>
      </c>
      <c r="BH40" s="55"/>
      <c r="BI40" s="55"/>
      <c r="BJ40" s="55"/>
    </row>
    <row r="41" spans="1:62" x14ac:dyDescent="0.4">
      <c r="A41" s="5">
        <f t="shared" si="1"/>
        <v>32</v>
      </c>
      <c r="B41" s="3" t="s">
        <v>37</v>
      </c>
      <c r="C41" s="55">
        <v>44497</v>
      </c>
      <c r="D41" s="55">
        <v>44280</v>
      </c>
      <c r="E41" s="55">
        <v>44463</v>
      </c>
      <c r="F41" s="55">
        <v>44463</v>
      </c>
      <c r="G41" s="55">
        <v>44463</v>
      </c>
      <c r="H41" s="55">
        <v>44497</v>
      </c>
      <c r="I41" s="55">
        <v>44264</v>
      </c>
      <c r="J41" s="55">
        <v>44447</v>
      </c>
      <c r="K41" s="55"/>
      <c r="L41" s="55">
        <v>44314</v>
      </c>
      <c r="M41" s="55">
        <v>44447</v>
      </c>
      <c r="N41" s="55">
        <v>44188</v>
      </c>
      <c r="O41" s="55">
        <v>44463</v>
      </c>
      <c r="P41" s="55">
        <v>44175</v>
      </c>
      <c r="Q41" s="55">
        <v>44497</v>
      </c>
      <c r="R41" s="55">
        <v>44186</v>
      </c>
      <c r="S41" s="55">
        <v>44463</v>
      </c>
      <c r="T41" s="55"/>
      <c r="U41" s="55">
        <v>44260</v>
      </c>
      <c r="V41" s="55">
        <v>44448</v>
      </c>
      <c r="W41" s="55">
        <v>44477</v>
      </c>
      <c r="X41" s="55">
        <v>44218</v>
      </c>
      <c r="Y41" s="55"/>
      <c r="Z41" s="55">
        <v>44313</v>
      </c>
      <c r="AA41" s="55">
        <v>44462</v>
      </c>
      <c r="AB41" s="55">
        <v>44172</v>
      </c>
      <c r="AC41" s="55">
        <v>44217</v>
      </c>
      <c r="AD41" s="55">
        <v>44188</v>
      </c>
      <c r="AE41" s="55">
        <v>44483</v>
      </c>
      <c r="AF41" s="55">
        <v>44497</v>
      </c>
      <c r="AG41" s="55"/>
      <c r="AH41" s="55"/>
      <c r="AI41" s="55">
        <v>44288</v>
      </c>
      <c r="AJ41" s="55">
        <v>44288</v>
      </c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>
        <v>44406</v>
      </c>
      <c r="AZ41" s="55"/>
      <c r="BA41" s="55">
        <v>44463</v>
      </c>
      <c r="BB41" s="55">
        <v>44497</v>
      </c>
      <c r="BC41" s="55"/>
      <c r="BD41" s="55"/>
      <c r="BE41" s="55"/>
      <c r="BF41" s="55"/>
      <c r="BG41" s="55"/>
      <c r="BH41" s="55"/>
      <c r="BI41" s="55"/>
      <c r="BJ41" s="55"/>
    </row>
    <row r="42" spans="1:62" x14ac:dyDescent="0.4">
      <c r="A42" s="5">
        <f t="shared" si="1"/>
        <v>30</v>
      </c>
      <c r="B42" s="3" t="s">
        <v>38</v>
      </c>
      <c r="C42" s="55">
        <v>44495</v>
      </c>
      <c r="D42" s="55">
        <v>44495</v>
      </c>
      <c r="E42" s="55">
        <v>44495</v>
      </c>
      <c r="F42" s="55">
        <v>44496</v>
      </c>
      <c r="G42" s="55">
        <v>44495</v>
      </c>
      <c r="H42" s="55">
        <v>44495</v>
      </c>
      <c r="I42" s="55">
        <v>44495</v>
      </c>
      <c r="J42" s="55">
        <v>44495</v>
      </c>
      <c r="K42" s="55"/>
      <c r="L42" s="55">
        <v>44495</v>
      </c>
      <c r="M42" s="55">
        <v>44495</v>
      </c>
      <c r="N42" s="55">
        <v>44496</v>
      </c>
      <c r="O42" s="55">
        <v>44495</v>
      </c>
      <c r="P42" s="55">
        <v>44495</v>
      </c>
      <c r="Q42" s="55">
        <v>44495</v>
      </c>
      <c r="R42" s="55"/>
      <c r="S42" s="55">
        <v>44495</v>
      </c>
      <c r="T42" s="55"/>
      <c r="U42" s="55">
        <v>44495</v>
      </c>
      <c r="V42" s="55">
        <v>44495</v>
      </c>
      <c r="W42" s="55">
        <v>44495</v>
      </c>
      <c r="X42" s="55">
        <v>44495</v>
      </c>
      <c r="Y42" s="55"/>
      <c r="Z42" s="55"/>
      <c r="AA42" s="55">
        <v>44495</v>
      </c>
      <c r="AB42" s="55">
        <v>44495</v>
      </c>
      <c r="AC42" s="55">
        <v>44496</v>
      </c>
      <c r="AD42" s="55">
        <v>44496</v>
      </c>
      <c r="AE42" s="55"/>
      <c r="AF42" s="55"/>
      <c r="AG42" s="55">
        <v>44496</v>
      </c>
      <c r="AH42" s="55"/>
      <c r="AI42" s="55">
        <v>44495</v>
      </c>
      <c r="AJ42" s="55">
        <v>44495</v>
      </c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>
        <v>44495</v>
      </c>
      <c r="AY42" s="55">
        <v>44504</v>
      </c>
      <c r="AZ42" s="55"/>
      <c r="BA42" s="55"/>
      <c r="BB42" s="55">
        <v>44495</v>
      </c>
      <c r="BC42" s="55">
        <v>44495</v>
      </c>
      <c r="BD42" s="55"/>
      <c r="BE42" s="55"/>
      <c r="BF42" s="55"/>
      <c r="BG42" s="55"/>
      <c r="BH42" s="55"/>
      <c r="BI42" s="55"/>
      <c r="BJ42" s="55"/>
    </row>
    <row r="43" spans="1:62" x14ac:dyDescent="0.4">
      <c r="A43" s="5">
        <f t="shared" si="1"/>
        <v>25</v>
      </c>
      <c r="B43" s="3" t="s">
        <v>39</v>
      </c>
      <c r="C43" s="55">
        <v>44491</v>
      </c>
      <c r="D43" s="55">
        <v>44455</v>
      </c>
      <c r="E43" s="55">
        <v>44447</v>
      </c>
      <c r="F43" s="55"/>
      <c r="G43" s="55">
        <v>44459</v>
      </c>
      <c r="H43" s="55">
        <v>44232</v>
      </c>
      <c r="I43" s="55">
        <v>44494</v>
      </c>
      <c r="J43" s="55">
        <v>44413</v>
      </c>
      <c r="K43" s="55"/>
      <c r="L43" s="55">
        <v>44306</v>
      </c>
      <c r="M43" s="55">
        <v>44459</v>
      </c>
      <c r="N43" s="55">
        <v>44139</v>
      </c>
      <c r="O43" s="55"/>
      <c r="P43" s="55">
        <v>44435</v>
      </c>
      <c r="Q43" s="55">
        <v>44372</v>
      </c>
      <c r="R43" s="55"/>
      <c r="S43" s="55">
        <v>44363</v>
      </c>
      <c r="T43" s="55"/>
      <c r="U43" s="55">
        <v>44490</v>
      </c>
      <c r="V43" s="55">
        <v>44466</v>
      </c>
      <c r="W43" s="55"/>
      <c r="X43" s="55"/>
      <c r="Y43" s="55"/>
      <c r="Z43" s="55"/>
      <c r="AA43" s="55">
        <v>44443</v>
      </c>
      <c r="AB43" s="55">
        <v>44487</v>
      </c>
      <c r="AC43" s="55"/>
      <c r="AD43" s="55">
        <v>44223</v>
      </c>
      <c r="AE43" s="55">
        <v>44466</v>
      </c>
      <c r="AF43" s="55"/>
      <c r="AG43" s="55"/>
      <c r="AH43" s="55"/>
      <c r="AI43" s="55">
        <v>44372</v>
      </c>
      <c r="AJ43" s="55">
        <v>44372</v>
      </c>
      <c r="AK43" s="55"/>
      <c r="AL43" s="55"/>
      <c r="AM43" s="55"/>
      <c r="AN43" s="55"/>
      <c r="AO43" s="55"/>
      <c r="AP43" s="55"/>
      <c r="AQ43" s="55"/>
      <c r="AR43" s="55">
        <v>44491</v>
      </c>
      <c r="AS43" s="55"/>
      <c r="AT43" s="55"/>
      <c r="AU43" s="55">
        <v>44457</v>
      </c>
      <c r="AV43" s="55"/>
      <c r="AW43" s="55"/>
      <c r="AX43" s="55"/>
      <c r="AY43" s="55">
        <v>44413</v>
      </c>
      <c r="AZ43" s="55"/>
      <c r="BA43" s="55">
        <v>44459</v>
      </c>
      <c r="BB43" s="55"/>
      <c r="BC43" s="55"/>
      <c r="BD43" s="55"/>
      <c r="BE43" s="55"/>
      <c r="BF43" s="55"/>
      <c r="BG43" s="55"/>
      <c r="BH43" s="55"/>
      <c r="BI43" s="55"/>
      <c r="BJ43" s="55"/>
    </row>
    <row r="44" spans="1:62" x14ac:dyDescent="0.4">
      <c r="A44" s="5">
        <f t="shared" si="1"/>
        <v>32</v>
      </c>
      <c r="B44" s="3" t="s">
        <v>40</v>
      </c>
      <c r="C44" s="55">
        <v>44485</v>
      </c>
      <c r="D44" s="55">
        <v>44393</v>
      </c>
      <c r="E44" s="55">
        <v>44483</v>
      </c>
      <c r="F44" s="55">
        <v>44483</v>
      </c>
      <c r="G44" s="55">
        <v>44490</v>
      </c>
      <c r="H44" s="55">
        <v>44491</v>
      </c>
      <c r="I44" s="55">
        <v>44477</v>
      </c>
      <c r="J44" s="55">
        <v>44428</v>
      </c>
      <c r="K44" s="55"/>
      <c r="L44" s="55"/>
      <c r="M44" s="55">
        <v>44491</v>
      </c>
      <c r="N44" s="55">
        <v>44469</v>
      </c>
      <c r="O44" s="55">
        <v>44390</v>
      </c>
      <c r="P44" s="55">
        <v>44489</v>
      </c>
      <c r="Q44" s="55"/>
      <c r="R44" s="55">
        <v>44340</v>
      </c>
      <c r="S44" s="55"/>
      <c r="T44" s="55"/>
      <c r="U44" s="55">
        <v>44483</v>
      </c>
      <c r="V44" s="55">
        <v>44357</v>
      </c>
      <c r="W44" s="55">
        <v>44485</v>
      </c>
      <c r="X44" s="55">
        <v>44485</v>
      </c>
      <c r="Y44" s="55"/>
      <c r="Z44" s="55">
        <v>44484</v>
      </c>
      <c r="AA44" s="55">
        <v>44469</v>
      </c>
      <c r="AB44" s="55">
        <v>44475</v>
      </c>
      <c r="AC44" s="55"/>
      <c r="AD44" s="55">
        <v>44489</v>
      </c>
      <c r="AE44" s="55">
        <v>44483</v>
      </c>
      <c r="AF44" s="55"/>
      <c r="AG44" s="55"/>
      <c r="AH44" s="55"/>
      <c r="AI44" s="55">
        <v>44484</v>
      </c>
      <c r="AJ44" s="55">
        <v>44484</v>
      </c>
      <c r="AK44" s="55"/>
      <c r="AL44" s="55"/>
      <c r="AM44" s="55"/>
      <c r="AN44" s="55"/>
      <c r="AO44" s="55"/>
      <c r="AP44" s="55"/>
      <c r="AQ44" s="55"/>
      <c r="AR44" s="55">
        <v>44484</v>
      </c>
      <c r="AS44" s="55"/>
      <c r="AT44" s="55"/>
      <c r="AU44" s="55">
        <v>44484</v>
      </c>
      <c r="AV44" s="55"/>
      <c r="AW44" s="55"/>
      <c r="AX44" s="55">
        <v>44488</v>
      </c>
      <c r="AY44" s="55">
        <v>44377</v>
      </c>
      <c r="AZ44" s="55">
        <v>44456</v>
      </c>
      <c r="BA44" s="55">
        <v>44483</v>
      </c>
      <c r="BB44" s="55">
        <v>44428</v>
      </c>
      <c r="BC44" s="55">
        <v>44369</v>
      </c>
      <c r="BD44" s="55"/>
      <c r="BE44" s="55"/>
      <c r="BF44" s="55"/>
      <c r="BG44" s="55"/>
      <c r="BH44" s="55"/>
      <c r="BI44" s="55"/>
      <c r="BJ44" s="55"/>
    </row>
    <row r="45" spans="1:62" x14ac:dyDescent="0.4">
      <c r="A45" s="5">
        <f t="shared" si="1"/>
        <v>28</v>
      </c>
      <c r="B45" s="3" t="s">
        <v>41</v>
      </c>
      <c r="C45" s="55">
        <v>44378</v>
      </c>
      <c r="D45" s="55">
        <v>44463</v>
      </c>
      <c r="E45" s="55">
        <v>44376</v>
      </c>
      <c r="F45" s="55">
        <v>44463</v>
      </c>
      <c r="G45" s="55">
        <v>44477</v>
      </c>
      <c r="H45" s="55"/>
      <c r="I45" s="55">
        <v>44357</v>
      </c>
      <c r="J45" s="55">
        <v>44487</v>
      </c>
      <c r="K45" s="55"/>
      <c r="L45" s="55">
        <v>44483</v>
      </c>
      <c r="M45" s="55">
        <v>44466</v>
      </c>
      <c r="N45" s="55">
        <v>44378</v>
      </c>
      <c r="O45" s="55">
        <v>44236</v>
      </c>
      <c r="P45" s="55">
        <v>44378</v>
      </c>
      <c r="Q45" s="55">
        <v>44403</v>
      </c>
      <c r="R45" s="55">
        <v>44342</v>
      </c>
      <c r="S45" s="55"/>
      <c r="T45" s="55"/>
      <c r="U45" s="55">
        <v>44404</v>
      </c>
      <c r="V45" s="55"/>
      <c r="W45" s="55">
        <v>44433</v>
      </c>
      <c r="X45" s="55">
        <v>44166</v>
      </c>
      <c r="Y45" s="55"/>
      <c r="Z45" s="55">
        <v>44371</v>
      </c>
      <c r="AA45" s="55">
        <v>44364</v>
      </c>
      <c r="AB45" s="55">
        <v>44140</v>
      </c>
      <c r="AC45" s="55">
        <v>44369</v>
      </c>
      <c r="AD45" s="55">
        <v>44378</v>
      </c>
      <c r="AE45" s="55"/>
      <c r="AF45" s="55"/>
      <c r="AG45" s="55">
        <v>44371</v>
      </c>
      <c r="AH45" s="55"/>
      <c r="AI45" s="55">
        <v>44221</v>
      </c>
      <c r="AJ45" s="55">
        <v>44435</v>
      </c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>
        <v>44372</v>
      </c>
      <c r="AV45" s="55"/>
      <c r="AW45" s="55"/>
      <c r="AX45" s="55"/>
      <c r="AY45" s="55">
        <v>44378</v>
      </c>
      <c r="AZ45" s="55"/>
      <c r="BA45" s="55"/>
      <c r="BB45" s="55">
        <v>44341</v>
      </c>
      <c r="BC45" s="55"/>
      <c r="BD45" s="55"/>
      <c r="BE45" s="55"/>
      <c r="BF45" s="55"/>
      <c r="BG45" s="55"/>
      <c r="BH45" s="55"/>
      <c r="BI45" s="55"/>
      <c r="BJ45" s="55"/>
    </row>
    <row r="46" spans="1:62" x14ac:dyDescent="0.4">
      <c r="A46" s="5">
        <f t="shared" si="1"/>
        <v>29</v>
      </c>
      <c r="B46" s="3" t="s">
        <v>42</v>
      </c>
      <c r="C46" s="55">
        <v>44490</v>
      </c>
      <c r="D46" s="55">
        <v>44377</v>
      </c>
      <c r="E46" s="55">
        <v>44453</v>
      </c>
      <c r="F46" s="55">
        <v>44466</v>
      </c>
      <c r="G46" s="55">
        <v>44489</v>
      </c>
      <c r="H46" s="55">
        <v>44372</v>
      </c>
      <c r="I46" s="55">
        <v>44365</v>
      </c>
      <c r="J46" s="55">
        <v>44496</v>
      </c>
      <c r="K46" s="55"/>
      <c r="L46" s="55"/>
      <c r="M46" s="55">
        <v>44447</v>
      </c>
      <c r="N46" s="55">
        <v>44377</v>
      </c>
      <c r="O46" s="55"/>
      <c r="P46" s="55">
        <v>44487</v>
      </c>
      <c r="Q46" s="55">
        <v>44466</v>
      </c>
      <c r="R46" s="55">
        <v>44372</v>
      </c>
      <c r="S46" s="55">
        <v>44363</v>
      </c>
      <c r="T46" s="55"/>
      <c r="U46" s="55">
        <v>44376</v>
      </c>
      <c r="V46" s="55">
        <v>44376</v>
      </c>
      <c r="W46" s="55">
        <v>44370</v>
      </c>
      <c r="X46" s="55">
        <v>44370</v>
      </c>
      <c r="Y46" s="55"/>
      <c r="Z46" s="55">
        <v>44363</v>
      </c>
      <c r="AA46" s="55">
        <v>44382</v>
      </c>
      <c r="AB46" s="55">
        <v>44382</v>
      </c>
      <c r="AC46" s="55"/>
      <c r="AD46" s="55">
        <v>44368</v>
      </c>
      <c r="AE46" s="55"/>
      <c r="AF46" s="55"/>
      <c r="AG46" s="55"/>
      <c r="AH46" s="55"/>
      <c r="AI46" s="55">
        <v>44314</v>
      </c>
      <c r="AJ46" s="55">
        <v>44284</v>
      </c>
      <c r="AK46" s="55"/>
      <c r="AL46" s="55"/>
      <c r="AM46" s="55"/>
      <c r="AN46" s="55"/>
      <c r="AO46" s="55"/>
      <c r="AP46" s="55"/>
      <c r="AQ46" s="55"/>
      <c r="AR46" s="55">
        <v>44370</v>
      </c>
      <c r="AS46" s="55"/>
      <c r="AT46" s="55"/>
      <c r="AU46" s="55">
        <v>44490</v>
      </c>
      <c r="AV46" s="55"/>
      <c r="AW46" s="55"/>
      <c r="AX46" s="55"/>
      <c r="AY46" s="55">
        <v>44377</v>
      </c>
      <c r="AZ46" s="55"/>
      <c r="BA46" s="55"/>
      <c r="BB46" s="55">
        <v>44355</v>
      </c>
      <c r="BC46" s="55">
        <v>44382</v>
      </c>
      <c r="BD46" s="55"/>
      <c r="BE46" s="55"/>
      <c r="BF46" s="55"/>
      <c r="BG46" s="55"/>
      <c r="BH46" s="55"/>
      <c r="BI46" s="55"/>
      <c r="BJ46" s="55"/>
    </row>
    <row r="47" spans="1:62" x14ac:dyDescent="0.4">
      <c r="A47" s="5">
        <f t="shared" si="1"/>
        <v>25</v>
      </c>
      <c r="B47" s="3" t="s">
        <v>43</v>
      </c>
      <c r="C47" s="55">
        <v>44368</v>
      </c>
      <c r="D47" s="55">
        <v>44214</v>
      </c>
      <c r="E47" s="55">
        <v>44477</v>
      </c>
      <c r="F47" s="55"/>
      <c r="G47" s="55"/>
      <c r="H47" s="55">
        <v>44173</v>
      </c>
      <c r="I47" s="55">
        <v>44481</v>
      </c>
      <c r="J47" s="55">
        <v>44484</v>
      </c>
      <c r="K47" s="55"/>
      <c r="L47" s="55"/>
      <c r="M47" s="55">
        <v>44413</v>
      </c>
      <c r="N47" s="55">
        <v>44481</v>
      </c>
      <c r="O47" s="55"/>
      <c r="P47" s="55">
        <v>44186</v>
      </c>
      <c r="Q47" s="55">
        <v>44245</v>
      </c>
      <c r="R47" s="55"/>
      <c r="S47" s="55"/>
      <c r="T47" s="55">
        <v>44453</v>
      </c>
      <c r="U47" s="55">
        <v>44186</v>
      </c>
      <c r="V47" s="55">
        <v>44476</v>
      </c>
      <c r="W47" s="55"/>
      <c r="X47" s="55">
        <v>44393</v>
      </c>
      <c r="Y47" s="55"/>
      <c r="Z47" s="55">
        <v>44420</v>
      </c>
      <c r="AA47" s="55">
        <v>44422</v>
      </c>
      <c r="AB47" s="55">
        <v>44301</v>
      </c>
      <c r="AC47" s="55"/>
      <c r="AD47" s="55">
        <v>44449</v>
      </c>
      <c r="AE47" s="55"/>
      <c r="AF47" s="55"/>
      <c r="AG47" s="55">
        <v>44393</v>
      </c>
      <c r="AH47" s="55"/>
      <c r="AI47" s="55">
        <v>44481</v>
      </c>
      <c r="AJ47" s="55">
        <v>44481</v>
      </c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>
        <v>44476</v>
      </c>
      <c r="AV47" s="55"/>
      <c r="AW47" s="55"/>
      <c r="AX47" s="55"/>
      <c r="AY47" s="55">
        <v>44475</v>
      </c>
      <c r="AZ47" s="55"/>
      <c r="BA47" s="55"/>
      <c r="BB47" s="55">
        <v>44484</v>
      </c>
      <c r="BC47" s="55"/>
      <c r="BD47" s="55"/>
      <c r="BE47" s="55"/>
      <c r="BF47" s="55"/>
      <c r="BG47" s="55">
        <v>44350</v>
      </c>
      <c r="BH47" s="55"/>
      <c r="BI47" s="55"/>
      <c r="BJ47" s="55"/>
    </row>
    <row r="48" spans="1:62" x14ac:dyDescent="0.4">
      <c r="A48" s="5">
        <f t="shared" si="1"/>
        <v>13</v>
      </c>
      <c r="B48" s="3" t="s">
        <v>44</v>
      </c>
      <c r="C48" s="55"/>
      <c r="D48" s="55">
        <v>44259</v>
      </c>
      <c r="E48" s="55"/>
      <c r="F48" s="55"/>
      <c r="G48" s="55"/>
      <c r="H48" s="55"/>
      <c r="I48" s="55">
        <v>44364</v>
      </c>
      <c r="J48" s="55">
        <v>44498</v>
      </c>
      <c r="K48" s="55"/>
      <c r="L48" s="55">
        <v>44497</v>
      </c>
      <c r="M48" s="55">
        <v>44497</v>
      </c>
      <c r="N48" s="55"/>
      <c r="O48" s="55"/>
      <c r="P48" s="55"/>
      <c r="Q48" s="55"/>
      <c r="R48" s="55"/>
      <c r="S48" s="55">
        <v>44249</v>
      </c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>
        <v>44494</v>
      </c>
      <c r="AL48" s="55"/>
      <c r="AM48" s="55">
        <v>44489</v>
      </c>
      <c r="AN48" s="55"/>
      <c r="AO48" s="55"/>
      <c r="AP48" s="55"/>
      <c r="AQ48" s="55"/>
      <c r="AR48" s="55"/>
      <c r="AS48" s="55"/>
      <c r="AT48" s="55"/>
      <c r="AU48" s="55">
        <v>44496</v>
      </c>
      <c r="AV48" s="55"/>
      <c r="AW48" s="55">
        <v>44495</v>
      </c>
      <c r="AX48" s="55"/>
      <c r="AY48" s="55"/>
      <c r="AZ48" s="55"/>
      <c r="BA48" s="55"/>
      <c r="BB48" s="55"/>
      <c r="BC48" s="55"/>
      <c r="BD48" s="55"/>
      <c r="BE48" s="55">
        <v>44498</v>
      </c>
      <c r="BF48" s="55"/>
      <c r="BG48" s="55"/>
      <c r="BH48" s="55"/>
      <c r="BI48" s="55">
        <v>44223</v>
      </c>
      <c r="BJ48" s="55">
        <v>44498</v>
      </c>
    </row>
    <row r="49" spans="1:62" x14ac:dyDescent="0.4">
      <c r="A49" s="5">
        <f t="shared" si="1"/>
        <v>36</v>
      </c>
      <c r="B49" s="3" t="s">
        <v>45</v>
      </c>
      <c r="C49" s="55">
        <v>44411</v>
      </c>
      <c r="D49" s="55">
        <v>44333</v>
      </c>
      <c r="E49" s="55">
        <v>44410</v>
      </c>
      <c r="F49" s="55">
        <v>44468</v>
      </c>
      <c r="G49" s="55">
        <v>44483</v>
      </c>
      <c r="H49" s="55">
        <v>44333</v>
      </c>
      <c r="I49" s="55">
        <v>44410</v>
      </c>
      <c r="J49" s="55">
        <v>44468</v>
      </c>
      <c r="K49" s="55"/>
      <c r="L49" s="55">
        <v>44410</v>
      </c>
      <c r="M49" s="55">
        <v>44483</v>
      </c>
      <c r="N49" s="55">
        <v>44494</v>
      </c>
      <c r="O49" s="55"/>
      <c r="P49" s="55">
        <v>44334</v>
      </c>
      <c r="Q49" s="55"/>
      <c r="R49" s="55">
        <v>44489</v>
      </c>
      <c r="S49" s="55">
        <v>44418</v>
      </c>
      <c r="T49" s="55"/>
      <c r="U49" s="55">
        <v>44333</v>
      </c>
      <c r="V49" s="55">
        <v>44333</v>
      </c>
      <c r="W49" s="55"/>
      <c r="X49" s="55"/>
      <c r="Y49" s="55"/>
      <c r="Z49" s="55">
        <v>44151</v>
      </c>
      <c r="AA49" s="55">
        <v>44333</v>
      </c>
      <c r="AB49" s="55">
        <v>44489</v>
      </c>
      <c r="AC49" s="55"/>
      <c r="AD49" s="55">
        <v>44333</v>
      </c>
      <c r="AE49" s="55"/>
      <c r="AF49" s="55">
        <v>44410</v>
      </c>
      <c r="AG49" s="55">
        <v>44410</v>
      </c>
      <c r="AH49" s="55">
        <v>44333</v>
      </c>
      <c r="AI49" s="55">
        <v>44468</v>
      </c>
      <c r="AJ49" s="55">
        <v>44468</v>
      </c>
      <c r="AK49" s="55"/>
      <c r="AL49" s="55"/>
      <c r="AM49" s="55"/>
      <c r="AN49" s="55"/>
      <c r="AO49" s="55"/>
      <c r="AP49" s="55"/>
      <c r="AQ49" s="55">
        <v>44151</v>
      </c>
      <c r="AR49" s="55">
        <v>44327</v>
      </c>
      <c r="AS49" s="55"/>
      <c r="AT49" s="55"/>
      <c r="AU49" s="55">
        <v>44410</v>
      </c>
      <c r="AV49" s="55">
        <v>44468</v>
      </c>
      <c r="AW49" s="55"/>
      <c r="AX49" s="55">
        <v>44468</v>
      </c>
      <c r="AY49" s="55">
        <v>44489</v>
      </c>
      <c r="AZ49" s="55"/>
      <c r="BA49" s="55">
        <v>44410</v>
      </c>
      <c r="BB49" s="55">
        <v>44468</v>
      </c>
      <c r="BC49" s="55">
        <v>44410</v>
      </c>
      <c r="BD49" s="55">
        <v>44410</v>
      </c>
      <c r="BE49" s="55"/>
      <c r="BF49" s="55"/>
      <c r="BG49" s="55">
        <v>44327</v>
      </c>
      <c r="BH49" s="55"/>
      <c r="BI49" s="55"/>
      <c r="BJ49" s="55"/>
    </row>
    <row r="50" spans="1:62" x14ac:dyDescent="0.4">
      <c r="A50" s="5">
        <f t="shared" si="1"/>
        <v>28</v>
      </c>
      <c r="B50" s="3" t="s">
        <v>46</v>
      </c>
      <c r="C50" s="55">
        <v>44481</v>
      </c>
      <c r="D50" s="55">
        <v>44371</v>
      </c>
      <c r="E50" s="55">
        <v>44362</v>
      </c>
      <c r="F50" s="55">
        <v>44418</v>
      </c>
      <c r="G50" s="55">
        <v>44418</v>
      </c>
      <c r="H50" s="55">
        <v>44488</v>
      </c>
      <c r="I50" s="55">
        <v>44274</v>
      </c>
      <c r="J50" s="55">
        <v>44431</v>
      </c>
      <c r="K50" s="55"/>
      <c r="L50" s="55"/>
      <c r="M50" s="55">
        <v>44420</v>
      </c>
      <c r="N50" s="55">
        <v>44363</v>
      </c>
      <c r="O50" s="55"/>
      <c r="P50" s="55">
        <v>44327</v>
      </c>
      <c r="Q50" s="55"/>
      <c r="R50" s="55">
        <v>44491</v>
      </c>
      <c r="S50" s="55">
        <v>44369</v>
      </c>
      <c r="T50" s="55"/>
      <c r="U50" s="55">
        <v>44390</v>
      </c>
      <c r="V50" s="55"/>
      <c r="W50" s="55">
        <v>44484</v>
      </c>
      <c r="X50" s="55"/>
      <c r="Y50" s="55"/>
      <c r="Z50" s="55"/>
      <c r="AA50" s="55">
        <v>44489</v>
      </c>
      <c r="AB50" s="55">
        <v>44363</v>
      </c>
      <c r="AC50" s="55"/>
      <c r="AD50" s="55"/>
      <c r="AE50" s="55"/>
      <c r="AF50" s="55"/>
      <c r="AG50" s="55">
        <v>44329</v>
      </c>
      <c r="AH50" s="55"/>
      <c r="AI50" s="55">
        <v>44389</v>
      </c>
      <c r="AJ50" s="55">
        <v>44389</v>
      </c>
      <c r="AK50" s="55"/>
      <c r="AL50" s="55"/>
      <c r="AM50" s="55"/>
      <c r="AN50" s="55">
        <v>44463</v>
      </c>
      <c r="AO50" s="55"/>
      <c r="AP50" s="55"/>
      <c r="AQ50" s="55"/>
      <c r="AR50" s="55">
        <v>44494</v>
      </c>
      <c r="AS50" s="55"/>
      <c r="AT50" s="55"/>
      <c r="AU50" s="55">
        <v>44431</v>
      </c>
      <c r="AV50" s="55"/>
      <c r="AW50" s="55"/>
      <c r="AX50" s="55"/>
      <c r="AY50" s="55">
        <v>44456</v>
      </c>
      <c r="AZ50" s="55">
        <v>44453</v>
      </c>
      <c r="BA50" s="55"/>
      <c r="BB50" s="55"/>
      <c r="BC50" s="55">
        <v>44431</v>
      </c>
      <c r="BD50" s="55">
        <v>44431</v>
      </c>
      <c r="BE50" s="55"/>
      <c r="BF50" s="55"/>
      <c r="BG50" s="55">
        <v>44456</v>
      </c>
      <c r="BH50" s="55"/>
      <c r="BI50" s="55"/>
      <c r="BJ50" s="55"/>
    </row>
    <row r="51" spans="1:62" x14ac:dyDescent="0.4">
      <c r="A51" s="5">
        <f t="shared" si="1"/>
        <v>31</v>
      </c>
      <c r="B51" s="3" t="s">
        <v>47</v>
      </c>
      <c r="C51" s="55"/>
      <c r="D51" s="55">
        <v>44348</v>
      </c>
      <c r="E51" s="55">
        <v>44347</v>
      </c>
      <c r="F51" s="55">
        <v>44445</v>
      </c>
      <c r="G51" s="55">
        <v>44489</v>
      </c>
      <c r="H51" s="55">
        <v>44445</v>
      </c>
      <c r="I51" s="55">
        <v>44314</v>
      </c>
      <c r="J51" s="55">
        <v>44447</v>
      </c>
      <c r="K51" s="55"/>
      <c r="L51" s="55"/>
      <c r="M51" s="55">
        <v>44489</v>
      </c>
      <c r="N51" s="55">
        <v>44347</v>
      </c>
      <c r="O51" s="55"/>
      <c r="P51" s="55">
        <v>44348</v>
      </c>
      <c r="Q51" s="55">
        <v>44348</v>
      </c>
      <c r="R51" s="55">
        <v>44337</v>
      </c>
      <c r="S51" s="55">
        <v>44349</v>
      </c>
      <c r="T51" s="55"/>
      <c r="U51" s="55">
        <v>44347</v>
      </c>
      <c r="V51" s="55">
        <v>44300</v>
      </c>
      <c r="W51" s="55"/>
      <c r="X51" s="55"/>
      <c r="Y51" s="55">
        <v>44445</v>
      </c>
      <c r="Z51" s="55">
        <v>44348</v>
      </c>
      <c r="AA51" s="55">
        <v>44349</v>
      </c>
      <c r="AB51" s="55">
        <v>44314</v>
      </c>
      <c r="AC51" s="55">
        <v>44348</v>
      </c>
      <c r="AD51" s="55"/>
      <c r="AE51" s="55">
        <v>44348</v>
      </c>
      <c r="AF51" s="55"/>
      <c r="AG51" s="55">
        <v>44348</v>
      </c>
      <c r="AH51" s="55">
        <v>44446</v>
      </c>
      <c r="AI51" s="55"/>
      <c r="AJ51" s="55">
        <v>44333</v>
      </c>
      <c r="AK51" s="55"/>
      <c r="AL51" s="55"/>
      <c r="AM51" s="55"/>
      <c r="AN51" s="55"/>
      <c r="AO51" s="55"/>
      <c r="AP51" s="55"/>
      <c r="AQ51" s="55"/>
      <c r="AR51" s="55">
        <v>44438</v>
      </c>
      <c r="AS51" s="55"/>
      <c r="AT51" s="55"/>
      <c r="AU51" s="55">
        <v>44447</v>
      </c>
      <c r="AV51" s="55"/>
      <c r="AW51" s="55"/>
      <c r="AX51" s="55"/>
      <c r="AY51" s="55"/>
      <c r="AZ51" s="55">
        <v>44448</v>
      </c>
      <c r="BA51" s="55">
        <v>44448</v>
      </c>
      <c r="BB51" s="55">
        <v>44447</v>
      </c>
      <c r="BC51" s="55">
        <v>44495</v>
      </c>
      <c r="BD51" s="55">
        <v>44497</v>
      </c>
      <c r="BE51" s="55"/>
      <c r="BF51" s="55"/>
      <c r="BG51" s="55"/>
      <c r="BH51" s="55"/>
      <c r="BI51" s="55"/>
      <c r="BJ51" s="55"/>
    </row>
    <row r="52" spans="1:62" x14ac:dyDescent="0.4">
      <c r="A52" s="5">
        <f t="shared" si="1"/>
        <v>37</v>
      </c>
      <c r="B52" s="3" t="s">
        <v>48</v>
      </c>
      <c r="C52" s="55">
        <v>44496</v>
      </c>
      <c r="D52" s="55">
        <v>44491</v>
      </c>
      <c r="E52" s="55">
        <v>44463</v>
      </c>
      <c r="F52" s="55">
        <v>44496</v>
      </c>
      <c r="G52" s="55">
        <v>44496</v>
      </c>
      <c r="H52" s="55">
        <v>44496</v>
      </c>
      <c r="I52" s="55">
        <v>44496</v>
      </c>
      <c r="J52" s="55">
        <v>44491</v>
      </c>
      <c r="K52" s="55"/>
      <c r="L52" s="55">
        <v>44496</v>
      </c>
      <c r="M52" s="56">
        <v>44385</v>
      </c>
      <c r="N52" s="55">
        <v>44498</v>
      </c>
      <c r="O52" s="55"/>
      <c r="P52" s="55">
        <v>44496</v>
      </c>
      <c r="Q52" s="55">
        <v>44496</v>
      </c>
      <c r="R52" s="55">
        <v>44496</v>
      </c>
      <c r="S52" s="55">
        <v>44491</v>
      </c>
      <c r="T52" s="55"/>
      <c r="U52" s="55">
        <v>44494</v>
      </c>
      <c r="V52" s="55">
        <v>44467</v>
      </c>
      <c r="W52" s="55"/>
      <c r="X52" s="55"/>
      <c r="Y52" s="55"/>
      <c r="Z52" s="55"/>
      <c r="AA52" s="55">
        <v>44496</v>
      </c>
      <c r="AB52" s="55">
        <v>44496</v>
      </c>
      <c r="AC52" s="55">
        <v>44496</v>
      </c>
      <c r="AD52" s="55">
        <v>44494</v>
      </c>
      <c r="AE52" s="55"/>
      <c r="AF52" s="55">
        <v>44496</v>
      </c>
      <c r="AG52" s="55">
        <v>44498</v>
      </c>
      <c r="AH52" s="55">
        <v>44496</v>
      </c>
      <c r="AI52" s="55">
        <v>44496</v>
      </c>
      <c r="AJ52" s="55">
        <v>44496</v>
      </c>
      <c r="AK52" s="55"/>
      <c r="AL52" s="55"/>
      <c r="AM52" s="55"/>
      <c r="AN52" s="55">
        <v>44496</v>
      </c>
      <c r="AO52" s="55"/>
      <c r="AP52" s="55"/>
      <c r="AQ52" s="55"/>
      <c r="AR52" s="55">
        <v>44491</v>
      </c>
      <c r="AS52" s="55"/>
      <c r="AT52" s="55"/>
      <c r="AU52" s="55">
        <v>44496</v>
      </c>
      <c r="AV52" s="55"/>
      <c r="AW52" s="55"/>
      <c r="AX52" s="55">
        <v>44496</v>
      </c>
      <c r="AY52" s="55">
        <v>44496</v>
      </c>
      <c r="AZ52" s="55"/>
      <c r="BA52" s="55">
        <v>44496</v>
      </c>
      <c r="BB52" s="55">
        <v>44467</v>
      </c>
      <c r="BC52" s="55">
        <v>44496</v>
      </c>
      <c r="BD52" s="55">
        <v>44496</v>
      </c>
      <c r="BE52" s="55">
        <v>44496</v>
      </c>
      <c r="BF52" s="55"/>
      <c r="BG52" s="55">
        <v>44463</v>
      </c>
      <c r="BH52" s="55"/>
      <c r="BI52" s="55"/>
      <c r="BJ52" s="55"/>
    </row>
    <row r="53" spans="1:62" x14ac:dyDescent="0.4">
      <c r="A53" s="5">
        <f t="shared" si="1"/>
        <v>39</v>
      </c>
      <c r="B53" s="3" t="s">
        <v>49</v>
      </c>
      <c r="C53" s="55">
        <v>44476</v>
      </c>
      <c r="D53" s="55">
        <v>44277</v>
      </c>
      <c r="E53" s="55">
        <v>44481</v>
      </c>
      <c r="F53" s="55">
        <v>44502</v>
      </c>
      <c r="G53" s="55">
        <v>44489</v>
      </c>
      <c r="H53" s="55">
        <v>44277</v>
      </c>
      <c r="I53" s="55">
        <v>44278</v>
      </c>
      <c r="J53" s="55">
        <v>44481</v>
      </c>
      <c r="K53" s="55"/>
      <c r="L53" s="55"/>
      <c r="M53" s="55">
        <v>44470</v>
      </c>
      <c r="N53" s="55">
        <v>44167</v>
      </c>
      <c r="O53" s="55">
        <v>44488</v>
      </c>
      <c r="P53" s="55">
        <v>44278</v>
      </c>
      <c r="Q53" s="55">
        <v>44489</v>
      </c>
      <c r="R53" s="55">
        <v>44489</v>
      </c>
      <c r="S53" s="55">
        <v>44168</v>
      </c>
      <c r="T53" s="55"/>
      <c r="U53" s="55">
        <v>44169</v>
      </c>
      <c r="V53" s="55">
        <v>44169</v>
      </c>
      <c r="W53" s="55"/>
      <c r="X53" s="55">
        <v>44173</v>
      </c>
      <c r="Y53" s="55"/>
      <c r="Z53" s="55"/>
      <c r="AA53" s="55">
        <v>44172</v>
      </c>
      <c r="AB53" s="55">
        <v>44172</v>
      </c>
      <c r="AC53" s="55">
        <v>44173</v>
      </c>
      <c r="AD53" s="55">
        <v>44298</v>
      </c>
      <c r="AE53" s="55">
        <v>44489</v>
      </c>
      <c r="AF53" s="55">
        <v>44329</v>
      </c>
      <c r="AG53" s="55">
        <v>44341</v>
      </c>
      <c r="AH53" s="55">
        <v>44448</v>
      </c>
      <c r="AI53" s="55"/>
      <c r="AJ53" s="55">
        <v>44483</v>
      </c>
      <c r="AK53" s="55"/>
      <c r="AL53" s="55"/>
      <c r="AM53" s="55"/>
      <c r="AN53" s="55">
        <v>44489</v>
      </c>
      <c r="AO53" s="55"/>
      <c r="AP53" s="55"/>
      <c r="AQ53" s="55">
        <v>44173</v>
      </c>
      <c r="AR53" s="55">
        <v>44340</v>
      </c>
      <c r="AS53" s="55">
        <v>44455</v>
      </c>
      <c r="AT53" s="55"/>
      <c r="AU53" s="55">
        <v>44474</v>
      </c>
      <c r="AV53" s="55"/>
      <c r="AW53" s="55"/>
      <c r="AX53" s="55"/>
      <c r="AY53" s="55">
        <v>44463</v>
      </c>
      <c r="AZ53" s="55">
        <v>44467</v>
      </c>
      <c r="BA53" s="55">
        <v>44476</v>
      </c>
      <c r="BB53" s="55">
        <v>44456</v>
      </c>
      <c r="BC53" s="55">
        <v>44441</v>
      </c>
      <c r="BD53" s="55">
        <v>44340</v>
      </c>
      <c r="BE53" s="55"/>
      <c r="BF53" s="55"/>
      <c r="BG53" s="55">
        <v>44489</v>
      </c>
      <c r="BH53" s="55"/>
      <c r="BI53" s="55"/>
      <c r="BJ53" s="55"/>
    </row>
    <row r="54" spans="1:62" x14ac:dyDescent="0.4">
      <c r="A54" s="5">
        <f t="shared" si="1"/>
        <v>31</v>
      </c>
      <c r="B54" s="3" t="s">
        <v>50</v>
      </c>
      <c r="C54" s="55">
        <v>44469</v>
      </c>
      <c r="D54" s="55">
        <v>44487</v>
      </c>
      <c r="E54" s="55">
        <v>44469</v>
      </c>
      <c r="F54" s="55">
        <v>44494</v>
      </c>
      <c r="G54" s="55"/>
      <c r="H54" s="55">
        <v>44211</v>
      </c>
      <c r="I54" s="55">
        <v>44419</v>
      </c>
      <c r="J54" s="55">
        <v>44469</v>
      </c>
      <c r="K54" s="55"/>
      <c r="L54" s="55"/>
      <c r="M54" s="55">
        <v>44414</v>
      </c>
      <c r="N54" s="55">
        <v>44497</v>
      </c>
      <c r="O54" s="55"/>
      <c r="P54" s="55">
        <v>44469</v>
      </c>
      <c r="Q54" s="55">
        <v>44273</v>
      </c>
      <c r="R54" s="55">
        <v>44273</v>
      </c>
      <c r="S54" s="55">
        <v>44411</v>
      </c>
      <c r="T54" s="55"/>
      <c r="U54" s="55">
        <v>44372</v>
      </c>
      <c r="V54" s="55">
        <v>44469</v>
      </c>
      <c r="W54" s="55">
        <v>44487</v>
      </c>
      <c r="X54" s="55">
        <v>44357</v>
      </c>
      <c r="Y54" s="55"/>
      <c r="Z54" s="55"/>
      <c r="AA54" s="55">
        <v>44491</v>
      </c>
      <c r="AB54" s="55">
        <v>44411</v>
      </c>
      <c r="AC54" s="55">
        <v>44411</v>
      </c>
      <c r="AD54" s="55">
        <v>44414</v>
      </c>
      <c r="AE54" s="55"/>
      <c r="AF54" s="55"/>
      <c r="AG54" s="55">
        <v>44414</v>
      </c>
      <c r="AH54" s="55">
        <v>44414</v>
      </c>
      <c r="AI54" s="55">
        <v>44411</v>
      </c>
      <c r="AJ54" s="55">
        <v>44411</v>
      </c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>
        <v>44494</v>
      </c>
      <c r="AV54" s="55"/>
      <c r="AW54" s="55"/>
      <c r="AX54" s="55"/>
      <c r="AY54" s="55">
        <v>44411</v>
      </c>
      <c r="AZ54" s="55"/>
      <c r="BA54" s="55"/>
      <c r="BB54" s="55">
        <v>44368</v>
      </c>
      <c r="BC54" s="55">
        <v>44469</v>
      </c>
      <c r="BD54" s="55">
        <v>44469</v>
      </c>
      <c r="BE54" s="55"/>
      <c r="BF54" s="55"/>
      <c r="BG54" s="55">
        <v>44497</v>
      </c>
      <c r="BH54" s="55"/>
      <c r="BI54" s="55"/>
      <c r="BJ54" s="55"/>
    </row>
    <row r="55" spans="1:62" x14ac:dyDescent="0.4">
      <c r="A55" s="5">
        <f t="shared" si="1"/>
        <v>43</v>
      </c>
      <c r="B55" s="3" t="s">
        <v>51</v>
      </c>
      <c r="C55" s="55">
        <v>44431</v>
      </c>
      <c r="D55" s="55">
        <v>44431</v>
      </c>
      <c r="E55" s="55">
        <v>44354</v>
      </c>
      <c r="F55" s="55">
        <v>44431</v>
      </c>
      <c r="G55" s="55">
        <v>44431</v>
      </c>
      <c r="H55" s="55">
        <v>44342</v>
      </c>
      <c r="I55" s="55">
        <v>44174</v>
      </c>
      <c r="J55" s="55">
        <v>44442</v>
      </c>
      <c r="K55" s="55"/>
      <c r="L55" s="55">
        <v>44397</v>
      </c>
      <c r="M55" s="55">
        <v>44431</v>
      </c>
      <c r="N55" s="55">
        <v>44397</v>
      </c>
      <c r="O55" s="55"/>
      <c r="P55" s="55">
        <v>44305</v>
      </c>
      <c r="Q55" s="55">
        <v>44431</v>
      </c>
      <c r="R55" s="55">
        <v>44306</v>
      </c>
      <c r="S55" s="55">
        <v>44431</v>
      </c>
      <c r="T55" s="55"/>
      <c r="U55" s="55">
        <v>44438</v>
      </c>
      <c r="V55" s="55">
        <v>44397</v>
      </c>
      <c r="W55" s="55">
        <v>44354</v>
      </c>
      <c r="X55" s="55">
        <v>44431</v>
      </c>
      <c r="Y55" s="55">
        <v>44481</v>
      </c>
      <c r="Z55" s="55">
        <v>44294</v>
      </c>
      <c r="AA55" s="55">
        <v>44258</v>
      </c>
      <c r="AB55" s="55">
        <v>44386</v>
      </c>
      <c r="AC55" s="55"/>
      <c r="AD55" s="55">
        <v>44431</v>
      </c>
      <c r="AE55" s="55">
        <v>44431</v>
      </c>
      <c r="AF55" s="55">
        <v>44350</v>
      </c>
      <c r="AG55" s="55">
        <v>44350</v>
      </c>
      <c r="AH55" s="55">
        <v>44431</v>
      </c>
      <c r="AI55" s="55">
        <v>44294</v>
      </c>
      <c r="AJ55" s="55">
        <v>44294</v>
      </c>
      <c r="AK55" s="55">
        <v>44431</v>
      </c>
      <c r="AL55" s="55"/>
      <c r="AM55" s="55"/>
      <c r="AN55" s="55">
        <v>44463</v>
      </c>
      <c r="AO55" s="55"/>
      <c r="AP55" s="55"/>
      <c r="AQ55" s="55">
        <v>44431</v>
      </c>
      <c r="AR55" s="55">
        <v>44481</v>
      </c>
      <c r="AS55" s="55"/>
      <c r="AT55" s="55">
        <v>44350</v>
      </c>
      <c r="AU55" s="55">
        <v>44361</v>
      </c>
      <c r="AV55" s="55"/>
      <c r="AW55" s="55"/>
      <c r="AX55" s="55">
        <v>44432</v>
      </c>
      <c r="AY55" s="55">
        <v>44438</v>
      </c>
      <c r="AZ55" s="55"/>
      <c r="BA55" s="55">
        <v>44481</v>
      </c>
      <c r="BB55" s="55">
        <v>44342</v>
      </c>
      <c r="BC55" s="55">
        <v>44431</v>
      </c>
      <c r="BD55" s="55">
        <v>44431</v>
      </c>
      <c r="BE55" s="55">
        <v>44483</v>
      </c>
      <c r="BF55" s="55"/>
      <c r="BG55" s="55"/>
      <c r="BH55" s="55"/>
      <c r="BI55" s="55"/>
      <c r="BJ55" s="55"/>
    </row>
    <row r="56" spans="1:62" x14ac:dyDescent="0.4">
      <c r="A56" s="5">
        <f t="shared" si="1"/>
        <v>35</v>
      </c>
      <c r="B56" s="3" t="s">
        <v>52</v>
      </c>
      <c r="C56" s="55">
        <v>44469</v>
      </c>
      <c r="D56" s="55">
        <v>44417</v>
      </c>
      <c r="E56" s="55">
        <v>44433</v>
      </c>
      <c r="F56" s="55">
        <v>44439</v>
      </c>
      <c r="G56" s="55">
        <v>44489</v>
      </c>
      <c r="H56" s="55">
        <v>44411</v>
      </c>
      <c r="I56" s="55">
        <v>44469</v>
      </c>
      <c r="J56" s="55">
        <v>44487</v>
      </c>
      <c r="K56" s="55"/>
      <c r="L56" s="55">
        <v>44411</v>
      </c>
      <c r="M56" s="55">
        <v>44468</v>
      </c>
      <c r="N56" s="55">
        <v>44411</v>
      </c>
      <c r="O56" s="55">
        <v>44375</v>
      </c>
      <c r="P56" s="55">
        <v>44406</v>
      </c>
      <c r="Q56" s="55">
        <v>44432</v>
      </c>
      <c r="R56" s="55">
        <v>44411</v>
      </c>
      <c r="S56" s="55">
        <v>44406</v>
      </c>
      <c r="T56" s="55"/>
      <c r="U56" s="55">
        <v>44407</v>
      </c>
      <c r="V56" s="55">
        <v>44406</v>
      </c>
      <c r="W56" s="55"/>
      <c r="X56" s="55">
        <v>44406</v>
      </c>
      <c r="Y56" s="55"/>
      <c r="Z56" s="55">
        <v>44406</v>
      </c>
      <c r="AA56" s="55">
        <v>44406</v>
      </c>
      <c r="AB56" s="55">
        <v>44406</v>
      </c>
      <c r="AC56" s="55"/>
      <c r="AD56" s="55">
        <v>44407</v>
      </c>
      <c r="AE56" s="55">
        <v>44406</v>
      </c>
      <c r="AF56" s="55"/>
      <c r="AG56" s="55">
        <v>44406</v>
      </c>
      <c r="AH56" s="55">
        <v>44406</v>
      </c>
      <c r="AI56" s="55">
        <v>44476</v>
      </c>
      <c r="AJ56" s="55">
        <v>44249</v>
      </c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>
        <v>44410</v>
      </c>
      <c r="AV56" s="55"/>
      <c r="AW56" s="55"/>
      <c r="AX56" s="55">
        <v>44411</v>
      </c>
      <c r="AY56" s="55">
        <v>44469</v>
      </c>
      <c r="AZ56" s="55"/>
      <c r="BA56" s="55">
        <v>44411</v>
      </c>
      <c r="BB56" s="55">
        <v>44411</v>
      </c>
      <c r="BC56" s="55">
        <v>44406</v>
      </c>
      <c r="BD56" s="55">
        <v>44411</v>
      </c>
      <c r="BE56" s="55"/>
      <c r="BF56" s="55"/>
      <c r="BG56" s="55"/>
      <c r="BH56" s="55"/>
      <c r="BI56" s="55"/>
      <c r="BJ56" s="55"/>
    </row>
    <row r="57" spans="1:62" x14ac:dyDescent="0.4">
      <c r="A57" s="5">
        <f t="shared" si="1"/>
        <v>33</v>
      </c>
      <c r="B57" s="3" t="s">
        <v>53</v>
      </c>
      <c r="C57" s="55">
        <v>44336</v>
      </c>
      <c r="D57" s="55">
        <v>44453</v>
      </c>
      <c r="E57" s="55">
        <v>44476</v>
      </c>
      <c r="F57" s="55"/>
      <c r="G57" s="55">
        <v>44501</v>
      </c>
      <c r="H57" s="55">
        <v>44452</v>
      </c>
      <c r="I57" s="55">
        <v>44326</v>
      </c>
      <c r="J57" s="55">
        <v>44497</v>
      </c>
      <c r="K57" s="55">
        <v>44475</v>
      </c>
      <c r="L57" s="55">
        <v>44326</v>
      </c>
      <c r="M57" s="55"/>
      <c r="N57" s="55">
        <v>44265</v>
      </c>
      <c r="O57" s="55"/>
      <c r="P57" s="55">
        <v>44442</v>
      </c>
      <c r="Q57" s="55">
        <v>44421</v>
      </c>
      <c r="R57" s="55">
        <v>44421</v>
      </c>
      <c r="S57" s="55">
        <v>44421</v>
      </c>
      <c r="T57" s="55">
        <v>44265</v>
      </c>
      <c r="U57" s="55">
        <v>44452</v>
      </c>
      <c r="V57" s="55">
        <v>44476</v>
      </c>
      <c r="W57" s="55"/>
      <c r="X57" s="55"/>
      <c r="Y57" s="55"/>
      <c r="Z57" s="55"/>
      <c r="AA57" s="55">
        <v>44421</v>
      </c>
      <c r="AB57" s="55">
        <v>44421</v>
      </c>
      <c r="AC57" s="55">
        <v>44421</v>
      </c>
      <c r="AD57" s="55">
        <v>44453</v>
      </c>
      <c r="AE57" s="55">
        <v>44421</v>
      </c>
      <c r="AF57" s="55"/>
      <c r="AG57" s="55"/>
      <c r="AH57" s="55">
        <v>44476</v>
      </c>
      <c r="AI57" s="55">
        <v>44265</v>
      </c>
      <c r="AJ57" s="55">
        <v>44421</v>
      </c>
      <c r="AK57" s="55"/>
      <c r="AL57" s="55"/>
      <c r="AM57" s="55"/>
      <c r="AN57" s="55"/>
      <c r="AO57" s="55"/>
      <c r="AP57" s="55"/>
      <c r="AQ57" s="55"/>
      <c r="AR57" s="55"/>
      <c r="AS57" s="55"/>
      <c r="AT57" s="55">
        <v>44476</v>
      </c>
      <c r="AU57" s="55">
        <v>44467</v>
      </c>
      <c r="AV57" s="55"/>
      <c r="AW57" s="55"/>
      <c r="AX57" s="55">
        <v>44265</v>
      </c>
      <c r="AY57" s="55">
        <v>44491</v>
      </c>
      <c r="AZ57" s="55"/>
      <c r="BA57" s="55">
        <v>44476</v>
      </c>
      <c r="BB57" s="55">
        <v>44475</v>
      </c>
      <c r="BC57" s="55">
        <v>44476</v>
      </c>
      <c r="BD57" s="55">
        <v>44476</v>
      </c>
      <c r="BE57" s="55"/>
      <c r="BF57" s="55"/>
      <c r="BG57" s="55"/>
      <c r="BH57" s="55"/>
      <c r="BI57" s="55"/>
      <c r="BJ57" s="55"/>
    </row>
    <row r="58" spans="1:62" x14ac:dyDescent="0.4">
      <c r="A58" s="5">
        <f t="shared" si="1"/>
        <v>27</v>
      </c>
      <c r="B58" s="3" t="s">
        <v>54</v>
      </c>
      <c r="C58" s="55">
        <v>44487</v>
      </c>
      <c r="D58" s="55"/>
      <c r="E58" s="55">
        <v>44340</v>
      </c>
      <c r="F58" s="55">
        <v>44487</v>
      </c>
      <c r="G58" s="55">
        <v>44487</v>
      </c>
      <c r="H58" s="55">
        <v>44504</v>
      </c>
      <c r="I58" s="55">
        <v>44337</v>
      </c>
      <c r="J58" s="55">
        <v>44504</v>
      </c>
      <c r="K58" s="55"/>
      <c r="L58" s="55">
        <v>44337</v>
      </c>
      <c r="M58" s="56">
        <v>44167</v>
      </c>
      <c r="N58" s="55">
        <v>44504</v>
      </c>
      <c r="O58" s="55"/>
      <c r="P58" s="55"/>
      <c r="Q58" s="55"/>
      <c r="R58" s="55"/>
      <c r="S58" s="55"/>
      <c r="T58" s="55">
        <v>44502</v>
      </c>
      <c r="U58" s="55">
        <v>44504</v>
      </c>
      <c r="V58" s="55">
        <v>44167</v>
      </c>
      <c r="W58" s="55"/>
      <c r="X58" s="55"/>
      <c r="Y58" s="56">
        <v>44167</v>
      </c>
      <c r="Z58" s="55">
        <v>44167</v>
      </c>
      <c r="AA58" s="55"/>
      <c r="AB58" s="55">
        <v>44504</v>
      </c>
      <c r="AC58" s="55">
        <v>44167</v>
      </c>
      <c r="AD58" s="55">
        <v>44167</v>
      </c>
      <c r="AE58" s="55">
        <v>44167</v>
      </c>
      <c r="AF58" s="55">
        <v>44342</v>
      </c>
      <c r="AG58" s="55"/>
      <c r="AH58" s="55"/>
      <c r="AI58" s="55"/>
      <c r="AJ58" s="55">
        <v>44167</v>
      </c>
      <c r="AK58" s="55"/>
      <c r="AL58" s="55"/>
      <c r="AM58" s="55"/>
      <c r="AN58" s="55">
        <v>44342</v>
      </c>
      <c r="AO58" s="55"/>
      <c r="AP58" s="55"/>
      <c r="AQ58" s="55"/>
      <c r="AR58" s="55"/>
      <c r="AS58" s="55"/>
      <c r="AT58" s="55"/>
      <c r="AU58" s="55">
        <v>44504</v>
      </c>
      <c r="AV58" s="55"/>
      <c r="AW58" s="55"/>
      <c r="AX58" s="55"/>
      <c r="AY58" s="56">
        <v>44179</v>
      </c>
      <c r="AZ58" s="55"/>
      <c r="BA58" s="55"/>
      <c r="BB58" s="55">
        <v>44487</v>
      </c>
      <c r="BC58" s="55"/>
      <c r="BD58" s="55">
        <v>44487</v>
      </c>
      <c r="BE58" s="55"/>
      <c r="BF58" s="55"/>
      <c r="BG58" s="55">
        <v>44487</v>
      </c>
      <c r="BH58" s="55"/>
      <c r="BI58" s="55"/>
      <c r="BJ58" s="55"/>
    </row>
    <row r="59" spans="1:62" x14ac:dyDescent="0.4">
      <c r="A59" s="5">
        <f t="shared" si="1"/>
        <v>20</v>
      </c>
      <c r="B59" s="3" t="s">
        <v>55</v>
      </c>
      <c r="C59" s="55">
        <v>44468</v>
      </c>
      <c r="D59" s="55">
        <v>44455</v>
      </c>
      <c r="E59" s="55"/>
      <c r="F59" s="55">
        <v>44418</v>
      </c>
      <c r="G59" s="55">
        <v>44419</v>
      </c>
      <c r="H59" s="55">
        <v>44496</v>
      </c>
      <c r="I59" s="55">
        <v>44467</v>
      </c>
      <c r="J59" s="55">
        <v>44498</v>
      </c>
      <c r="K59" s="55"/>
      <c r="L59" s="55">
        <v>44467</v>
      </c>
      <c r="M59" s="55"/>
      <c r="N59" s="55">
        <v>44419</v>
      </c>
      <c r="O59" s="55"/>
      <c r="P59" s="55"/>
      <c r="Q59" s="55"/>
      <c r="R59" s="55"/>
      <c r="S59" s="55">
        <v>44370</v>
      </c>
      <c r="T59" s="55">
        <v>44495</v>
      </c>
      <c r="U59" s="55">
        <v>44403</v>
      </c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>
        <v>44490</v>
      </c>
      <c r="AI59" s="55"/>
      <c r="AJ59" s="55"/>
      <c r="AK59" s="55"/>
      <c r="AL59" s="55"/>
      <c r="AM59" s="55">
        <v>44494</v>
      </c>
      <c r="AN59" s="55"/>
      <c r="AO59" s="55">
        <v>44426</v>
      </c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>
        <v>44495</v>
      </c>
      <c r="BD59" s="55"/>
      <c r="BE59" s="55">
        <v>44482</v>
      </c>
      <c r="BF59" s="55">
        <v>44495</v>
      </c>
      <c r="BG59" s="55"/>
      <c r="BH59" s="55"/>
      <c r="BI59" s="55">
        <v>44498</v>
      </c>
      <c r="BJ59" s="55">
        <v>44498</v>
      </c>
    </row>
    <row r="60" spans="1:62" x14ac:dyDescent="0.4">
      <c r="A60" s="5">
        <f t="shared" si="1"/>
        <v>32</v>
      </c>
      <c r="B60" s="3" t="s">
        <v>56</v>
      </c>
      <c r="C60" s="55">
        <v>44382</v>
      </c>
      <c r="D60" s="55">
        <v>44382</v>
      </c>
      <c r="E60" s="55">
        <v>44382</v>
      </c>
      <c r="F60" s="55">
        <v>44431</v>
      </c>
      <c r="G60" s="55">
        <v>44477</v>
      </c>
      <c r="H60" s="55">
        <v>44383</v>
      </c>
      <c r="I60" s="55">
        <v>44431</v>
      </c>
      <c r="J60" s="55">
        <v>44435</v>
      </c>
      <c r="K60" s="55"/>
      <c r="L60" s="55">
        <v>44431</v>
      </c>
      <c r="M60" s="55">
        <v>44482</v>
      </c>
      <c r="N60" s="55">
        <v>44426</v>
      </c>
      <c r="O60" s="55"/>
      <c r="P60" s="55">
        <v>44421</v>
      </c>
      <c r="Q60" s="55">
        <v>44431</v>
      </c>
      <c r="R60" s="55">
        <v>44391</v>
      </c>
      <c r="S60" s="55"/>
      <c r="T60" s="55"/>
      <c r="U60" s="55">
        <v>44391</v>
      </c>
      <c r="V60" s="55">
        <v>44477</v>
      </c>
      <c r="W60" s="55">
        <v>44386</v>
      </c>
      <c r="X60" s="55">
        <v>44386</v>
      </c>
      <c r="Y60" s="55"/>
      <c r="Z60" s="55"/>
      <c r="AA60" s="55">
        <v>44386</v>
      </c>
      <c r="AB60" s="55">
        <v>44426</v>
      </c>
      <c r="AC60" s="55"/>
      <c r="AD60" s="55">
        <v>44399</v>
      </c>
      <c r="AE60" s="55"/>
      <c r="AF60" s="55"/>
      <c r="AG60" s="55">
        <v>44386</v>
      </c>
      <c r="AH60" s="55"/>
      <c r="AI60" s="55">
        <v>44427</v>
      </c>
      <c r="AJ60" s="55">
        <v>44425</v>
      </c>
      <c r="AK60" s="55">
        <v>44386</v>
      </c>
      <c r="AL60" s="55"/>
      <c r="AM60" s="55">
        <v>44431</v>
      </c>
      <c r="AN60" s="55"/>
      <c r="AO60" s="55"/>
      <c r="AP60" s="55"/>
      <c r="AQ60" s="55"/>
      <c r="AR60" s="55"/>
      <c r="AS60" s="55"/>
      <c r="AT60" s="55"/>
      <c r="AU60" s="55">
        <v>44391</v>
      </c>
      <c r="AV60" s="55"/>
      <c r="AW60" s="55"/>
      <c r="AX60" s="55"/>
      <c r="AY60" s="55">
        <v>44391</v>
      </c>
      <c r="AZ60" s="55">
        <v>44414</v>
      </c>
      <c r="BA60" s="55">
        <v>44391</v>
      </c>
      <c r="BB60" s="55">
        <v>44391</v>
      </c>
      <c r="BC60" s="55">
        <v>44391</v>
      </c>
      <c r="BD60" s="55"/>
      <c r="BE60" s="55"/>
      <c r="BF60" s="55"/>
      <c r="BG60" s="55"/>
      <c r="BH60" s="55"/>
      <c r="BI60" s="55"/>
      <c r="BJ60" s="55"/>
    </row>
    <row r="61" spans="1:62" x14ac:dyDescent="0.4">
      <c r="A61" s="5">
        <f t="shared" si="1"/>
        <v>25</v>
      </c>
      <c r="B61" s="3" t="s">
        <v>57</v>
      </c>
      <c r="C61" s="55">
        <v>44376</v>
      </c>
      <c r="D61" s="55">
        <v>44279</v>
      </c>
      <c r="E61" s="55">
        <v>44333</v>
      </c>
      <c r="F61" s="55">
        <v>44421</v>
      </c>
      <c r="G61" s="55"/>
      <c r="H61" s="55">
        <v>44379</v>
      </c>
      <c r="I61" s="55">
        <v>44334</v>
      </c>
      <c r="J61" s="55">
        <v>44418</v>
      </c>
      <c r="K61" s="55"/>
      <c r="L61" s="55">
        <v>44333</v>
      </c>
      <c r="M61" s="55">
        <v>44421</v>
      </c>
      <c r="N61" s="55">
        <v>44341</v>
      </c>
      <c r="O61" s="55"/>
      <c r="P61" s="55">
        <v>44336</v>
      </c>
      <c r="Q61" s="55">
        <v>44341</v>
      </c>
      <c r="R61" s="55"/>
      <c r="S61" s="55"/>
      <c r="T61" s="55"/>
      <c r="U61" s="55">
        <v>44334</v>
      </c>
      <c r="V61" s="55">
        <v>44314</v>
      </c>
      <c r="W61" s="55"/>
      <c r="X61" s="55"/>
      <c r="Y61" s="55"/>
      <c r="Z61" s="55">
        <v>44341</v>
      </c>
      <c r="AA61" s="55">
        <v>44372</v>
      </c>
      <c r="AB61" s="55">
        <v>44336</v>
      </c>
      <c r="AC61" s="55"/>
      <c r="AD61" s="55">
        <v>44165</v>
      </c>
      <c r="AE61" s="55"/>
      <c r="AF61" s="55"/>
      <c r="AG61" s="55"/>
      <c r="AH61" s="55"/>
      <c r="AI61" s="55">
        <v>44342</v>
      </c>
      <c r="AJ61" s="55">
        <v>44334</v>
      </c>
      <c r="AK61" s="55">
        <v>44334</v>
      </c>
      <c r="AL61" s="55"/>
      <c r="AM61" s="55"/>
      <c r="AN61" s="55"/>
      <c r="AO61" s="55"/>
      <c r="AP61" s="55"/>
      <c r="AQ61" s="55"/>
      <c r="AR61" s="55"/>
      <c r="AS61" s="55"/>
      <c r="AT61" s="55"/>
      <c r="AU61" s="55">
        <v>44379</v>
      </c>
      <c r="AV61" s="55"/>
      <c r="AW61" s="55"/>
      <c r="AX61" s="55"/>
      <c r="AY61" s="55">
        <v>44358</v>
      </c>
      <c r="AZ61" s="55"/>
      <c r="BA61" s="55">
        <v>44390</v>
      </c>
      <c r="BB61" s="55">
        <v>44323</v>
      </c>
      <c r="BC61" s="55"/>
      <c r="BD61" s="55"/>
      <c r="BE61" s="55"/>
      <c r="BF61" s="55"/>
      <c r="BG61" s="55"/>
      <c r="BH61" s="55"/>
      <c r="BI61" s="55"/>
      <c r="BJ61" s="55"/>
    </row>
    <row r="62" spans="1:62" x14ac:dyDescent="0.4">
      <c r="A62" s="5">
        <f t="shared" si="1"/>
        <v>30</v>
      </c>
      <c r="B62" s="3" t="s">
        <v>58</v>
      </c>
      <c r="C62" s="55">
        <v>44482</v>
      </c>
      <c r="D62" s="55">
        <v>44482</v>
      </c>
      <c r="E62" s="55">
        <v>44484</v>
      </c>
      <c r="F62" s="55">
        <v>44484</v>
      </c>
      <c r="G62" s="55">
        <v>44482</v>
      </c>
      <c r="H62" s="55">
        <v>44482</v>
      </c>
      <c r="I62" s="55">
        <v>44482</v>
      </c>
      <c r="J62" s="55">
        <v>44482</v>
      </c>
      <c r="K62" s="55"/>
      <c r="L62" s="55"/>
      <c r="M62" s="55">
        <v>44481</v>
      </c>
      <c r="N62" s="55">
        <v>44484</v>
      </c>
      <c r="O62" s="55">
        <v>44482</v>
      </c>
      <c r="P62" s="55">
        <v>44494</v>
      </c>
      <c r="Q62" s="55">
        <v>44482</v>
      </c>
      <c r="R62" s="55">
        <v>44482</v>
      </c>
      <c r="S62" s="55"/>
      <c r="T62" s="55"/>
      <c r="U62" s="55">
        <v>44482</v>
      </c>
      <c r="V62" s="55">
        <v>44481</v>
      </c>
      <c r="W62" s="55"/>
      <c r="X62" s="55"/>
      <c r="Y62" s="55"/>
      <c r="Z62" s="55">
        <v>44482</v>
      </c>
      <c r="AA62" s="55">
        <v>44482</v>
      </c>
      <c r="AB62" s="55">
        <v>44482</v>
      </c>
      <c r="AC62" s="55">
        <v>44482</v>
      </c>
      <c r="AD62" s="55"/>
      <c r="AE62" s="55">
        <v>44482</v>
      </c>
      <c r="AF62" s="55"/>
      <c r="AG62" s="55">
        <v>44494</v>
      </c>
      <c r="AH62" s="55"/>
      <c r="AI62" s="55">
        <v>44482</v>
      </c>
      <c r="AJ62" s="55">
        <v>44494</v>
      </c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>
        <v>44482</v>
      </c>
      <c r="AV62" s="55"/>
      <c r="AW62" s="55"/>
      <c r="AX62" s="55">
        <v>44482</v>
      </c>
      <c r="AY62" s="55">
        <v>44482</v>
      </c>
      <c r="AZ62" s="55">
        <v>44482</v>
      </c>
      <c r="BA62" s="55"/>
      <c r="BB62" s="55">
        <v>44482</v>
      </c>
      <c r="BC62" s="55">
        <v>44494</v>
      </c>
      <c r="BD62" s="55"/>
      <c r="BE62" s="55"/>
      <c r="BF62" s="55"/>
      <c r="BG62" s="55"/>
      <c r="BH62" s="55"/>
      <c r="BI62" s="55"/>
      <c r="BJ62" s="55"/>
    </row>
    <row r="63" spans="1:62" x14ac:dyDescent="0.4">
      <c r="A63" s="5">
        <f t="shared" si="1"/>
        <v>30</v>
      </c>
      <c r="B63" s="3" t="s">
        <v>59</v>
      </c>
      <c r="C63" s="55">
        <v>44404</v>
      </c>
      <c r="D63" s="55">
        <v>44404</v>
      </c>
      <c r="E63" s="55">
        <v>44404</v>
      </c>
      <c r="F63" s="55">
        <v>44504</v>
      </c>
      <c r="G63" s="55">
        <v>44417</v>
      </c>
      <c r="H63" s="55">
        <v>44404</v>
      </c>
      <c r="I63" s="55">
        <v>44412</v>
      </c>
      <c r="J63" s="55">
        <v>44504</v>
      </c>
      <c r="K63" s="55"/>
      <c r="L63" s="55"/>
      <c r="M63" s="55">
        <v>44420</v>
      </c>
      <c r="N63" s="55">
        <v>44386</v>
      </c>
      <c r="O63" s="55"/>
      <c r="P63" s="55">
        <v>44442</v>
      </c>
      <c r="Q63" s="55">
        <v>44414</v>
      </c>
      <c r="R63" s="55">
        <v>44439</v>
      </c>
      <c r="S63" s="55">
        <v>44439</v>
      </c>
      <c r="T63" s="55"/>
      <c r="U63" s="55">
        <v>44386</v>
      </c>
      <c r="V63" s="55">
        <v>44447</v>
      </c>
      <c r="W63" s="55">
        <v>44386</v>
      </c>
      <c r="X63" s="55"/>
      <c r="Y63" s="55"/>
      <c r="Z63" s="55"/>
      <c r="AA63" s="55">
        <v>44386</v>
      </c>
      <c r="AB63" s="55">
        <v>44386</v>
      </c>
      <c r="AC63" s="55"/>
      <c r="AD63" s="55"/>
      <c r="AE63" s="55">
        <v>44420</v>
      </c>
      <c r="AF63" s="55"/>
      <c r="AG63" s="55">
        <v>44404</v>
      </c>
      <c r="AH63" s="55"/>
      <c r="AI63" s="55">
        <v>44413</v>
      </c>
      <c r="AJ63" s="55">
        <v>44413</v>
      </c>
      <c r="AK63" s="55"/>
      <c r="AL63" s="55"/>
      <c r="AM63" s="55"/>
      <c r="AN63" s="55"/>
      <c r="AO63" s="55"/>
      <c r="AP63" s="55"/>
      <c r="AQ63" s="55"/>
      <c r="AR63" s="55">
        <v>44404</v>
      </c>
      <c r="AS63" s="55"/>
      <c r="AT63" s="55"/>
      <c r="AU63" s="55">
        <v>44386</v>
      </c>
      <c r="AV63" s="55"/>
      <c r="AW63" s="55"/>
      <c r="AX63" s="55">
        <v>44403</v>
      </c>
      <c r="AY63" s="55">
        <v>44404</v>
      </c>
      <c r="AZ63" s="55">
        <v>44404</v>
      </c>
      <c r="BA63" s="55"/>
      <c r="BB63" s="55">
        <v>44420</v>
      </c>
      <c r="BC63" s="55">
        <v>44413</v>
      </c>
      <c r="BD63" s="55"/>
      <c r="BE63" s="55"/>
      <c r="BF63" s="55"/>
      <c r="BG63" s="55"/>
      <c r="BH63" s="55"/>
      <c r="BI63" s="55"/>
      <c r="BJ63" s="55"/>
    </row>
    <row r="64" spans="1:62" x14ac:dyDescent="0.4">
      <c r="A64" s="5">
        <f t="shared" si="1"/>
        <v>30</v>
      </c>
      <c r="B64" s="3" t="s">
        <v>60</v>
      </c>
      <c r="C64" s="55">
        <v>44403</v>
      </c>
      <c r="D64" s="55">
        <v>44414</v>
      </c>
      <c r="E64" s="55">
        <v>44503</v>
      </c>
      <c r="F64" s="55">
        <v>44449</v>
      </c>
      <c r="G64" s="55">
        <v>44449</v>
      </c>
      <c r="H64" s="55">
        <v>44416</v>
      </c>
      <c r="I64" s="55">
        <v>44176</v>
      </c>
      <c r="J64" s="55">
        <v>44448</v>
      </c>
      <c r="K64" s="55"/>
      <c r="L64" s="55">
        <v>44503</v>
      </c>
      <c r="M64" s="55">
        <v>44416</v>
      </c>
      <c r="N64" s="55">
        <v>44419</v>
      </c>
      <c r="O64" s="55"/>
      <c r="P64" s="55">
        <v>44405</v>
      </c>
      <c r="Q64" s="55"/>
      <c r="R64" s="55">
        <v>44400</v>
      </c>
      <c r="S64" s="55">
        <v>44208</v>
      </c>
      <c r="T64" s="55"/>
      <c r="U64" s="55">
        <v>44449</v>
      </c>
      <c r="V64" s="55">
        <v>44449</v>
      </c>
      <c r="W64" s="55">
        <v>44446</v>
      </c>
      <c r="X64" s="55"/>
      <c r="Y64" s="55"/>
      <c r="Z64" s="55"/>
      <c r="AA64" s="55">
        <v>44357</v>
      </c>
      <c r="AB64" s="55">
        <v>44357</v>
      </c>
      <c r="AC64" s="55">
        <v>44208</v>
      </c>
      <c r="AD64" s="55"/>
      <c r="AE64" s="55">
        <v>44208</v>
      </c>
      <c r="AF64" s="55"/>
      <c r="AG64" s="55">
        <v>44451</v>
      </c>
      <c r="AH64" s="55"/>
      <c r="AI64" s="55">
        <v>44216</v>
      </c>
      <c r="AJ64" s="55">
        <v>44440</v>
      </c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>
        <v>44403</v>
      </c>
      <c r="AV64" s="55"/>
      <c r="AW64" s="55"/>
      <c r="AX64" s="55">
        <v>44449</v>
      </c>
      <c r="AY64" s="55">
        <v>44350</v>
      </c>
      <c r="AZ64" s="55">
        <v>44452</v>
      </c>
      <c r="BA64" s="55"/>
      <c r="BB64" s="55">
        <v>44446</v>
      </c>
      <c r="BC64" s="55">
        <v>44449</v>
      </c>
      <c r="BD64" s="55"/>
      <c r="BE64" s="55"/>
      <c r="BF64" s="55"/>
      <c r="BG64" s="55"/>
      <c r="BH64" s="55"/>
      <c r="BI64" s="55"/>
      <c r="BJ64" s="55"/>
    </row>
    <row r="65" spans="1:62" x14ac:dyDescent="0.4">
      <c r="A65" s="5">
        <f t="shared" si="1"/>
        <v>25</v>
      </c>
      <c r="B65" s="3" t="s">
        <v>61</v>
      </c>
      <c r="C65" s="55">
        <v>44389</v>
      </c>
      <c r="D65" s="55">
        <v>44382</v>
      </c>
      <c r="E65" s="55">
        <v>44387</v>
      </c>
      <c r="F65" s="55">
        <v>44425</v>
      </c>
      <c r="G65" s="55">
        <v>44454</v>
      </c>
      <c r="H65" s="55">
        <v>44390</v>
      </c>
      <c r="I65" s="55">
        <v>44207</v>
      </c>
      <c r="J65" s="55">
        <v>44447</v>
      </c>
      <c r="K65" s="55"/>
      <c r="L65" s="55">
        <v>44384</v>
      </c>
      <c r="M65" s="56">
        <v>44173</v>
      </c>
      <c r="N65" s="55">
        <v>44390</v>
      </c>
      <c r="O65" s="55"/>
      <c r="P65" s="55">
        <v>44387</v>
      </c>
      <c r="Q65" s="55">
        <v>44383</v>
      </c>
      <c r="R65" s="55"/>
      <c r="S65" s="55">
        <v>44390</v>
      </c>
      <c r="T65" s="55"/>
      <c r="U65" s="55">
        <v>44385</v>
      </c>
      <c r="V65" s="55">
        <v>44383</v>
      </c>
      <c r="W65" s="55"/>
      <c r="X65" s="55"/>
      <c r="Y65" s="55"/>
      <c r="Z65" s="55"/>
      <c r="AA65" s="55"/>
      <c r="AB65" s="55">
        <v>44389</v>
      </c>
      <c r="AC65" s="55"/>
      <c r="AD65" s="55"/>
      <c r="AE65" s="55">
        <v>44390</v>
      </c>
      <c r="AF65" s="55"/>
      <c r="AG65" s="55"/>
      <c r="AH65" s="55"/>
      <c r="AI65" s="55">
        <v>44389</v>
      </c>
      <c r="AJ65" s="55">
        <v>44390</v>
      </c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>
        <v>44475</v>
      </c>
      <c r="AV65" s="55"/>
      <c r="AW65" s="55"/>
      <c r="AX65" s="55">
        <v>44385</v>
      </c>
      <c r="AY65" s="55">
        <v>44377</v>
      </c>
      <c r="AZ65" s="55"/>
      <c r="BA65" s="55"/>
      <c r="BB65" s="55">
        <v>44389</v>
      </c>
      <c r="BC65" s="55">
        <v>44382</v>
      </c>
      <c r="BD65" s="55"/>
      <c r="BE65" s="55"/>
      <c r="BF65" s="55"/>
      <c r="BG65" s="55"/>
      <c r="BH65" s="55"/>
      <c r="BI65" s="55"/>
      <c r="BJ65" s="55"/>
    </row>
    <row r="66" spans="1:62" x14ac:dyDescent="0.4">
      <c r="A66" s="5">
        <f t="shared" si="1"/>
        <v>33</v>
      </c>
      <c r="B66" s="3" t="s">
        <v>62</v>
      </c>
      <c r="C66" s="55">
        <v>44454</v>
      </c>
      <c r="D66" s="55">
        <v>44497</v>
      </c>
      <c r="E66" s="55">
        <v>44453</v>
      </c>
      <c r="F66" s="55">
        <v>44482</v>
      </c>
      <c r="G66" s="55">
        <v>44446</v>
      </c>
      <c r="H66" s="55">
        <v>44498</v>
      </c>
      <c r="I66" s="55">
        <v>44305</v>
      </c>
      <c r="J66" s="55">
        <v>44469</v>
      </c>
      <c r="K66" s="55"/>
      <c r="L66" s="55">
        <v>44433</v>
      </c>
      <c r="M66" s="55">
        <v>44491</v>
      </c>
      <c r="N66" s="55">
        <v>44390</v>
      </c>
      <c r="O66" s="55"/>
      <c r="P66" s="55">
        <v>44462</v>
      </c>
      <c r="Q66" s="55">
        <v>44333</v>
      </c>
      <c r="R66" s="55">
        <v>44280</v>
      </c>
      <c r="S66" s="55">
        <v>44244</v>
      </c>
      <c r="T66" s="55"/>
      <c r="U66" s="55">
        <v>44488</v>
      </c>
      <c r="V66" s="55">
        <v>44495</v>
      </c>
      <c r="W66" s="55"/>
      <c r="X66" s="55"/>
      <c r="Y66" s="55"/>
      <c r="Z66" s="55"/>
      <c r="AA66" s="55"/>
      <c r="AB66" s="55">
        <v>44341</v>
      </c>
      <c r="AC66" s="55"/>
      <c r="AD66" s="55">
        <v>44344</v>
      </c>
      <c r="AE66" s="55">
        <v>44477</v>
      </c>
      <c r="AF66" s="55">
        <v>44410</v>
      </c>
      <c r="AG66" s="55">
        <v>44482</v>
      </c>
      <c r="AH66" s="55"/>
      <c r="AI66" s="55">
        <v>44343</v>
      </c>
      <c r="AJ66" s="55">
        <v>44343</v>
      </c>
      <c r="AK66" s="55"/>
      <c r="AL66" s="55"/>
      <c r="AM66" s="55"/>
      <c r="AN66" s="55"/>
      <c r="AO66" s="55"/>
      <c r="AP66" s="55"/>
      <c r="AQ66" s="55"/>
      <c r="AR66" s="55">
        <v>44426</v>
      </c>
      <c r="AS66" s="55"/>
      <c r="AT66" s="55"/>
      <c r="AU66" s="55">
        <v>44454</v>
      </c>
      <c r="AV66" s="55"/>
      <c r="AW66" s="55">
        <v>44476</v>
      </c>
      <c r="AX66" s="55">
        <v>44280</v>
      </c>
      <c r="AY66" s="55">
        <v>44477</v>
      </c>
      <c r="AZ66" s="55">
        <v>44468</v>
      </c>
      <c r="BA66" s="55">
        <v>44452</v>
      </c>
      <c r="BB66" s="55">
        <v>44468</v>
      </c>
      <c r="BC66" s="55">
        <v>44470</v>
      </c>
      <c r="BD66" s="55"/>
      <c r="BE66" s="55"/>
      <c r="BF66" s="55"/>
      <c r="BG66" s="55"/>
      <c r="BH66" s="55"/>
      <c r="BI66" s="55"/>
      <c r="BJ66" s="55"/>
    </row>
    <row r="67" spans="1:62" x14ac:dyDescent="0.4">
      <c r="A67" s="5">
        <f t="shared" si="1"/>
        <v>29</v>
      </c>
      <c r="B67" s="3" t="s">
        <v>63</v>
      </c>
      <c r="C67" s="55">
        <v>44496</v>
      </c>
      <c r="D67" s="55">
        <v>44418</v>
      </c>
      <c r="E67" s="55">
        <v>44496</v>
      </c>
      <c r="F67" s="55">
        <v>44489</v>
      </c>
      <c r="G67" s="55">
        <v>44489</v>
      </c>
      <c r="H67" s="55">
        <v>44463</v>
      </c>
      <c r="I67" s="55">
        <v>44489</v>
      </c>
      <c r="J67" s="55">
        <v>44489</v>
      </c>
      <c r="K67" s="55">
        <v>44418</v>
      </c>
      <c r="L67" s="55"/>
      <c r="M67" s="55">
        <v>44496</v>
      </c>
      <c r="N67" s="55">
        <v>44495</v>
      </c>
      <c r="O67" s="55"/>
      <c r="P67" s="55">
        <v>44495</v>
      </c>
      <c r="Q67" s="55">
        <v>44406</v>
      </c>
      <c r="R67" s="55"/>
      <c r="S67" s="55"/>
      <c r="T67" s="55">
        <v>44418</v>
      </c>
      <c r="U67" s="55">
        <v>44495</v>
      </c>
      <c r="V67" s="55">
        <v>44468</v>
      </c>
      <c r="W67" s="55"/>
      <c r="X67" s="55"/>
      <c r="Y67" s="55"/>
      <c r="Z67" s="55"/>
      <c r="AA67" s="55">
        <v>44495</v>
      </c>
      <c r="AB67" s="55">
        <v>44495</v>
      </c>
      <c r="AC67" s="55"/>
      <c r="AD67" s="55">
        <v>44468</v>
      </c>
      <c r="AE67" s="55"/>
      <c r="AF67" s="55"/>
      <c r="AG67" s="55">
        <v>44418</v>
      </c>
      <c r="AH67" s="55"/>
      <c r="AI67" s="55">
        <v>44489</v>
      </c>
      <c r="AJ67" s="55">
        <v>44489</v>
      </c>
      <c r="AK67" s="55"/>
      <c r="AL67" s="55"/>
      <c r="AM67" s="55"/>
      <c r="AN67" s="55"/>
      <c r="AO67" s="55"/>
      <c r="AP67" s="55"/>
      <c r="AQ67" s="55"/>
      <c r="AR67" s="55">
        <v>44440</v>
      </c>
      <c r="AS67" s="55"/>
      <c r="AT67" s="55"/>
      <c r="AU67" s="55"/>
      <c r="AV67" s="55"/>
      <c r="AW67" s="55"/>
      <c r="AX67" s="55"/>
      <c r="AY67" s="55"/>
      <c r="AZ67" s="55">
        <v>44495</v>
      </c>
      <c r="BA67" s="55">
        <v>44496</v>
      </c>
      <c r="BB67" s="55">
        <v>44468</v>
      </c>
      <c r="BC67" s="55">
        <v>44495</v>
      </c>
      <c r="BD67" s="55"/>
      <c r="BE67" s="55"/>
      <c r="BF67" s="55"/>
      <c r="BG67" s="55">
        <v>44496</v>
      </c>
      <c r="BH67" s="56">
        <v>44014</v>
      </c>
      <c r="BI67" s="55"/>
      <c r="BJ67" s="55"/>
    </row>
    <row r="68" spans="1:62" x14ac:dyDescent="0.4">
      <c r="A68" s="5">
        <f t="shared" si="1"/>
        <v>21</v>
      </c>
      <c r="B68" s="3" t="s">
        <v>64</v>
      </c>
      <c r="C68" s="55"/>
      <c r="D68" s="55">
        <v>44445</v>
      </c>
      <c r="E68" s="55"/>
      <c r="F68" s="55">
        <v>44445</v>
      </c>
      <c r="G68" s="55"/>
      <c r="H68" s="55">
        <v>44483</v>
      </c>
      <c r="I68" s="55">
        <v>44446</v>
      </c>
      <c r="J68" s="55">
        <v>44468</v>
      </c>
      <c r="K68" s="55"/>
      <c r="L68" s="55">
        <v>44445</v>
      </c>
      <c r="M68" s="55">
        <v>44431</v>
      </c>
      <c r="N68" s="55"/>
      <c r="O68" s="55"/>
      <c r="P68" s="55"/>
      <c r="Q68" s="55">
        <v>44489</v>
      </c>
      <c r="R68" s="55"/>
      <c r="S68" s="55">
        <v>44307</v>
      </c>
      <c r="T68" s="55">
        <v>44482</v>
      </c>
      <c r="U68" s="55">
        <v>44488</v>
      </c>
      <c r="V68" s="55"/>
      <c r="W68" s="55"/>
      <c r="X68" s="55"/>
      <c r="Y68" s="55"/>
      <c r="Z68" s="55"/>
      <c r="AA68" s="55">
        <v>44433</v>
      </c>
      <c r="AB68" s="55">
        <v>44307</v>
      </c>
      <c r="AC68" s="55"/>
      <c r="AD68" s="55"/>
      <c r="AE68" s="55"/>
      <c r="AF68" s="55"/>
      <c r="AG68" s="55"/>
      <c r="AH68" s="55"/>
      <c r="AI68" s="55">
        <v>44489</v>
      </c>
      <c r="AJ68" s="55">
        <v>44489</v>
      </c>
      <c r="AK68" s="55">
        <v>44463</v>
      </c>
      <c r="AL68" s="55"/>
      <c r="AM68" s="55"/>
      <c r="AN68" s="55"/>
      <c r="AO68" s="55">
        <v>44488</v>
      </c>
      <c r="AP68" s="55"/>
      <c r="AQ68" s="55"/>
      <c r="AR68" s="55"/>
      <c r="AS68" s="55"/>
      <c r="AT68" s="55"/>
      <c r="AU68" s="55"/>
      <c r="AV68" s="55"/>
      <c r="AW68" s="55"/>
      <c r="AX68" s="55">
        <v>44476</v>
      </c>
      <c r="AY68" s="55"/>
      <c r="AZ68" s="55"/>
      <c r="BA68" s="55"/>
      <c r="BB68" s="55"/>
      <c r="BC68" s="55">
        <v>44456</v>
      </c>
      <c r="BD68" s="55"/>
      <c r="BE68" s="55"/>
      <c r="BF68" s="55"/>
      <c r="BG68" s="55"/>
      <c r="BH68" s="55"/>
      <c r="BI68" s="55">
        <v>44214</v>
      </c>
      <c r="BJ68" s="55">
        <v>44503</v>
      </c>
    </row>
    <row r="69" spans="1:62" x14ac:dyDescent="0.4">
      <c r="A69" s="5">
        <f t="shared" si="1"/>
        <v>31</v>
      </c>
      <c r="B69" s="3" t="s">
        <v>65</v>
      </c>
      <c r="C69" s="55">
        <v>44476</v>
      </c>
      <c r="D69" s="55">
        <v>44263</v>
      </c>
      <c r="E69" s="55">
        <v>44466</v>
      </c>
      <c r="F69" s="55">
        <v>44467</v>
      </c>
      <c r="G69" s="55">
        <v>44467</v>
      </c>
      <c r="H69" s="55"/>
      <c r="I69" s="55">
        <v>44337</v>
      </c>
      <c r="J69" s="55">
        <v>44467</v>
      </c>
      <c r="K69" s="55"/>
      <c r="L69" s="55"/>
      <c r="M69" s="55">
        <v>44494</v>
      </c>
      <c r="N69" s="55">
        <v>44482</v>
      </c>
      <c r="O69" s="55">
        <v>44263</v>
      </c>
      <c r="P69" s="55">
        <v>44383</v>
      </c>
      <c r="Q69" s="55">
        <v>44483</v>
      </c>
      <c r="R69" s="55">
        <v>44281</v>
      </c>
      <c r="S69" s="55">
        <v>44504</v>
      </c>
      <c r="T69" s="55"/>
      <c r="U69" s="55">
        <v>44281</v>
      </c>
      <c r="V69" s="55">
        <v>44477</v>
      </c>
      <c r="W69" s="55">
        <v>44382</v>
      </c>
      <c r="X69" s="55">
        <v>44382</v>
      </c>
      <c r="Y69" s="55"/>
      <c r="Z69" s="55">
        <v>44466</v>
      </c>
      <c r="AA69" s="55">
        <v>44483</v>
      </c>
      <c r="AB69" s="55">
        <v>44468</v>
      </c>
      <c r="AC69" s="55"/>
      <c r="AD69" s="55">
        <v>44482</v>
      </c>
      <c r="AE69" s="55"/>
      <c r="AF69" s="55"/>
      <c r="AG69" s="55">
        <v>44477</v>
      </c>
      <c r="AH69" s="55">
        <v>44476</v>
      </c>
      <c r="AI69" s="55">
        <v>44228</v>
      </c>
      <c r="AJ69" s="55">
        <v>44377</v>
      </c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>
        <v>44411</v>
      </c>
      <c r="AV69" s="55"/>
      <c r="AW69" s="55"/>
      <c r="AX69" s="55">
        <v>44466</v>
      </c>
      <c r="AY69" s="55">
        <v>44398</v>
      </c>
      <c r="AZ69" s="55"/>
      <c r="BA69" s="55"/>
      <c r="BB69" s="55">
        <v>44371</v>
      </c>
      <c r="BC69" s="55">
        <v>44476</v>
      </c>
      <c r="BD69" s="55"/>
      <c r="BE69" s="55"/>
      <c r="BF69" s="55"/>
      <c r="BG69" s="55"/>
      <c r="BH69" s="55"/>
      <c r="BI69" s="55"/>
      <c r="BJ69" s="55"/>
    </row>
    <row r="70" spans="1:62" x14ac:dyDescent="0.4">
      <c r="A70" s="5">
        <f t="shared" ref="A70:A133" si="2">COUNT(C70:BJ70)</f>
        <v>31</v>
      </c>
      <c r="B70" s="3" t="s">
        <v>66</v>
      </c>
      <c r="C70" s="55">
        <v>44496</v>
      </c>
      <c r="D70" s="55">
        <v>44452</v>
      </c>
      <c r="E70" s="55">
        <v>44496</v>
      </c>
      <c r="F70" s="55">
        <v>44497</v>
      </c>
      <c r="G70" s="55">
        <v>44426</v>
      </c>
      <c r="H70" s="55">
        <v>44495</v>
      </c>
      <c r="I70" s="55">
        <v>44496</v>
      </c>
      <c r="J70" s="55">
        <v>44495</v>
      </c>
      <c r="K70" s="55"/>
      <c r="L70" s="55">
        <v>44467</v>
      </c>
      <c r="M70" s="55">
        <v>44497</v>
      </c>
      <c r="N70" s="55">
        <v>44495</v>
      </c>
      <c r="O70" s="55">
        <v>44463</v>
      </c>
      <c r="P70" s="55">
        <v>44497</v>
      </c>
      <c r="Q70" s="55">
        <v>44496</v>
      </c>
      <c r="R70" s="55"/>
      <c r="S70" s="55">
        <v>44181</v>
      </c>
      <c r="T70" s="55"/>
      <c r="U70" s="56">
        <v>44134</v>
      </c>
      <c r="V70" s="55">
        <v>44159</v>
      </c>
      <c r="W70" s="55"/>
      <c r="X70" s="55"/>
      <c r="Y70" s="55">
        <v>44496</v>
      </c>
      <c r="Z70" s="55">
        <v>44496</v>
      </c>
      <c r="AA70" s="55">
        <v>44495</v>
      </c>
      <c r="AB70" s="55">
        <v>44497</v>
      </c>
      <c r="AC70" s="55"/>
      <c r="AD70" s="55"/>
      <c r="AE70" s="55">
        <v>44496</v>
      </c>
      <c r="AF70" s="55"/>
      <c r="AG70" s="55">
        <v>44496</v>
      </c>
      <c r="AH70" s="55">
        <v>44449</v>
      </c>
      <c r="AI70" s="55">
        <v>44463</v>
      </c>
      <c r="AJ70" s="55">
        <v>44266</v>
      </c>
      <c r="AK70" s="55"/>
      <c r="AL70" s="55"/>
      <c r="AM70" s="55"/>
      <c r="AN70" s="55"/>
      <c r="AO70" s="55"/>
      <c r="AP70" s="55"/>
      <c r="AQ70" s="55">
        <v>44431</v>
      </c>
      <c r="AR70" s="55"/>
      <c r="AS70" s="55"/>
      <c r="AT70" s="55"/>
      <c r="AU70" s="55">
        <v>44426</v>
      </c>
      <c r="AV70" s="55"/>
      <c r="AW70" s="55"/>
      <c r="AX70" s="55">
        <v>44427</v>
      </c>
      <c r="AY70" s="55"/>
      <c r="AZ70" s="55"/>
      <c r="BA70" s="55">
        <v>44420</v>
      </c>
      <c r="BB70" s="55"/>
      <c r="BC70" s="55">
        <v>44433</v>
      </c>
      <c r="BD70" s="55"/>
      <c r="BE70" s="55"/>
      <c r="BF70" s="55"/>
      <c r="BG70" s="55"/>
      <c r="BH70" s="55"/>
      <c r="BI70" s="55"/>
      <c r="BJ70" s="55"/>
    </row>
    <row r="71" spans="1:62" x14ac:dyDescent="0.4">
      <c r="A71" s="5">
        <f t="shared" si="2"/>
        <v>29</v>
      </c>
      <c r="B71" s="3" t="s">
        <v>67</v>
      </c>
      <c r="C71" s="55">
        <v>44495</v>
      </c>
      <c r="D71" s="55">
        <v>44329</v>
      </c>
      <c r="E71" s="55">
        <v>44495</v>
      </c>
      <c r="F71" s="55"/>
      <c r="G71" s="55"/>
      <c r="H71" s="55">
        <v>44181</v>
      </c>
      <c r="I71" s="55">
        <v>44327</v>
      </c>
      <c r="J71" s="55">
        <v>44502</v>
      </c>
      <c r="K71" s="55"/>
      <c r="L71" s="55">
        <v>44377</v>
      </c>
      <c r="M71" s="55">
        <v>44502</v>
      </c>
      <c r="N71" s="55">
        <v>44322</v>
      </c>
      <c r="O71" s="55">
        <v>44319</v>
      </c>
      <c r="P71" s="55">
        <v>44186</v>
      </c>
      <c r="Q71" s="55">
        <v>44304</v>
      </c>
      <c r="R71" s="55"/>
      <c r="S71" s="55">
        <v>44468</v>
      </c>
      <c r="T71" s="55"/>
      <c r="U71" s="55">
        <v>44316</v>
      </c>
      <c r="V71" s="55">
        <v>44494</v>
      </c>
      <c r="W71" s="55"/>
      <c r="X71" s="55">
        <v>44187</v>
      </c>
      <c r="Y71" s="55"/>
      <c r="Z71" s="55">
        <v>44446</v>
      </c>
      <c r="AA71" s="55">
        <v>44481</v>
      </c>
      <c r="AB71" s="55">
        <v>44319</v>
      </c>
      <c r="AC71" s="55"/>
      <c r="AD71" s="55">
        <v>44329</v>
      </c>
      <c r="AE71" s="55"/>
      <c r="AF71" s="55"/>
      <c r="AG71" s="55">
        <v>44502</v>
      </c>
      <c r="AH71" s="55">
        <v>44326</v>
      </c>
      <c r="AI71" s="55">
        <v>44446</v>
      </c>
      <c r="AJ71" s="55">
        <v>44446</v>
      </c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>
        <v>44377</v>
      </c>
      <c r="AV71" s="55">
        <v>44186</v>
      </c>
      <c r="AW71" s="55"/>
      <c r="AX71" s="55"/>
      <c r="AY71" s="55">
        <v>44484</v>
      </c>
      <c r="AZ71" s="55"/>
      <c r="BA71" s="55"/>
      <c r="BB71" s="55">
        <v>44476</v>
      </c>
      <c r="BC71" s="55">
        <v>44494</v>
      </c>
      <c r="BD71" s="55"/>
      <c r="BE71" s="55"/>
      <c r="BF71" s="55"/>
      <c r="BG71" s="55"/>
      <c r="BH71" s="55"/>
      <c r="BI71" s="55"/>
      <c r="BJ71" s="55"/>
    </row>
    <row r="72" spans="1:62" x14ac:dyDescent="0.4">
      <c r="A72" s="5">
        <f t="shared" si="2"/>
        <v>35</v>
      </c>
      <c r="B72" s="3" t="s">
        <v>68</v>
      </c>
      <c r="C72" s="55">
        <v>44375</v>
      </c>
      <c r="D72" s="55">
        <v>44186</v>
      </c>
      <c r="E72" s="55">
        <v>44375</v>
      </c>
      <c r="F72" s="55">
        <v>44474</v>
      </c>
      <c r="G72" s="55">
        <v>44467</v>
      </c>
      <c r="H72" s="55">
        <v>44186</v>
      </c>
      <c r="I72" s="55">
        <v>44375</v>
      </c>
      <c r="J72" s="55">
        <v>44467</v>
      </c>
      <c r="K72" s="55"/>
      <c r="L72" s="55">
        <v>44375</v>
      </c>
      <c r="M72" s="55">
        <v>44474</v>
      </c>
      <c r="N72" s="55">
        <v>44186</v>
      </c>
      <c r="O72" s="55">
        <v>44186</v>
      </c>
      <c r="P72" s="55">
        <v>44186</v>
      </c>
      <c r="Q72" s="55">
        <v>44186</v>
      </c>
      <c r="R72" s="55">
        <v>44186</v>
      </c>
      <c r="S72" s="55">
        <v>44375</v>
      </c>
      <c r="T72" s="55"/>
      <c r="U72" s="55">
        <v>44186</v>
      </c>
      <c r="V72" s="55">
        <v>44186</v>
      </c>
      <c r="W72" s="55"/>
      <c r="X72" s="55">
        <v>44186</v>
      </c>
      <c r="Y72" s="55"/>
      <c r="Z72" s="55"/>
      <c r="AA72" s="55">
        <v>44186</v>
      </c>
      <c r="AB72" s="55">
        <v>44186</v>
      </c>
      <c r="AC72" s="55"/>
      <c r="AD72" s="55">
        <v>44186</v>
      </c>
      <c r="AE72" s="55"/>
      <c r="AF72" s="55">
        <v>44375</v>
      </c>
      <c r="AG72" s="55">
        <v>44375</v>
      </c>
      <c r="AH72" s="55">
        <v>44375</v>
      </c>
      <c r="AI72" s="55">
        <v>44186</v>
      </c>
      <c r="AJ72" s="55">
        <v>44186</v>
      </c>
      <c r="AK72" s="55"/>
      <c r="AL72" s="55"/>
      <c r="AM72" s="55"/>
      <c r="AN72" s="55">
        <v>44375</v>
      </c>
      <c r="AO72" s="55"/>
      <c r="AP72" s="55"/>
      <c r="AQ72" s="55">
        <v>44375</v>
      </c>
      <c r="AR72" s="55"/>
      <c r="AS72" s="55">
        <v>44375</v>
      </c>
      <c r="AT72" s="55"/>
      <c r="AU72" s="55">
        <v>44375</v>
      </c>
      <c r="AV72" s="55"/>
      <c r="AW72" s="55"/>
      <c r="AX72" s="55">
        <v>44186</v>
      </c>
      <c r="AY72" s="55">
        <v>44375</v>
      </c>
      <c r="AZ72" s="55"/>
      <c r="BA72" s="55"/>
      <c r="BB72" s="55">
        <v>44375</v>
      </c>
      <c r="BC72" s="55">
        <v>44375</v>
      </c>
      <c r="BD72" s="55"/>
      <c r="BE72" s="55"/>
      <c r="BF72" s="55"/>
      <c r="BG72" s="55"/>
      <c r="BH72" s="55"/>
      <c r="BI72" s="55"/>
      <c r="BJ72" s="55"/>
    </row>
    <row r="73" spans="1:62" x14ac:dyDescent="0.4">
      <c r="A73" s="5">
        <f t="shared" si="2"/>
        <v>27</v>
      </c>
      <c r="B73" s="3" t="s">
        <v>69</v>
      </c>
      <c r="C73" s="55">
        <v>44413</v>
      </c>
      <c r="D73" s="55">
        <v>44396</v>
      </c>
      <c r="E73" s="55"/>
      <c r="F73" s="56">
        <v>44288</v>
      </c>
      <c r="G73" s="55">
        <v>44413</v>
      </c>
      <c r="H73" s="55">
        <v>44413</v>
      </c>
      <c r="I73" s="55">
        <v>44413</v>
      </c>
      <c r="J73" s="55">
        <v>44413</v>
      </c>
      <c r="K73" s="55"/>
      <c r="L73" s="55"/>
      <c r="M73" s="55">
        <v>44413</v>
      </c>
      <c r="N73" s="55">
        <v>44462</v>
      </c>
      <c r="O73" s="55"/>
      <c r="P73" s="55">
        <v>44420</v>
      </c>
      <c r="Q73" s="55"/>
      <c r="R73" s="55"/>
      <c r="S73" s="55"/>
      <c r="T73" s="55"/>
      <c r="U73" s="55">
        <v>44420</v>
      </c>
      <c r="V73" s="55">
        <v>44420</v>
      </c>
      <c r="W73" s="55"/>
      <c r="X73" s="55">
        <v>44411</v>
      </c>
      <c r="Y73" s="55"/>
      <c r="Z73" s="55"/>
      <c r="AA73" s="55">
        <v>44420</v>
      </c>
      <c r="AB73" s="55">
        <v>44411</v>
      </c>
      <c r="AC73" s="55"/>
      <c r="AD73" s="55">
        <v>44411</v>
      </c>
      <c r="AE73" s="55"/>
      <c r="AF73" s="55"/>
      <c r="AG73" s="55"/>
      <c r="AH73" s="55">
        <v>44411</v>
      </c>
      <c r="AI73" s="55">
        <v>44411</v>
      </c>
      <c r="AJ73" s="55">
        <v>44411</v>
      </c>
      <c r="AK73" s="55"/>
      <c r="AL73" s="55"/>
      <c r="AM73" s="55"/>
      <c r="AN73" s="55"/>
      <c r="AO73" s="55"/>
      <c r="AP73" s="55"/>
      <c r="AQ73" s="55"/>
      <c r="AR73" s="55"/>
      <c r="AS73" s="55"/>
      <c r="AT73" s="55"/>
      <c r="AU73" s="55">
        <v>44411</v>
      </c>
      <c r="AV73" s="55">
        <v>44413</v>
      </c>
      <c r="AW73" s="55"/>
      <c r="AX73" s="55">
        <v>44410</v>
      </c>
      <c r="AY73" s="55">
        <v>44411</v>
      </c>
      <c r="AZ73" s="55"/>
      <c r="BA73" s="55">
        <v>44411</v>
      </c>
      <c r="BB73" s="55">
        <v>44411</v>
      </c>
      <c r="BC73" s="55">
        <v>44411</v>
      </c>
      <c r="BD73" s="55"/>
      <c r="BE73" s="55"/>
      <c r="BF73" s="55"/>
      <c r="BG73" s="55"/>
      <c r="BH73" s="55">
        <v>44502</v>
      </c>
      <c r="BI73" s="55"/>
      <c r="BJ73" s="55"/>
    </row>
    <row r="74" spans="1:62" x14ac:dyDescent="0.4">
      <c r="A74" s="5">
        <f t="shared" si="2"/>
        <v>27</v>
      </c>
      <c r="B74" s="3" t="s">
        <v>70</v>
      </c>
      <c r="C74" s="55">
        <v>44497</v>
      </c>
      <c r="D74" s="55"/>
      <c r="E74" s="55">
        <v>44497</v>
      </c>
      <c r="F74" s="55"/>
      <c r="G74" s="55"/>
      <c r="H74" s="55">
        <v>44497</v>
      </c>
      <c r="I74" s="55">
        <v>44497</v>
      </c>
      <c r="J74" s="55">
        <v>44497</v>
      </c>
      <c r="K74" s="55">
        <v>44497</v>
      </c>
      <c r="L74" s="55">
        <v>44497</v>
      </c>
      <c r="M74" s="55">
        <v>44497</v>
      </c>
      <c r="N74" s="55">
        <v>44187</v>
      </c>
      <c r="O74" s="55">
        <v>44160</v>
      </c>
      <c r="P74" s="55"/>
      <c r="Q74" s="55">
        <v>44184</v>
      </c>
      <c r="R74" s="55"/>
      <c r="S74" s="55">
        <v>44187</v>
      </c>
      <c r="T74" s="55">
        <v>44182</v>
      </c>
      <c r="U74" s="55">
        <v>44497</v>
      </c>
      <c r="V74" s="55"/>
      <c r="W74" s="55"/>
      <c r="X74" s="55"/>
      <c r="Y74" s="55">
        <v>44497</v>
      </c>
      <c r="Z74" s="55"/>
      <c r="AA74" s="55">
        <v>44187</v>
      </c>
      <c r="AB74" s="55">
        <v>44179</v>
      </c>
      <c r="AC74" s="55">
        <v>44497</v>
      </c>
      <c r="AD74" s="55"/>
      <c r="AE74" s="55"/>
      <c r="AF74" s="55"/>
      <c r="AG74" s="55"/>
      <c r="AH74" s="55">
        <v>44392</v>
      </c>
      <c r="AI74" s="55"/>
      <c r="AJ74" s="55"/>
      <c r="AK74" s="55">
        <v>44497</v>
      </c>
      <c r="AL74" s="55"/>
      <c r="AM74" s="56">
        <v>44184</v>
      </c>
      <c r="AN74" s="55"/>
      <c r="AO74" s="55">
        <v>44497</v>
      </c>
      <c r="AP74" s="55"/>
      <c r="AQ74" s="55"/>
      <c r="AR74" s="55"/>
      <c r="AS74" s="55"/>
      <c r="AT74" s="55"/>
      <c r="AU74" s="55"/>
      <c r="AV74" s="55"/>
      <c r="AW74" s="55">
        <v>44497</v>
      </c>
      <c r="AX74" s="55"/>
      <c r="AY74" s="55"/>
      <c r="AZ74" s="55"/>
      <c r="BA74" s="55"/>
      <c r="BB74" s="55">
        <v>44497</v>
      </c>
      <c r="BC74" s="55"/>
      <c r="BD74" s="55"/>
      <c r="BE74" s="55">
        <v>44497</v>
      </c>
      <c r="BF74" s="55"/>
      <c r="BG74" s="55"/>
      <c r="BH74" s="55"/>
      <c r="BI74" s="55">
        <v>44216</v>
      </c>
      <c r="BJ74" s="55">
        <v>44497</v>
      </c>
    </row>
    <row r="75" spans="1:62" x14ac:dyDescent="0.4">
      <c r="A75" s="5">
        <f t="shared" si="2"/>
        <v>28</v>
      </c>
      <c r="B75" s="3" t="s">
        <v>71</v>
      </c>
      <c r="C75" s="55">
        <v>44453</v>
      </c>
      <c r="D75" s="55">
        <v>44342</v>
      </c>
      <c r="E75" s="55">
        <v>44455</v>
      </c>
      <c r="F75" s="55">
        <v>44425</v>
      </c>
      <c r="G75" s="55">
        <v>44420</v>
      </c>
      <c r="H75" s="55">
        <v>44428</v>
      </c>
      <c r="I75" s="55">
        <v>44432</v>
      </c>
      <c r="J75" s="55">
        <v>44428</v>
      </c>
      <c r="K75" s="55"/>
      <c r="L75" s="55"/>
      <c r="M75" s="55">
        <v>44411</v>
      </c>
      <c r="N75" s="55">
        <v>44434</v>
      </c>
      <c r="O75" s="55"/>
      <c r="P75" s="55">
        <v>44448</v>
      </c>
      <c r="Q75" s="55"/>
      <c r="R75" s="55">
        <v>44181</v>
      </c>
      <c r="S75" s="55">
        <v>44362</v>
      </c>
      <c r="T75" s="55"/>
      <c r="U75" s="55">
        <v>44363</v>
      </c>
      <c r="V75" s="55"/>
      <c r="W75" s="55"/>
      <c r="X75" s="55"/>
      <c r="Y75" s="55"/>
      <c r="Z75" s="55">
        <v>44186</v>
      </c>
      <c r="AA75" s="55"/>
      <c r="AB75" s="55">
        <v>44186</v>
      </c>
      <c r="AC75" s="55"/>
      <c r="AD75" s="55"/>
      <c r="AE75" s="55">
        <v>44365</v>
      </c>
      <c r="AF75" s="55">
        <v>44467</v>
      </c>
      <c r="AG75" s="55">
        <v>44368</v>
      </c>
      <c r="AH75" s="55"/>
      <c r="AI75" s="55">
        <v>44187</v>
      </c>
      <c r="AJ75" s="55">
        <v>44455</v>
      </c>
      <c r="AK75" s="55"/>
      <c r="AL75" s="55"/>
      <c r="AM75" s="55"/>
      <c r="AN75" s="55"/>
      <c r="AO75" s="55"/>
      <c r="AP75" s="55"/>
      <c r="AQ75" s="55"/>
      <c r="AR75" s="55">
        <v>44456</v>
      </c>
      <c r="AS75" s="55"/>
      <c r="AT75" s="55"/>
      <c r="AU75" s="55">
        <v>44453</v>
      </c>
      <c r="AV75" s="55"/>
      <c r="AW75" s="55"/>
      <c r="AX75" s="55"/>
      <c r="AY75" s="55">
        <v>44446</v>
      </c>
      <c r="AZ75" s="55"/>
      <c r="BA75" s="55">
        <v>44428</v>
      </c>
      <c r="BB75" s="55">
        <v>44433</v>
      </c>
      <c r="BC75" s="56">
        <v>44133</v>
      </c>
      <c r="BD75" s="55">
        <v>44455</v>
      </c>
      <c r="BE75" s="55"/>
      <c r="BF75" s="55"/>
      <c r="BG75" s="55"/>
      <c r="BH75" s="55"/>
      <c r="BI75" s="55"/>
      <c r="BJ75" s="55"/>
    </row>
    <row r="76" spans="1:62" x14ac:dyDescent="0.4">
      <c r="A76" s="5">
        <f t="shared" si="2"/>
        <v>33</v>
      </c>
      <c r="B76" s="3" t="s">
        <v>75</v>
      </c>
      <c r="C76" s="55">
        <v>44456</v>
      </c>
      <c r="D76" s="55">
        <v>44295</v>
      </c>
      <c r="E76" s="55">
        <v>44448</v>
      </c>
      <c r="F76" s="55">
        <v>44434</v>
      </c>
      <c r="G76" s="55">
        <v>44495</v>
      </c>
      <c r="H76" s="55">
        <v>44442</v>
      </c>
      <c r="I76" s="55">
        <v>44295</v>
      </c>
      <c r="J76" s="55">
        <v>44425</v>
      </c>
      <c r="K76" s="55"/>
      <c r="L76" s="55"/>
      <c r="M76" s="55">
        <v>44434</v>
      </c>
      <c r="N76" s="55">
        <v>44448</v>
      </c>
      <c r="O76" s="55"/>
      <c r="P76" s="55">
        <v>44462</v>
      </c>
      <c r="Q76" s="55">
        <v>44350</v>
      </c>
      <c r="R76" s="55">
        <v>44448</v>
      </c>
      <c r="S76" s="55">
        <v>44462</v>
      </c>
      <c r="T76" s="55"/>
      <c r="U76" s="55">
        <v>44456</v>
      </c>
      <c r="V76" s="55">
        <v>44456</v>
      </c>
      <c r="W76" s="55"/>
      <c r="X76" s="55">
        <v>44442</v>
      </c>
      <c r="Y76" s="55"/>
      <c r="Z76" s="55">
        <v>44448</v>
      </c>
      <c r="AA76" s="55">
        <v>44442</v>
      </c>
      <c r="AB76" s="55">
        <v>44448</v>
      </c>
      <c r="AC76" s="55">
        <v>44442</v>
      </c>
      <c r="AD76" s="55">
        <v>44350</v>
      </c>
      <c r="AE76" s="55">
        <v>44448</v>
      </c>
      <c r="AF76" s="55">
        <v>44497</v>
      </c>
      <c r="AG76" s="55">
        <v>44333</v>
      </c>
      <c r="AH76" s="55"/>
      <c r="AI76" s="55">
        <v>44384</v>
      </c>
      <c r="AJ76" s="55">
        <v>44497</v>
      </c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>
        <v>44456</v>
      </c>
      <c r="AV76" s="55"/>
      <c r="AW76" s="55"/>
      <c r="AX76" s="55">
        <v>44442</v>
      </c>
      <c r="AY76" s="55">
        <v>44455</v>
      </c>
      <c r="AZ76" s="55"/>
      <c r="BA76" s="55">
        <v>44448</v>
      </c>
      <c r="BB76" s="55"/>
      <c r="BC76" s="55">
        <v>44442</v>
      </c>
      <c r="BD76" s="55">
        <v>44442</v>
      </c>
      <c r="BE76" s="55"/>
      <c r="BF76" s="55"/>
      <c r="BG76" s="55"/>
      <c r="BH76" s="55"/>
      <c r="BI76" s="55"/>
      <c r="BJ76" s="55"/>
    </row>
    <row r="77" spans="1:62" x14ac:dyDescent="0.4">
      <c r="A77" s="5">
        <f t="shared" si="2"/>
        <v>27</v>
      </c>
      <c r="B77" s="3" t="s">
        <v>72</v>
      </c>
      <c r="C77" s="55">
        <v>44350</v>
      </c>
      <c r="D77" s="55">
        <v>44357</v>
      </c>
      <c r="E77" s="55">
        <v>44496</v>
      </c>
      <c r="F77" s="55">
        <v>44480</v>
      </c>
      <c r="G77" s="55">
        <v>44452</v>
      </c>
      <c r="H77" s="55">
        <v>44350</v>
      </c>
      <c r="I77" s="55">
        <v>44350</v>
      </c>
      <c r="J77" s="55">
        <v>44421</v>
      </c>
      <c r="K77" s="55"/>
      <c r="L77" s="55"/>
      <c r="M77" s="55">
        <v>44466</v>
      </c>
      <c r="N77" s="55">
        <v>44362</v>
      </c>
      <c r="O77" s="55"/>
      <c r="P77" s="55">
        <v>44397</v>
      </c>
      <c r="Q77" s="55"/>
      <c r="R77" s="55"/>
      <c r="S77" s="55"/>
      <c r="T77" s="55"/>
      <c r="U77" s="55">
        <v>44350</v>
      </c>
      <c r="V77" s="55"/>
      <c r="W77" s="55">
        <v>44350</v>
      </c>
      <c r="X77" s="55"/>
      <c r="Y77" s="55"/>
      <c r="Z77" s="55"/>
      <c r="AA77" s="55">
        <v>44369</v>
      </c>
      <c r="AB77" s="55">
        <v>44350</v>
      </c>
      <c r="AC77" s="55"/>
      <c r="AD77" s="55">
        <v>44350</v>
      </c>
      <c r="AE77" s="55"/>
      <c r="AF77" s="55">
        <v>44362</v>
      </c>
      <c r="AG77" s="55">
        <v>44354</v>
      </c>
      <c r="AH77" s="55"/>
      <c r="AI77" s="55">
        <v>44376</v>
      </c>
      <c r="AJ77" s="55">
        <v>44376</v>
      </c>
      <c r="AK77" s="55"/>
      <c r="AL77" s="55"/>
      <c r="AM77" s="55"/>
      <c r="AN77" s="55"/>
      <c r="AO77" s="55"/>
      <c r="AP77" s="55"/>
      <c r="AQ77" s="55"/>
      <c r="AR77" s="55"/>
      <c r="AS77" s="55"/>
      <c r="AT77" s="55"/>
      <c r="AU77" s="55">
        <v>44363</v>
      </c>
      <c r="AV77" s="55"/>
      <c r="AW77" s="55"/>
      <c r="AX77" s="55">
        <v>44357</v>
      </c>
      <c r="AY77" s="55">
        <v>44362</v>
      </c>
      <c r="AZ77" s="55">
        <v>44350</v>
      </c>
      <c r="BA77" s="55"/>
      <c r="BB77" s="55">
        <v>44351</v>
      </c>
      <c r="BC77" s="55">
        <v>44337</v>
      </c>
      <c r="BD77" s="55">
        <v>44375</v>
      </c>
      <c r="BE77" s="55"/>
      <c r="BF77" s="55"/>
      <c r="BG77" s="55"/>
      <c r="BH77" s="55"/>
      <c r="BI77" s="55"/>
      <c r="BJ77" s="55"/>
    </row>
    <row r="78" spans="1:62" x14ac:dyDescent="0.4">
      <c r="A78" s="5">
        <f t="shared" si="2"/>
        <v>22</v>
      </c>
      <c r="B78" s="3" t="s">
        <v>73</v>
      </c>
      <c r="C78" s="55">
        <v>44426</v>
      </c>
      <c r="D78" s="55">
        <v>44425</v>
      </c>
      <c r="E78" s="55">
        <v>44426</v>
      </c>
      <c r="F78" s="55">
        <v>44496</v>
      </c>
      <c r="G78" s="55">
        <v>44496</v>
      </c>
      <c r="H78" s="55">
        <v>44411</v>
      </c>
      <c r="I78" s="55">
        <v>44411</v>
      </c>
      <c r="J78" s="55">
        <v>44421</v>
      </c>
      <c r="K78" s="55"/>
      <c r="L78" s="55"/>
      <c r="M78" s="55">
        <v>44496</v>
      </c>
      <c r="N78" s="55"/>
      <c r="O78" s="55"/>
      <c r="P78" s="55"/>
      <c r="Q78" s="55"/>
      <c r="R78" s="55"/>
      <c r="S78" s="55"/>
      <c r="T78" s="55"/>
      <c r="U78" s="55">
        <v>44426</v>
      </c>
      <c r="V78" s="55">
        <v>44425</v>
      </c>
      <c r="W78" s="55"/>
      <c r="X78" s="55">
        <v>44426</v>
      </c>
      <c r="Y78" s="55"/>
      <c r="Z78" s="55"/>
      <c r="AA78" s="55"/>
      <c r="AB78" s="55"/>
      <c r="AC78" s="55"/>
      <c r="AD78" s="55">
        <v>44425</v>
      </c>
      <c r="AE78" s="55"/>
      <c r="AF78" s="55"/>
      <c r="AG78" s="55">
        <v>44421</v>
      </c>
      <c r="AH78" s="55"/>
      <c r="AI78" s="55">
        <v>44414</v>
      </c>
      <c r="AJ78" s="55">
        <v>44414</v>
      </c>
      <c r="AK78" s="55"/>
      <c r="AL78" s="55"/>
      <c r="AM78" s="55"/>
      <c r="AN78" s="55"/>
      <c r="AO78" s="55"/>
      <c r="AP78" s="55"/>
      <c r="AQ78" s="55"/>
      <c r="AR78" s="55">
        <v>44428</v>
      </c>
      <c r="AS78" s="55"/>
      <c r="AT78" s="55"/>
      <c r="AU78" s="55">
        <v>44425</v>
      </c>
      <c r="AV78" s="55"/>
      <c r="AW78" s="55"/>
      <c r="AX78" s="55"/>
      <c r="AY78" s="55">
        <v>44428</v>
      </c>
      <c r="AZ78" s="55"/>
      <c r="BA78" s="55">
        <v>44426</v>
      </c>
      <c r="BB78" s="55"/>
      <c r="BC78" s="55">
        <v>44425</v>
      </c>
      <c r="BD78" s="55">
        <v>44425</v>
      </c>
      <c r="BE78" s="55"/>
      <c r="BF78" s="55"/>
      <c r="BG78" s="55"/>
      <c r="BH78" s="55"/>
      <c r="BI78" s="55"/>
      <c r="BJ78" s="55"/>
    </row>
    <row r="79" spans="1:62" x14ac:dyDescent="0.4">
      <c r="A79" s="5">
        <f t="shared" si="2"/>
        <v>29</v>
      </c>
      <c r="B79" s="3" t="s">
        <v>74</v>
      </c>
      <c r="C79" s="55">
        <v>44367</v>
      </c>
      <c r="D79" s="55">
        <v>44377</v>
      </c>
      <c r="E79" s="55">
        <v>44405</v>
      </c>
      <c r="F79" s="55">
        <v>44469</v>
      </c>
      <c r="G79" s="55">
        <v>44469</v>
      </c>
      <c r="H79" s="55">
        <v>44371</v>
      </c>
      <c r="I79" s="55">
        <v>44286</v>
      </c>
      <c r="J79" s="55">
        <v>44469</v>
      </c>
      <c r="K79" s="55"/>
      <c r="L79" s="55"/>
      <c r="M79" s="55">
        <v>44469</v>
      </c>
      <c r="N79" s="55">
        <v>44377</v>
      </c>
      <c r="O79" s="55"/>
      <c r="P79" s="55">
        <v>44469</v>
      </c>
      <c r="Q79" s="55"/>
      <c r="R79" s="55">
        <v>44469</v>
      </c>
      <c r="S79" s="55"/>
      <c r="T79" s="55"/>
      <c r="U79" s="55">
        <v>44351</v>
      </c>
      <c r="V79" s="56">
        <v>44133</v>
      </c>
      <c r="W79" s="55"/>
      <c r="X79" s="55"/>
      <c r="Y79" s="55"/>
      <c r="Z79" s="55"/>
      <c r="AA79" s="55">
        <v>44376</v>
      </c>
      <c r="AB79" s="55">
        <v>44376</v>
      </c>
      <c r="AC79" s="55"/>
      <c r="AD79" s="55">
        <v>44377</v>
      </c>
      <c r="AE79" s="55"/>
      <c r="AF79" s="55">
        <v>44469</v>
      </c>
      <c r="AG79" s="55">
        <v>44469</v>
      </c>
      <c r="AH79" s="55"/>
      <c r="AI79" s="55">
        <v>44354</v>
      </c>
      <c r="AJ79" s="55">
        <v>44371</v>
      </c>
      <c r="AK79" s="55"/>
      <c r="AL79" s="55"/>
      <c r="AM79" s="55"/>
      <c r="AN79" s="55"/>
      <c r="AO79" s="55"/>
      <c r="AP79" s="55"/>
      <c r="AQ79" s="55"/>
      <c r="AR79" s="55">
        <v>44469</v>
      </c>
      <c r="AS79" s="55"/>
      <c r="AT79" s="55"/>
      <c r="AU79" s="55">
        <v>44469</v>
      </c>
      <c r="AV79" s="55"/>
      <c r="AW79" s="55"/>
      <c r="AX79" s="55">
        <v>44469</v>
      </c>
      <c r="AY79" s="55">
        <v>44375</v>
      </c>
      <c r="AZ79" s="55">
        <v>44405</v>
      </c>
      <c r="BA79" s="55">
        <v>44367</v>
      </c>
      <c r="BB79" s="55">
        <v>44372</v>
      </c>
      <c r="BC79" s="55"/>
      <c r="BD79" s="55">
        <v>44375</v>
      </c>
      <c r="BE79" s="55"/>
      <c r="BF79" s="55"/>
      <c r="BG79" s="55"/>
      <c r="BH79" s="55"/>
      <c r="BI79" s="55"/>
      <c r="BJ79" s="55"/>
    </row>
    <row r="80" spans="1:62" x14ac:dyDescent="0.4">
      <c r="A80" s="5">
        <f t="shared" si="2"/>
        <v>33</v>
      </c>
      <c r="B80" s="3" t="s">
        <v>76</v>
      </c>
      <c r="C80" s="55">
        <v>44467</v>
      </c>
      <c r="D80" s="55">
        <v>44466</v>
      </c>
      <c r="E80" s="55">
        <v>44467</v>
      </c>
      <c r="F80" s="55">
        <v>44467</v>
      </c>
      <c r="G80" s="55">
        <v>44467</v>
      </c>
      <c r="H80" s="55">
        <v>44466</v>
      </c>
      <c r="I80" s="55">
        <v>44440</v>
      </c>
      <c r="J80" s="55">
        <v>44467</v>
      </c>
      <c r="K80" s="55"/>
      <c r="L80" s="55">
        <v>44305</v>
      </c>
      <c r="M80" s="55">
        <v>44470</v>
      </c>
      <c r="N80" s="55">
        <v>44468</v>
      </c>
      <c r="O80" s="55"/>
      <c r="P80" s="55">
        <v>44474</v>
      </c>
      <c r="Q80" s="55">
        <v>44466</v>
      </c>
      <c r="R80" s="55">
        <v>44466</v>
      </c>
      <c r="S80" s="55">
        <v>44467</v>
      </c>
      <c r="T80" s="55">
        <v>44466</v>
      </c>
      <c r="U80" s="55">
        <v>44467</v>
      </c>
      <c r="V80" s="55">
        <v>44320</v>
      </c>
      <c r="W80" s="55">
        <v>44468</v>
      </c>
      <c r="X80" s="55"/>
      <c r="Y80" s="55"/>
      <c r="Z80" s="55">
        <v>44466</v>
      </c>
      <c r="AA80" s="55">
        <v>44466</v>
      </c>
      <c r="AB80" s="55">
        <v>44469</v>
      </c>
      <c r="AC80" s="55"/>
      <c r="AD80" s="56">
        <v>44120</v>
      </c>
      <c r="AE80" s="55">
        <v>44467</v>
      </c>
      <c r="AF80" s="55"/>
      <c r="AG80" s="55">
        <v>44467</v>
      </c>
      <c r="AH80" s="55">
        <v>44463</v>
      </c>
      <c r="AI80" s="55"/>
      <c r="AJ80" s="55"/>
      <c r="AK80" s="55"/>
      <c r="AL80" s="55"/>
      <c r="AM80" s="55">
        <v>44453</v>
      </c>
      <c r="AN80" s="55"/>
      <c r="AO80" s="55">
        <v>44466</v>
      </c>
      <c r="AP80" s="55"/>
      <c r="AQ80" s="55"/>
      <c r="AR80" s="55"/>
      <c r="AS80" s="55"/>
      <c r="AT80" s="55"/>
      <c r="AU80" s="56">
        <v>44305</v>
      </c>
      <c r="AV80" s="55"/>
      <c r="AW80" s="55"/>
      <c r="AX80" s="55"/>
      <c r="AY80" s="56">
        <v>44302</v>
      </c>
      <c r="AZ80" s="55"/>
      <c r="BA80" s="55"/>
      <c r="BB80" s="55"/>
      <c r="BC80" s="56">
        <v>44305</v>
      </c>
      <c r="BD80" s="55"/>
      <c r="BE80" s="55"/>
      <c r="BF80" s="55"/>
      <c r="BG80" s="55"/>
      <c r="BH80" s="55"/>
      <c r="BI80" s="55">
        <v>44218</v>
      </c>
      <c r="BJ80" s="55">
        <v>44470</v>
      </c>
    </row>
    <row r="81" spans="1:62" x14ac:dyDescent="0.4">
      <c r="A81" s="5">
        <f t="shared" si="2"/>
        <v>26</v>
      </c>
      <c r="B81" s="3" t="s">
        <v>77</v>
      </c>
      <c r="C81" s="55"/>
      <c r="D81" s="55">
        <v>44445</v>
      </c>
      <c r="E81" s="55">
        <v>44403</v>
      </c>
      <c r="F81" s="56">
        <v>44249</v>
      </c>
      <c r="G81" s="55">
        <v>44468</v>
      </c>
      <c r="H81" s="55">
        <v>44203</v>
      </c>
      <c r="I81" s="55">
        <v>44467</v>
      </c>
      <c r="J81" s="55">
        <v>44463</v>
      </c>
      <c r="K81" s="55">
        <v>44467</v>
      </c>
      <c r="L81" s="55">
        <v>44498</v>
      </c>
      <c r="M81" s="55">
        <v>44498</v>
      </c>
      <c r="N81" s="55">
        <v>44203</v>
      </c>
      <c r="O81" s="55">
        <v>44467</v>
      </c>
      <c r="P81" s="55">
        <v>44280</v>
      </c>
      <c r="Q81" s="55">
        <v>44445</v>
      </c>
      <c r="R81" s="55">
        <v>44455</v>
      </c>
      <c r="S81" s="55">
        <v>44463</v>
      </c>
      <c r="T81" s="55"/>
      <c r="U81" s="55">
        <v>44445</v>
      </c>
      <c r="V81" s="55">
        <v>44455</v>
      </c>
      <c r="W81" s="55"/>
      <c r="X81" s="55"/>
      <c r="Y81" s="55"/>
      <c r="Z81" s="55"/>
      <c r="AA81" s="55">
        <v>44455</v>
      </c>
      <c r="AB81" s="55">
        <v>44455</v>
      </c>
      <c r="AC81" s="55"/>
      <c r="AD81" s="55"/>
      <c r="AE81" s="55"/>
      <c r="AF81" s="55"/>
      <c r="AG81" s="55"/>
      <c r="AH81" s="55"/>
      <c r="AI81" s="55">
        <v>44203</v>
      </c>
      <c r="AJ81" s="55">
        <v>44467</v>
      </c>
      <c r="AK81" s="55"/>
      <c r="AL81" s="55"/>
      <c r="AM81" s="55"/>
      <c r="AN81" s="55"/>
      <c r="AO81" s="55"/>
      <c r="AP81" s="55"/>
      <c r="AQ81" s="55"/>
      <c r="AR81" s="55"/>
      <c r="AS81" s="55"/>
      <c r="AT81" s="55"/>
      <c r="AU81" s="55">
        <v>44439</v>
      </c>
      <c r="AV81" s="55"/>
      <c r="AW81" s="55"/>
      <c r="AX81" s="55"/>
      <c r="AY81" s="55">
        <v>44445</v>
      </c>
      <c r="AZ81" s="55"/>
      <c r="BA81" s="55">
        <v>44467</v>
      </c>
      <c r="BB81" s="55">
        <v>44456</v>
      </c>
      <c r="BC81" s="55"/>
      <c r="BD81" s="55"/>
      <c r="BE81" s="55"/>
      <c r="BF81" s="55"/>
      <c r="BG81" s="55"/>
      <c r="BH81" s="55"/>
      <c r="BI81" s="55"/>
      <c r="BJ81" s="55"/>
    </row>
    <row r="82" spans="1:62" x14ac:dyDescent="0.4">
      <c r="A82" s="5">
        <f t="shared" si="2"/>
        <v>30</v>
      </c>
      <c r="B82" s="3" t="s">
        <v>78</v>
      </c>
      <c r="C82" s="55">
        <v>44464</v>
      </c>
      <c r="D82" s="55">
        <v>44334</v>
      </c>
      <c r="E82" s="55">
        <v>44464</v>
      </c>
      <c r="F82" s="55">
        <v>44464</v>
      </c>
      <c r="G82" s="55">
        <v>44464</v>
      </c>
      <c r="H82" s="55">
        <v>44316</v>
      </c>
      <c r="I82" s="55">
        <v>44399</v>
      </c>
      <c r="J82" s="55">
        <v>44455</v>
      </c>
      <c r="K82" s="55"/>
      <c r="L82" s="55">
        <v>44341</v>
      </c>
      <c r="M82" s="55">
        <v>44440</v>
      </c>
      <c r="N82" s="55">
        <v>44497</v>
      </c>
      <c r="O82" s="55"/>
      <c r="P82" s="55">
        <v>44341</v>
      </c>
      <c r="Q82" s="55">
        <v>44334</v>
      </c>
      <c r="R82" s="55">
        <v>44497</v>
      </c>
      <c r="S82" s="55">
        <v>44336</v>
      </c>
      <c r="T82" s="55"/>
      <c r="U82" s="55">
        <v>44340</v>
      </c>
      <c r="V82" s="55">
        <v>44497</v>
      </c>
      <c r="W82" s="55">
        <v>44497</v>
      </c>
      <c r="X82" s="55">
        <v>44336</v>
      </c>
      <c r="Y82" s="55"/>
      <c r="Z82" s="55"/>
      <c r="AA82" s="55">
        <v>44316</v>
      </c>
      <c r="AB82" s="55">
        <v>44316</v>
      </c>
      <c r="AC82" s="55"/>
      <c r="AD82" s="55"/>
      <c r="AE82" s="55">
        <v>44334</v>
      </c>
      <c r="AF82" s="55"/>
      <c r="AG82" s="55">
        <v>44464</v>
      </c>
      <c r="AH82" s="55"/>
      <c r="AI82" s="55">
        <v>44334</v>
      </c>
      <c r="AJ82" s="55">
        <v>44334</v>
      </c>
      <c r="AK82" s="55">
        <v>44313</v>
      </c>
      <c r="AL82" s="55"/>
      <c r="AM82" s="55"/>
      <c r="AN82" s="55"/>
      <c r="AO82" s="55"/>
      <c r="AP82" s="55"/>
      <c r="AQ82" s="55"/>
      <c r="AR82" s="55"/>
      <c r="AS82" s="55"/>
      <c r="AT82" s="55"/>
      <c r="AU82" s="55">
        <v>44497</v>
      </c>
      <c r="AV82" s="55"/>
      <c r="AW82" s="55"/>
      <c r="AX82" s="55"/>
      <c r="AY82" s="55">
        <v>44333</v>
      </c>
      <c r="AZ82" s="55"/>
      <c r="BA82" s="55"/>
      <c r="BB82" s="55">
        <v>44497</v>
      </c>
      <c r="BC82" s="55">
        <v>44342</v>
      </c>
      <c r="BD82" s="55"/>
      <c r="BE82" s="55"/>
      <c r="BF82" s="55"/>
      <c r="BG82" s="55"/>
      <c r="BH82" s="55"/>
      <c r="BI82" s="55"/>
      <c r="BJ82" s="55"/>
    </row>
    <row r="83" spans="1:62" x14ac:dyDescent="0.4">
      <c r="A83" s="5">
        <f t="shared" si="2"/>
        <v>25</v>
      </c>
      <c r="B83" s="3" t="s">
        <v>81</v>
      </c>
      <c r="C83" s="55">
        <v>44448</v>
      </c>
      <c r="D83" s="55">
        <v>44299</v>
      </c>
      <c r="E83" s="55">
        <v>44448</v>
      </c>
      <c r="F83" s="55">
        <v>44463</v>
      </c>
      <c r="G83" s="55">
        <v>44463</v>
      </c>
      <c r="H83" s="55">
        <v>44448</v>
      </c>
      <c r="I83" s="55">
        <v>44319</v>
      </c>
      <c r="J83" s="55">
        <v>44467</v>
      </c>
      <c r="K83" s="55"/>
      <c r="L83" s="55">
        <v>44314</v>
      </c>
      <c r="M83" s="55">
        <v>44463</v>
      </c>
      <c r="N83" s="55">
        <v>44168</v>
      </c>
      <c r="O83" s="55"/>
      <c r="P83" s="55">
        <v>44447</v>
      </c>
      <c r="Q83" s="55">
        <v>44447</v>
      </c>
      <c r="R83" s="55">
        <v>44447</v>
      </c>
      <c r="S83" s="55"/>
      <c r="T83" s="55"/>
      <c r="U83" s="55">
        <v>44501</v>
      </c>
      <c r="V83" s="55">
        <v>44463</v>
      </c>
      <c r="W83" s="55"/>
      <c r="X83" s="55"/>
      <c r="Y83" s="55"/>
      <c r="Z83" s="55"/>
      <c r="AA83" s="55">
        <v>44495</v>
      </c>
      <c r="AB83" s="55">
        <v>44501</v>
      </c>
      <c r="AC83" s="55"/>
      <c r="AD83" s="55"/>
      <c r="AE83" s="55">
        <v>44501</v>
      </c>
      <c r="AF83" s="55"/>
      <c r="AG83" s="55"/>
      <c r="AH83" s="55"/>
      <c r="AI83" s="55">
        <v>44463</v>
      </c>
      <c r="AJ83" s="55">
        <v>44463</v>
      </c>
      <c r="AK83" s="55"/>
      <c r="AL83" s="55"/>
      <c r="AM83" s="55"/>
      <c r="AN83" s="55"/>
      <c r="AO83" s="55"/>
      <c r="AP83" s="55"/>
      <c r="AQ83" s="55"/>
      <c r="AR83" s="55"/>
      <c r="AS83" s="55"/>
      <c r="AT83" s="55"/>
      <c r="AU83" s="55">
        <v>44448</v>
      </c>
      <c r="AV83" s="55"/>
      <c r="AW83" s="55"/>
      <c r="AX83" s="55"/>
      <c r="AY83" s="55"/>
      <c r="AZ83" s="56">
        <v>44271</v>
      </c>
      <c r="BA83" s="56">
        <v>44133</v>
      </c>
      <c r="BB83" s="55">
        <v>44470</v>
      </c>
      <c r="BC83" s="55"/>
      <c r="BD83" s="55"/>
      <c r="BE83" s="55"/>
      <c r="BF83" s="55"/>
      <c r="BG83" s="55"/>
      <c r="BH83" s="55"/>
      <c r="BI83" s="55"/>
      <c r="BJ83" s="55"/>
    </row>
    <row r="84" spans="1:62" x14ac:dyDescent="0.4">
      <c r="A84" s="5">
        <f t="shared" si="2"/>
        <v>23</v>
      </c>
      <c r="B84" s="3" t="s">
        <v>79</v>
      </c>
      <c r="C84" s="55">
        <v>44375</v>
      </c>
      <c r="D84" s="55">
        <v>44376</v>
      </c>
      <c r="E84" s="55">
        <v>44375</v>
      </c>
      <c r="F84" s="55">
        <v>44455</v>
      </c>
      <c r="G84" s="55">
        <v>44474</v>
      </c>
      <c r="H84" s="55">
        <v>44378</v>
      </c>
      <c r="I84" s="55">
        <v>44363</v>
      </c>
      <c r="J84" s="55">
        <v>44466</v>
      </c>
      <c r="K84" s="55"/>
      <c r="L84" s="55"/>
      <c r="M84" s="55"/>
      <c r="N84" s="55">
        <v>44378</v>
      </c>
      <c r="O84" s="55"/>
      <c r="P84" s="55">
        <v>44387</v>
      </c>
      <c r="Q84" s="55">
        <v>44370</v>
      </c>
      <c r="R84" s="55"/>
      <c r="S84" s="55"/>
      <c r="T84" s="55"/>
      <c r="U84" s="55">
        <v>44378</v>
      </c>
      <c r="V84" s="55">
        <v>44368</v>
      </c>
      <c r="W84" s="55"/>
      <c r="X84" s="55"/>
      <c r="Y84" s="55"/>
      <c r="Z84" s="55">
        <v>44379</v>
      </c>
      <c r="AA84" s="55">
        <v>44376</v>
      </c>
      <c r="AB84" s="55">
        <v>44378</v>
      </c>
      <c r="AC84" s="55"/>
      <c r="AD84" s="55">
        <v>44411</v>
      </c>
      <c r="AE84" s="55">
        <v>44379</v>
      </c>
      <c r="AF84" s="55">
        <v>44411</v>
      </c>
      <c r="AG84" s="55"/>
      <c r="AH84" s="55"/>
      <c r="AI84" s="55">
        <v>44377</v>
      </c>
      <c r="AJ84" s="55">
        <v>44377</v>
      </c>
      <c r="AK84" s="55"/>
      <c r="AL84" s="55"/>
      <c r="AM84" s="55"/>
      <c r="AN84" s="55"/>
      <c r="AO84" s="55"/>
      <c r="AP84" s="55"/>
      <c r="AQ84" s="55"/>
      <c r="AR84" s="55"/>
      <c r="AS84" s="55"/>
      <c r="AT84" s="55"/>
      <c r="AU84" s="55">
        <v>44375</v>
      </c>
      <c r="AV84" s="55"/>
      <c r="AW84" s="55"/>
      <c r="AX84" s="55"/>
      <c r="AY84" s="55"/>
      <c r="AZ84" s="55"/>
      <c r="BA84" s="55"/>
      <c r="BB84" s="55">
        <v>44375</v>
      </c>
      <c r="BC84" s="55"/>
      <c r="BD84" s="55"/>
      <c r="BE84" s="55"/>
      <c r="BF84" s="55"/>
      <c r="BG84" s="55"/>
      <c r="BH84" s="55"/>
      <c r="BI84" s="55"/>
      <c r="BJ84" s="55"/>
    </row>
    <row r="85" spans="1:62" x14ac:dyDescent="0.4">
      <c r="A85" s="5">
        <f t="shared" si="2"/>
        <v>30</v>
      </c>
      <c r="B85" s="3" t="s">
        <v>80</v>
      </c>
      <c r="C85" s="55">
        <v>44488</v>
      </c>
      <c r="D85" s="55">
        <v>44431</v>
      </c>
      <c r="E85" s="55">
        <v>44383</v>
      </c>
      <c r="F85" s="55">
        <v>44494</v>
      </c>
      <c r="G85" s="55">
        <v>44441</v>
      </c>
      <c r="H85" s="55">
        <v>44426</v>
      </c>
      <c r="I85" s="55">
        <v>44328</v>
      </c>
      <c r="J85" s="55">
        <v>44488</v>
      </c>
      <c r="K85" s="55">
        <v>44431</v>
      </c>
      <c r="L85" s="55"/>
      <c r="M85" s="55">
        <v>44495</v>
      </c>
      <c r="N85" s="55">
        <v>44428</v>
      </c>
      <c r="O85" s="55"/>
      <c r="P85" s="55">
        <v>44439</v>
      </c>
      <c r="Q85" s="55">
        <v>44434</v>
      </c>
      <c r="R85" s="55">
        <v>44503</v>
      </c>
      <c r="S85" s="55">
        <v>44494</v>
      </c>
      <c r="T85" s="55"/>
      <c r="U85" s="55">
        <v>44431</v>
      </c>
      <c r="V85" s="55">
        <v>44488</v>
      </c>
      <c r="W85" s="55"/>
      <c r="X85" s="55"/>
      <c r="Y85" s="55"/>
      <c r="Z85" s="55">
        <v>44463</v>
      </c>
      <c r="AA85" s="55">
        <v>44428</v>
      </c>
      <c r="AB85" s="55">
        <v>44428</v>
      </c>
      <c r="AC85" s="55">
        <v>44439</v>
      </c>
      <c r="AD85" s="55"/>
      <c r="AE85" s="55">
        <v>44489</v>
      </c>
      <c r="AF85" s="55"/>
      <c r="AG85" s="55"/>
      <c r="AH85" s="55"/>
      <c r="AI85" s="55">
        <v>44412</v>
      </c>
      <c r="AJ85" s="55">
        <v>44411</v>
      </c>
      <c r="AK85" s="55"/>
      <c r="AL85" s="55"/>
      <c r="AM85" s="55"/>
      <c r="AN85" s="55"/>
      <c r="AO85" s="55"/>
      <c r="AP85" s="55"/>
      <c r="AQ85" s="55"/>
      <c r="AR85" s="55">
        <v>44489</v>
      </c>
      <c r="AS85" s="55"/>
      <c r="AT85" s="55"/>
      <c r="AU85" s="55">
        <v>44489</v>
      </c>
      <c r="AV85" s="55"/>
      <c r="AW85" s="55"/>
      <c r="AX85" s="55"/>
      <c r="AY85" s="55">
        <v>44489</v>
      </c>
      <c r="AZ85" s="55"/>
      <c r="BA85" s="55">
        <v>44488</v>
      </c>
      <c r="BB85" s="55">
        <v>44488</v>
      </c>
      <c r="BC85" s="55"/>
      <c r="BD85" s="55"/>
      <c r="BE85" s="55"/>
      <c r="BF85" s="55"/>
      <c r="BG85" s="55">
        <v>44488</v>
      </c>
      <c r="BH85" s="55"/>
      <c r="BI85" s="55"/>
      <c r="BJ85" s="55"/>
    </row>
    <row r="86" spans="1:62" x14ac:dyDescent="0.4">
      <c r="A86" s="5">
        <f t="shared" si="2"/>
        <v>37</v>
      </c>
      <c r="B86" s="3" t="s">
        <v>82</v>
      </c>
      <c r="C86" s="55">
        <v>44491</v>
      </c>
      <c r="D86" s="55">
        <v>44494</v>
      </c>
      <c r="E86" s="55">
        <v>44489</v>
      </c>
      <c r="F86" s="55">
        <v>44488</v>
      </c>
      <c r="G86" s="55">
        <v>44487</v>
      </c>
      <c r="H86" s="55">
        <v>44484</v>
      </c>
      <c r="I86" s="55">
        <v>44488</v>
      </c>
      <c r="J86" s="55">
        <v>44487</v>
      </c>
      <c r="K86" s="55"/>
      <c r="L86" s="55"/>
      <c r="M86" s="55">
        <v>44488</v>
      </c>
      <c r="N86" s="55">
        <v>44488</v>
      </c>
      <c r="O86" s="55">
        <v>44488</v>
      </c>
      <c r="P86" s="55">
        <v>44484</v>
      </c>
      <c r="Q86" s="55">
        <v>44487</v>
      </c>
      <c r="R86" s="55"/>
      <c r="S86" s="55">
        <v>44488</v>
      </c>
      <c r="T86" s="55">
        <v>44496</v>
      </c>
      <c r="U86" s="55">
        <v>44488</v>
      </c>
      <c r="V86" s="55">
        <v>44497</v>
      </c>
      <c r="W86" s="55"/>
      <c r="X86" s="55"/>
      <c r="Y86" s="55"/>
      <c r="Z86" s="55"/>
      <c r="AA86" s="55">
        <v>44488</v>
      </c>
      <c r="AB86" s="55">
        <v>44487</v>
      </c>
      <c r="AC86" s="55"/>
      <c r="AD86" s="55"/>
      <c r="AE86" s="55">
        <v>44488</v>
      </c>
      <c r="AF86" s="55"/>
      <c r="AG86" s="55"/>
      <c r="AH86" s="55">
        <v>44487</v>
      </c>
      <c r="AI86" s="55">
        <v>44484</v>
      </c>
      <c r="AJ86" s="55">
        <v>44484</v>
      </c>
      <c r="AK86" s="55"/>
      <c r="AL86" s="55"/>
      <c r="AM86" s="55">
        <v>44489</v>
      </c>
      <c r="AN86" s="55">
        <v>44490</v>
      </c>
      <c r="AO86" s="55">
        <v>44491</v>
      </c>
      <c r="AP86" s="55">
        <v>44484</v>
      </c>
      <c r="AQ86" s="55"/>
      <c r="AR86" s="55"/>
      <c r="AS86" s="55">
        <v>44490</v>
      </c>
      <c r="AT86" s="55"/>
      <c r="AU86" s="55">
        <v>44487</v>
      </c>
      <c r="AV86" s="55"/>
      <c r="AW86" s="55">
        <v>44484</v>
      </c>
      <c r="AX86" s="55"/>
      <c r="AY86" s="55">
        <v>44489</v>
      </c>
      <c r="AZ86" s="55"/>
      <c r="BA86" s="55">
        <v>44484</v>
      </c>
      <c r="BB86" s="55">
        <v>44497</v>
      </c>
      <c r="BC86" s="55"/>
      <c r="BD86" s="55"/>
      <c r="BE86" s="55">
        <v>44484</v>
      </c>
      <c r="BF86" s="55">
        <v>44487</v>
      </c>
      <c r="BG86" s="55"/>
      <c r="BH86" s="55"/>
      <c r="BI86" s="55">
        <v>44488</v>
      </c>
      <c r="BJ86" s="55">
        <v>44488</v>
      </c>
    </row>
    <row r="87" spans="1:62" x14ac:dyDescent="0.4">
      <c r="A87" s="5">
        <f t="shared" si="2"/>
        <v>2</v>
      </c>
      <c r="B87" s="3" t="s">
        <v>83</v>
      </c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>
        <v>44224</v>
      </c>
      <c r="BJ87" s="56">
        <v>44299</v>
      </c>
    </row>
    <row r="88" spans="1:62" x14ac:dyDescent="0.4">
      <c r="A88" s="5">
        <f t="shared" si="2"/>
        <v>48</v>
      </c>
      <c r="B88" s="3" t="s">
        <v>84</v>
      </c>
      <c r="C88" s="56">
        <v>44103</v>
      </c>
      <c r="D88" s="55">
        <v>44357</v>
      </c>
      <c r="E88" s="55">
        <v>44449</v>
      </c>
      <c r="F88" s="55">
        <v>44445</v>
      </c>
      <c r="G88" s="55">
        <v>44448</v>
      </c>
      <c r="H88" s="55">
        <v>44326</v>
      </c>
      <c r="I88" s="55">
        <v>44349</v>
      </c>
      <c r="J88" s="55">
        <v>44469</v>
      </c>
      <c r="K88" s="55"/>
      <c r="L88" s="55">
        <v>44369</v>
      </c>
      <c r="M88" s="55">
        <v>44490</v>
      </c>
      <c r="N88" s="55">
        <v>44343</v>
      </c>
      <c r="O88" s="55">
        <v>44467</v>
      </c>
      <c r="P88" s="55">
        <v>44337</v>
      </c>
      <c r="Q88" s="55">
        <v>44209</v>
      </c>
      <c r="R88" s="55"/>
      <c r="S88" s="55">
        <v>44330</v>
      </c>
      <c r="T88" s="55">
        <v>44328</v>
      </c>
      <c r="U88" s="55">
        <v>44337</v>
      </c>
      <c r="V88" s="55">
        <v>44314</v>
      </c>
      <c r="W88" s="56">
        <v>44103</v>
      </c>
      <c r="X88" s="55">
        <v>44368</v>
      </c>
      <c r="Y88" s="55"/>
      <c r="Z88" s="55">
        <v>44348</v>
      </c>
      <c r="AA88" s="55">
        <v>44323</v>
      </c>
      <c r="AB88" s="55">
        <v>44342</v>
      </c>
      <c r="AC88" s="55"/>
      <c r="AD88" s="55">
        <v>44337</v>
      </c>
      <c r="AE88" s="55">
        <v>44322</v>
      </c>
      <c r="AF88" s="55">
        <v>44469</v>
      </c>
      <c r="AG88" s="55">
        <v>44469</v>
      </c>
      <c r="AH88" s="55">
        <v>44354</v>
      </c>
      <c r="AI88" s="55">
        <v>44293</v>
      </c>
      <c r="AJ88" s="55">
        <v>44175</v>
      </c>
      <c r="AK88" s="55"/>
      <c r="AL88" s="55">
        <v>44432</v>
      </c>
      <c r="AM88" s="55">
        <v>44404</v>
      </c>
      <c r="AN88" s="55">
        <v>44326</v>
      </c>
      <c r="AO88" s="55">
        <v>44355</v>
      </c>
      <c r="AP88" s="55">
        <v>44327</v>
      </c>
      <c r="AQ88" s="55">
        <v>44357</v>
      </c>
      <c r="AR88" s="55">
        <v>44400</v>
      </c>
      <c r="AS88" s="55">
        <v>44319</v>
      </c>
      <c r="AT88" s="55"/>
      <c r="AU88" s="55">
        <v>44463</v>
      </c>
      <c r="AV88" s="55"/>
      <c r="AW88" s="55">
        <v>44349</v>
      </c>
      <c r="AX88" s="55"/>
      <c r="AY88" s="55">
        <v>44322</v>
      </c>
      <c r="AZ88" s="55">
        <v>44342</v>
      </c>
      <c r="BA88" s="56">
        <v>44316</v>
      </c>
      <c r="BB88" s="55">
        <v>44363</v>
      </c>
      <c r="BC88" s="55">
        <v>44330</v>
      </c>
      <c r="BD88" s="55"/>
      <c r="BE88" s="55">
        <v>44357</v>
      </c>
      <c r="BF88" s="55">
        <v>44453</v>
      </c>
      <c r="BG88" s="55">
        <v>44453</v>
      </c>
      <c r="BH88" s="55"/>
      <c r="BI88" s="55"/>
      <c r="BJ88" s="55"/>
    </row>
    <row r="89" spans="1:62" x14ac:dyDescent="0.4">
      <c r="A89" s="5">
        <f t="shared" si="2"/>
        <v>35</v>
      </c>
      <c r="B89" s="3" t="s">
        <v>111</v>
      </c>
      <c r="C89" s="55">
        <v>44446</v>
      </c>
      <c r="D89" s="55">
        <v>44453</v>
      </c>
      <c r="E89" s="55">
        <v>44378</v>
      </c>
      <c r="F89" s="55">
        <v>44469</v>
      </c>
      <c r="G89" s="55"/>
      <c r="H89" s="55">
        <v>44349</v>
      </c>
      <c r="I89" s="55">
        <v>44279</v>
      </c>
      <c r="J89" s="55"/>
      <c r="K89" s="55"/>
      <c r="L89" s="55"/>
      <c r="M89" s="55">
        <v>44488</v>
      </c>
      <c r="N89" s="55">
        <v>44488</v>
      </c>
      <c r="O89" s="55"/>
      <c r="P89" s="55">
        <v>44469</v>
      </c>
      <c r="Q89" s="55">
        <v>44169</v>
      </c>
      <c r="R89" s="55">
        <v>44179</v>
      </c>
      <c r="S89" s="55">
        <v>44361</v>
      </c>
      <c r="T89" s="55">
        <v>44362</v>
      </c>
      <c r="U89" s="55">
        <v>44301</v>
      </c>
      <c r="V89" s="55"/>
      <c r="W89" s="55"/>
      <c r="X89" s="55">
        <v>44377</v>
      </c>
      <c r="Y89" s="55"/>
      <c r="Z89" s="55"/>
      <c r="AA89" s="55">
        <v>44420</v>
      </c>
      <c r="AB89" s="55">
        <v>44407</v>
      </c>
      <c r="AC89" s="55"/>
      <c r="AD89" s="55">
        <v>44354</v>
      </c>
      <c r="AE89" s="55">
        <v>44469</v>
      </c>
      <c r="AF89" s="55"/>
      <c r="AG89" s="55">
        <v>44406</v>
      </c>
      <c r="AH89" s="55">
        <v>44362</v>
      </c>
      <c r="AI89" s="55">
        <v>44278</v>
      </c>
      <c r="AJ89" s="55">
        <v>44278</v>
      </c>
      <c r="AK89" s="55"/>
      <c r="AL89" s="55">
        <v>44469</v>
      </c>
      <c r="AM89" s="55">
        <v>44469</v>
      </c>
      <c r="AN89" s="55"/>
      <c r="AO89" s="56">
        <v>44131</v>
      </c>
      <c r="AP89" s="55"/>
      <c r="AQ89" s="55"/>
      <c r="AR89" s="55">
        <v>44350</v>
      </c>
      <c r="AS89" s="55"/>
      <c r="AT89" s="55"/>
      <c r="AU89" s="55">
        <v>44488</v>
      </c>
      <c r="AV89" s="55"/>
      <c r="AW89" s="55">
        <v>44468</v>
      </c>
      <c r="AX89" s="55"/>
      <c r="AY89" s="55">
        <v>44468</v>
      </c>
      <c r="AZ89" s="55"/>
      <c r="BA89" s="55">
        <v>44378</v>
      </c>
      <c r="BB89" s="55">
        <v>44390</v>
      </c>
      <c r="BC89" s="55">
        <v>44469</v>
      </c>
      <c r="BD89" s="55"/>
      <c r="BE89" s="55">
        <v>44378</v>
      </c>
      <c r="BF89" s="55"/>
      <c r="BG89" s="55">
        <v>44469</v>
      </c>
      <c r="BH89" s="55"/>
      <c r="BI89" s="55"/>
      <c r="BJ89" s="55"/>
    </row>
    <row r="90" spans="1:62" x14ac:dyDescent="0.4">
      <c r="A90" s="5">
        <f t="shared" si="2"/>
        <v>43</v>
      </c>
      <c r="B90" s="3" t="s">
        <v>85</v>
      </c>
      <c r="C90" s="55">
        <v>44491</v>
      </c>
      <c r="D90" s="55">
        <v>44491</v>
      </c>
      <c r="E90" s="55">
        <v>44491</v>
      </c>
      <c r="F90" s="55">
        <v>44489</v>
      </c>
      <c r="G90" s="55">
        <v>44491</v>
      </c>
      <c r="H90" s="55">
        <v>44489</v>
      </c>
      <c r="I90" s="55">
        <v>44450</v>
      </c>
      <c r="J90" s="55">
        <v>44491</v>
      </c>
      <c r="K90" s="55"/>
      <c r="L90" s="55"/>
      <c r="M90" s="55">
        <v>44496</v>
      </c>
      <c r="N90" s="55">
        <v>44363</v>
      </c>
      <c r="O90" s="55"/>
      <c r="P90" s="55">
        <v>44450</v>
      </c>
      <c r="Q90" s="55">
        <v>44491</v>
      </c>
      <c r="R90" s="55">
        <v>44355</v>
      </c>
      <c r="S90" s="55">
        <v>44356</v>
      </c>
      <c r="T90" s="55"/>
      <c r="U90" s="55">
        <v>44495</v>
      </c>
      <c r="V90" s="55">
        <v>44372</v>
      </c>
      <c r="W90" s="55">
        <v>44491</v>
      </c>
      <c r="X90" s="55">
        <v>44491</v>
      </c>
      <c r="Y90" s="55">
        <v>44491</v>
      </c>
      <c r="Z90" s="55">
        <v>44440</v>
      </c>
      <c r="AA90" s="55">
        <v>44372</v>
      </c>
      <c r="AB90" s="55">
        <v>44369</v>
      </c>
      <c r="AC90" s="55"/>
      <c r="AD90" s="55">
        <v>44244</v>
      </c>
      <c r="AE90" s="55">
        <v>44356</v>
      </c>
      <c r="AF90" s="55">
        <v>44494</v>
      </c>
      <c r="AG90" s="55">
        <v>44495</v>
      </c>
      <c r="AH90" s="55">
        <v>44450</v>
      </c>
      <c r="AI90" s="55">
        <v>44495</v>
      </c>
      <c r="AJ90" s="55">
        <v>44440</v>
      </c>
      <c r="AK90" s="55"/>
      <c r="AL90" s="55"/>
      <c r="AM90" s="55">
        <v>44491</v>
      </c>
      <c r="AN90" s="55">
        <v>44497</v>
      </c>
      <c r="AO90" s="55">
        <v>44450</v>
      </c>
      <c r="AP90" s="55">
        <v>44497</v>
      </c>
      <c r="AQ90" s="55"/>
      <c r="AR90" s="55">
        <v>44495</v>
      </c>
      <c r="AS90" s="55">
        <v>44495</v>
      </c>
      <c r="AT90" s="55"/>
      <c r="AU90" s="55">
        <v>44494</v>
      </c>
      <c r="AV90" s="55"/>
      <c r="AW90" s="55">
        <v>44495</v>
      </c>
      <c r="AX90" s="55">
        <v>44494</v>
      </c>
      <c r="AY90" s="55"/>
      <c r="AZ90" s="55"/>
      <c r="BA90" s="55">
        <v>44494</v>
      </c>
      <c r="BB90" s="55">
        <v>44494</v>
      </c>
      <c r="BC90" s="55">
        <v>44494</v>
      </c>
      <c r="BD90" s="55"/>
      <c r="BE90" s="55">
        <v>44495</v>
      </c>
      <c r="BF90" s="55"/>
      <c r="BG90" s="55">
        <v>44495</v>
      </c>
      <c r="BH90" s="55"/>
      <c r="BI90" s="55"/>
      <c r="BJ90" s="55"/>
    </row>
    <row r="91" spans="1:62" x14ac:dyDescent="0.4">
      <c r="A91" s="5">
        <f t="shared" si="2"/>
        <v>30</v>
      </c>
      <c r="B91" s="3" t="s">
        <v>86</v>
      </c>
      <c r="C91" s="55">
        <v>44495</v>
      </c>
      <c r="D91" s="55">
        <v>44495</v>
      </c>
      <c r="E91" s="56">
        <v>43819</v>
      </c>
      <c r="F91" s="55">
        <v>44495</v>
      </c>
      <c r="G91" s="56">
        <v>43809</v>
      </c>
      <c r="H91" s="56">
        <v>43574</v>
      </c>
      <c r="I91" s="55">
        <v>44495</v>
      </c>
      <c r="J91" s="55">
        <v>44495</v>
      </c>
      <c r="K91" s="55">
        <v>44495</v>
      </c>
      <c r="L91" s="55">
        <v>44495</v>
      </c>
      <c r="M91" s="55">
        <v>44495</v>
      </c>
      <c r="N91" s="56">
        <v>43661</v>
      </c>
      <c r="O91" s="55"/>
      <c r="P91" s="55">
        <v>44495</v>
      </c>
      <c r="Q91" s="55">
        <v>44495</v>
      </c>
      <c r="R91" s="55">
        <v>44495</v>
      </c>
      <c r="S91" s="55">
        <v>44496</v>
      </c>
      <c r="T91" s="55">
        <v>44496</v>
      </c>
      <c r="U91" s="55">
        <v>44496</v>
      </c>
      <c r="V91" s="56">
        <v>43571</v>
      </c>
      <c r="W91" s="55"/>
      <c r="X91" s="55">
        <v>44496</v>
      </c>
      <c r="Y91" s="55"/>
      <c r="Z91" s="55">
        <v>44496</v>
      </c>
      <c r="AA91" s="55">
        <v>44496</v>
      </c>
      <c r="AB91" s="55">
        <v>44496</v>
      </c>
      <c r="AC91" s="55"/>
      <c r="AD91" s="55"/>
      <c r="AE91" s="55">
        <v>44496</v>
      </c>
      <c r="AF91" s="55"/>
      <c r="AG91" s="55"/>
      <c r="AH91" s="55"/>
      <c r="AI91" s="55"/>
      <c r="AJ91" s="55"/>
      <c r="AK91" s="55"/>
      <c r="AL91" s="55"/>
      <c r="AM91" s="55"/>
      <c r="AN91" s="55"/>
      <c r="AO91" s="55"/>
      <c r="AP91" s="55"/>
      <c r="AQ91" s="55"/>
      <c r="AR91" s="55"/>
      <c r="AS91" s="55"/>
      <c r="AT91" s="55"/>
      <c r="AU91" s="56">
        <v>43752</v>
      </c>
      <c r="AV91" s="55"/>
      <c r="AW91" s="55">
        <v>44496</v>
      </c>
      <c r="AX91" s="55"/>
      <c r="AY91" s="55">
        <v>44496</v>
      </c>
      <c r="AZ91" s="55"/>
      <c r="BA91" s="55">
        <v>44496</v>
      </c>
      <c r="BB91" s="55"/>
      <c r="BC91" s="55"/>
      <c r="BD91" s="55"/>
      <c r="BE91" s="55"/>
      <c r="BF91" s="55"/>
      <c r="BG91" s="55"/>
      <c r="BH91" s="55">
        <v>44496</v>
      </c>
      <c r="BI91" s="55"/>
      <c r="BJ91" s="55">
        <v>44496</v>
      </c>
    </row>
    <row r="92" spans="1:62" x14ac:dyDescent="0.4">
      <c r="A92" s="5">
        <f t="shared" si="2"/>
        <v>39</v>
      </c>
      <c r="B92" s="3" t="s">
        <v>87</v>
      </c>
      <c r="C92" s="55">
        <v>44413</v>
      </c>
      <c r="D92" s="55">
        <v>44425</v>
      </c>
      <c r="E92" s="55">
        <v>44403</v>
      </c>
      <c r="F92" s="55">
        <v>44498</v>
      </c>
      <c r="G92" s="55">
        <v>44501</v>
      </c>
      <c r="H92" s="55">
        <v>44413</v>
      </c>
      <c r="I92" s="55">
        <v>44406</v>
      </c>
      <c r="J92" s="55">
        <v>44501</v>
      </c>
      <c r="K92" s="55"/>
      <c r="L92" s="55"/>
      <c r="M92" s="55">
        <v>44497</v>
      </c>
      <c r="N92" s="55">
        <v>44413</v>
      </c>
      <c r="O92" s="55">
        <v>44419</v>
      </c>
      <c r="P92" s="55">
        <v>44467</v>
      </c>
      <c r="Q92" s="55">
        <v>44414</v>
      </c>
      <c r="R92" s="55"/>
      <c r="S92" s="55">
        <v>44412</v>
      </c>
      <c r="T92" s="55"/>
      <c r="U92" s="55">
        <v>44403</v>
      </c>
      <c r="V92" s="55">
        <v>44411</v>
      </c>
      <c r="W92" s="55">
        <v>44419</v>
      </c>
      <c r="X92" s="55">
        <v>44403</v>
      </c>
      <c r="Y92" s="55">
        <v>44501</v>
      </c>
      <c r="Z92" s="55"/>
      <c r="AA92" s="55">
        <v>44498</v>
      </c>
      <c r="AB92" s="55">
        <v>44407</v>
      </c>
      <c r="AC92" s="55"/>
      <c r="AD92" s="55">
        <v>44414</v>
      </c>
      <c r="AE92" s="55">
        <v>44400</v>
      </c>
      <c r="AF92" s="55"/>
      <c r="AG92" s="55">
        <v>44495</v>
      </c>
      <c r="AH92" s="55">
        <v>44412</v>
      </c>
      <c r="AI92" s="55"/>
      <c r="AJ92" s="55">
        <v>44417</v>
      </c>
      <c r="AK92" s="55"/>
      <c r="AL92" s="55"/>
      <c r="AM92" s="55">
        <v>44411</v>
      </c>
      <c r="AN92" s="55"/>
      <c r="AO92" s="55">
        <v>44412</v>
      </c>
      <c r="AP92" s="55"/>
      <c r="AQ92" s="55"/>
      <c r="AR92" s="55">
        <v>44403</v>
      </c>
      <c r="AS92" s="55"/>
      <c r="AT92" s="55"/>
      <c r="AU92" s="55">
        <v>44502</v>
      </c>
      <c r="AV92" s="55"/>
      <c r="AW92" s="55">
        <v>44501</v>
      </c>
      <c r="AX92" s="55">
        <v>44405</v>
      </c>
      <c r="AY92" s="55">
        <v>44431</v>
      </c>
      <c r="AZ92" s="55"/>
      <c r="BA92" s="55">
        <v>44413</v>
      </c>
      <c r="BB92" s="55">
        <v>44412</v>
      </c>
      <c r="BC92" s="55">
        <v>44418</v>
      </c>
      <c r="BD92" s="55"/>
      <c r="BE92" s="55">
        <v>44420</v>
      </c>
      <c r="BF92" s="55">
        <v>44419</v>
      </c>
      <c r="BG92" s="55">
        <v>44410</v>
      </c>
      <c r="BH92" s="55"/>
      <c r="BI92" s="55"/>
      <c r="BJ92" s="55"/>
    </row>
    <row r="93" spans="1:62" x14ac:dyDescent="0.4">
      <c r="A93" s="5">
        <f t="shared" si="2"/>
        <v>43</v>
      </c>
      <c r="B93" s="3" t="s">
        <v>88</v>
      </c>
      <c r="C93" s="55">
        <v>44455</v>
      </c>
      <c r="D93" s="55">
        <v>44456</v>
      </c>
      <c r="E93" s="55">
        <v>44456</v>
      </c>
      <c r="F93" s="55">
        <v>44469</v>
      </c>
      <c r="G93" s="55">
        <v>44462</v>
      </c>
      <c r="H93" s="55">
        <v>44455</v>
      </c>
      <c r="I93" s="55">
        <v>44456</v>
      </c>
      <c r="J93" s="55">
        <v>44456</v>
      </c>
      <c r="K93" s="55"/>
      <c r="L93" s="55">
        <v>44462</v>
      </c>
      <c r="M93" s="55">
        <v>44456</v>
      </c>
      <c r="N93" s="55">
        <v>44462</v>
      </c>
      <c r="O93" s="55">
        <v>44455</v>
      </c>
      <c r="P93" s="55">
        <v>44462</v>
      </c>
      <c r="Q93" s="55">
        <v>44462</v>
      </c>
      <c r="R93" s="55">
        <v>44462</v>
      </c>
      <c r="S93" s="55">
        <v>44456</v>
      </c>
      <c r="T93" s="55"/>
      <c r="U93" s="55">
        <v>44456</v>
      </c>
      <c r="V93" s="55">
        <v>44455</v>
      </c>
      <c r="W93" s="55">
        <v>44455</v>
      </c>
      <c r="X93" s="55">
        <v>44455</v>
      </c>
      <c r="Y93" s="55"/>
      <c r="Z93" s="55">
        <v>44455</v>
      </c>
      <c r="AA93" s="55">
        <v>44455</v>
      </c>
      <c r="AB93" s="55">
        <v>44455</v>
      </c>
      <c r="AC93" s="55"/>
      <c r="AD93" s="55"/>
      <c r="AE93" s="55">
        <v>44468</v>
      </c>
      <c r="AF93" s="55"/>
      <c r="AG93" s="55">
        <v>44462</v>
      </c>
      <c r="AH93" s="55">
        <v>44455</v>
      </c>
      <c r="AI93" s="55">
        <v>44456</v>
      </c>
      <c r="AJ93" s="55">
        <v>44456</v>
      </c>
      <c r="AK93" s="55"/>
      <c r="AL93" s="55">
        <v>44456</v>
      </c>
      <c r="AM93" s="55">
        <v>44455</v>
      </c>
      <c r="AN93" s="55"/>
      <c r="AO93" s="55"/>
      <c r="AP93" s="55">
        <v>44456</v>
      </c>
      <c r="AQ93" s="55">
        <v>44487</v>
      </c>
      <c r="AR93" s="55">
        <v>44456</v>
      </c>
      <c r="AS93" s="55"/>
      <c r="AT93" s="55"/>
      <c r="AU93" s="55">
        <v>44462</v>
      </c>
      <c r="AV93" s="55"/>
      <c r="AW93" s="55">
        <v>44456</v>
      </c>
      <c r="AX93" s="55">
        <v>44455</v>
      </c>
      <c r="AY93" s="55">
        <v>44455</v>
      </c>
      <c r="AZ93" s="55"/>
      <c r="BA93" s="55">
        <v>44455</v>
      </c>
      <c r="BB93" s="55">
        <v>44455</v>
      </c>
      <c r="BC93" s="55">
        <v>44456</v>
      </c>
      <c r="BD93" s="55"/>
      <c r="BE93" s="55">
        <v>44455</v>
      </c>
      <c r="BF93" s="55">
        <v>44455</v>
      </c>
      <c r="BG93" s="55">
        <v>44455</v>
      </c>
      <c r="BH93" s="55"/>
      <c r="BI93" s="55"/>
      <c r="BJ93" s="55"/>
    </row>
    <row r="94" spans="1:62" x14ac:dyDescent="0.4">
      <c r="A94" s="5">
        <f t="shared" si="2"/>
        <v>39</v>
      </c>
      <c r="B94" s="3" t="s">
        <v>89</v>
      </c>
      <c r="C94" s="55">
        <v>44448</v>
      </c>
      <c r="D94" s="55">
        <v>44454</v>
      </c>
      <c r="E94" s="55">
        <v>44453</v>
      </c>
      <c r="F94" s="55">
        <v>44454</v>
      </c>
      <c r="G94" s="55">
        <v>44455</v>
      </c>
      <c r="H94" s="55">
        <v>44455</v>
      </c>
      <c r="I94" s="55">
        <v>44448</v>
      </c>
      <c r="J94" s="55">
        <v>44455</v>
      </c>
      <c r="K94" s="55"/>
      <c r="L94" s="55"/>
      <c r="M94" s="55">
        <v>44454</v>
      </c>
      <c r="N94" s="55">
        <v>44481</v>
      </c>
      <c r="O94" s="55"/>
      <c r="P94" s="55">
        <v>44455</v>
      </c>
      <c r="Q94" s="55">
        <v>44454</v>
      </c>
      <c r="R94" s="55">
        <v>44488</v>
      </c>
      <c r="S94" s="55">
        <v>44481</v>
      </c>
      <c r="T94" s="55">
        <v>44453</v>
      </c>
      <c r="U94" s="55">
        <v>44455</v>
      </c>
      <c r="V94" s="55">
        <v>44482</v>
      </c>
      <c r="W94" s="55"/>
      <c r="X94" s="55">
        <v>44446</v>
      </c>
      <c r="Y94" s="55"/>
      <c r="Z94" s="55"/>
      <c r="AA94" s="55">
        <v>44454</v>
      </c>
      <c r="AB94" s="55">
        <v>44448</v>
      </c>
      <c r="AC94" s="55">
        <v>44454</v>
      </c>
      <c r="AD94" s="55">
        <v>44454</v>
      </c>
      <c r="AE94" s="55">
        <v>44482</v>
      </c>
      <c r="AF94" s="55">
        <v>44481</v>
      </c>
      <c r="AG94" s="55">
        <v>44455</v>
      </c>
      <c r="AH94" s="55">
        <v>44482</v>
      </c>
      <c r="AI94" s="55">
        <v>44453</v>
      </c>
      <c r="AJ94" s="55">
        <v>44453</v>
      </c>
      <c r="AK94" s="55"/>
      <c r="AL94" s="55"/>
      <c r="AM94" s="55">
        <v>44454</v>
      </c>
      <c r="AN94" s="55"/>
      <c r="AO94" s="55">
        <v>44453</v>
      </c>
      <c r="AP94" s="55"/>
      <c r="AQ94" s="55"/>
      <c r="AR94" s="55">
        <v>44488</v>
      </c>
      <c r="AS94" s="55"/>
      <c r="AT94" s="55"/>
      <c r="AU94" s="55">
        <v>44482</v>
      </c>
      <c r="AV94" s="55"/>
      <c r="AW94" s="55">
        <v>44453</v>
      </c>
      <c r="AX94" s="55">
        <v>44455</v>
      </c>
      <c r="AY94" s="55">
        <v>44454</v>
      </c>
      <c r="AZ94" s="55"/>
      <c r="BA94" s="55">
        <v>44453</v>
      </c>
      <c r="BB94" s="55">
        <v>44448</v>
      </c>
      <c r="BC94" s="55"/>
      <c r="BD94" s="55"/>
      <c r="BE94" s="55">
        <v>44489</v>
      </c>
      <c r="BF94" s="55"/>
      <c r="BG94" s="55">
        <v>44481</v>
      </c>
      <c r="BH94" s="55"/>
      <c r="BI94" s="55"/>
      <c r="BJ94" s="55"/>
    </row>
    <row r="95" spans="1:62" x14ac:dyDescent="0.4">
      <c r="A95" s="5">
        <f t="shared" si="2"/>
        <v>24</v>
      </c>
      <c r="B95" s="3" t="s">
        <v>112</v>
      </c>
      <c r="C95" s="55">
        <v>44421</v>
      </c>
      <c r="D95" s="55">
        <v>44432</v>
      </c>
      <c r="E95" s="55">
        <v>44427</v>
      </c>
      <c r="F95" s="55">
        <v>44414</v>
      </c>
      <c r="G95" s="55">
        <v>44418</v>
      </c>
      <c r="H95" s="55">
        <v>44410</v>
      </c>
      <c r="I95" s="55">
        <v>44418</v>
      </c>
      <c r="J95" s="55">
        <v>44434</v>
      </c>
      <c r="K95" s="55"/>
      <c r="L95" s="55"/>
      <c r="M95" s="55">
        <v>44418</v>
      </c>
      <c r="N95" s="55">
        <v>44412</v>
      </c>
      <c r="O95" s="55"/>
      <c r="P95" s="55"/>
      <c r="Q95" s="55">
        <v>44414</v>
      </c>
      <c r="R95" s="55">
        <v>44414</v>
      </c>
      <c r="S95" s="55">
        <v>44426</v>
      </c>
      <c r="T95" s="55"/>
      <c r="U95" s="55">
        <v>44410</v>
      </c>
      <c r="V95" s="55">
        <v>44434</v>
      </c>
      <c r="W95" s="55"/>
      <c r="X95" s="55">
        <v>44411</v>
      </c>
      <c r="Y95" s="55"/>
      <c r="Z95" s="55"/>
      <c r="AA95" s="55"/>
      <c r="AB95" s="55">
        <v>44427</v>
      </c>
      <c r="AC95" s="55"/>
      <c r="AD95" s="55"/>
      <c r="AE95" s="55">
        <v>44414</v>
      </c>
      <c r="AF95" s="55"/>
      <c r="AG95" s="55">
        <v>44410</v>
      </c>
      <c r="AH95" s="55">
        <v>44411</v>
      </c>
      <c r="AI95" s="55"/>
      <c r="AJ95" s="55">
        <v>44427</v>
      </c>
      <c r="AK95" s="55"/>
      <c r="AL95" s="55"/>
      <c r="AM95" s="55"/>
      <c r="AN95" s="55"/>
      <c r="AO95" s="55"/>
      <c r="AP95" s="55"/>
      <c r="AQ95" s="55"/>
      <c r="AR95" s="55"/>
      <c r="AS95" s="55"/>
      <c r="AT95" s="55"/>
      <c r="AU95" s="55">
        <v>44411</v>
      </c>
      <c r="AV95" s="55"/>
      <c r="AW95" s="55">
        <v>44489</v>
      </c>
      <c r="AX95" s="55">
        <v>44413</v>
      </c>
      <c r="AY95" s="55"/>
      <c r="AZ95" s="55"/>
      <c r="BA95" s="55"/>
      <c r="BB95" s="55"/>
      <c r="BC95" s="55"/>
      <c r="BD95" s="55"/>
      <c r="BE95" s="55"/>
      <c r="BF95" s="55"/>
      <c r="BG95" s="55"/>
      <c r="BH95" s="55"/>
      <c r="BI95" s="55"/>
      <c r="BJ95" s="55"/>
    </row>
    <row r="96" spans="1:62" x14ac:dyDescent="0.4">
      <c r="A96" s="5">
        <f t="shared" si="2"/>
        <v>36</v>
      </c>
      <c r="B96" s="3" t="s">
        <v>90</v>
      </c>
      <c r="C96" s="55">
        <v>44490</v>
      </c>
      <c r="D96" s="56">
        <v>44021</v>
      </c>
      <c r="E96" s="56">
        <v>44134</v>
      </c>
      <c r="F96" s="55">
        <v>44490</v>
      </c>
      <c r="G96" s="55">
        <v>44495</v>
      </c>
      <c r="H96" s="55">
        <v>44489</v>
      </c>
      <c r="I96" s="55">
        <v>44495</v>
      </c>
      <c r="J96" s="55">
        <v>44494</v>
      </c>
      <c r="K96" s="55">
        <v>44489</v>
      </c>
      <c r="L96" s="56">
        <v>44134</v>
      </c>
      <c r="M96" s="56">
        <v>44021</v>
      </c>
      <c r="N96" s="55">
        <v>44496</v>
      </c>
      <c r="O96" s="55"/>
      <c r="P96" s="56">
        <v>43593</v>
      </c>
      <c r="Q96" s="56">
        <v>44134</v>
      </c>
      <c r="R96" s="55"/>
      <c r="S96" s="55">
        <v>44495</v>
      </c>
      <c r="T96" s="55">
        <v>44490</v>
      </c>
      <c r="U96" s="55">
        <v>44489</v>
      </c>
      <c r="V96" s="55">
        <v>44495</v>
      </c>
      <c r="W96" s="55"/>
      <c r="X96" s="56">
        <v>44134</v>
      </c>
      <c r="Y96" s="55"/>
      <c r="Z96" s="55">
        <v>44489</v>
      </c>
      <c r="AA96" s="56">
        <v>44134</v>
      </c>
      <c r="AB96" s="56">
        <v>44134</v>
      </c>
      <c r="AC96" s="55"/>
      <c r="AD96" s="56">
        <v>43593</v>
      </c>
      <c r="AE96" s="55">
        <v>44494</v>
      </c>
      <c r="AF96" s="55"/>
      <c r="AG96" s="55">
        <v>44495</v>
      </c>
      <c r="AH96" s="56">
        <v>44021</v>
      </c>
      <c r="AI96" s="56">
        <v>43593</v>
      </c>
      <c r="AJ96" s="55">
        <v>44494</v>
      </c>
      <c r="AK96" s="55"/>
      <c r="AL96" s="55"/>
      <c r="AM96" s="55">
        <v>44489</v>
      </c>
      <c r="AN96" s="55"/>
      <c r="AO96" s="55"/>
      <c r="AP96" s="55"/>
      <c r="AQ96" s="55"/>
      <c r="AR96" s="55"/>
      <c r="AS96" s="55"/>
      <c r="AT96" s="55"/>
      <c r="AU96" s="55"/>
      <c r="AV96" s="55"/>
      <c r="AW96" s="55">
        <v>44490</v>
      </c>
      <c r="AX96" s="56">
        <v>44111</v>
      </c>
      <c r="AY96" s="55"/>
      <c r="AZ96" s="55"/>
      <c r="BA96" s="55">
        <v>44489</v>
      </c>
      <c r="BB96" s="56">
        <v>44110</v>
      </c>
      <c r="BC96" s="55">
        <v>44489</v>
      </c>
      <c r="BD96" s="55"/>
      <c r="BE96" s="56">
        <v>44134</v>
      </c>
      <c r="BF96" s="55"/>
      <c r="BG96" s="55">
        <v>44494</v>
      </c>
      <c r="BH96" s="55"/>
      <c r="BI96" s="55"/>
      <c r="BJ96" s="55"/>
    </row>
    <row r="97" spans="1:62" x14ac:dyDescent="0.4">
      <c r="A97" s="5">
        <f t="shared" si="2"/>
        <v>40</v>
      </c>
      <c r="B97" s="3" t="s">
        <v>91</v>
      </c>
      <c r="C97" s="55">
        <v>44447</v>
      </c>
      <c r="D97" s="55">
        <v>44421</v>
      </c>
      <c r="E97" s="55">
        <v>44447</v>
      </c>
      <c r="F97" s="55">
        <v>44447</v>
      </c>
      <c r="G97" s="55">
        <v>44452</v>
      </c>
      <c r="H97" s="55">
        <v>44449</v>
      </c>
      <c r="I97" s="55">
        <v>44404</v>
      </c>
      <c r="J97" s="55">
        <v>44421</v>
      </c>
      <c r="K97" s="55"/>
      <c r="L97" s="55">
        <v>44447</v>
      </c>
      <c r="M97" s="55">
        <v>44462</v>
      </c>
      <c r="N97" s="55">
        <v>44428</v>
      </c>
      <c r="O97" s="55">
        <v>44389</v>
      </c>
      <c r="P97" s="55">
        <v>44455</v>
      </c>
      <c r="Q97" s="55">
        <v>44452</v>
      </c>
      <c r="R97" s="55">
        <v>44452</v>
      </c>
      <c r="S97" s="55"/>
      <c r="T97" s="55">
        <v>44418</v>
      </c>
      <c r="U97" s="55">
        <v>44389</v>
      </c>
      <c r="V97" s="55">
        <v>44425</v>
      </c>
      <c r="W97" s="55"/>
      <c r="X97" s="55">
        <v>44452</v>
      </c>
      <c r="Y97" s="55"/>
      <c r="Z97" s="55">
        <v>44447</v>
      </c>
      <c r="AA97" s="55">
        <v>44418</v>
      </c>
      <c r="AB97" s="55">
        <v>44418</v>
      </c>
      <c r="AC97" s="55">
        <v>44466</v>
      </c>
      <c r="AD97" s="55">
        <v>44447</v>
      </c>
      <c r="AE97" s="55">
        <v>44447</v>
      </c>
      <c r="AF97" s="55">
        <v>44455</v>
      </c>
      <c r="AG97" s="55">
        <v>44453</v>
      </c>
      <c r="AH97" s="55">
        <v>44375</v>
      </c>
      <c r="AI97" s="55"/>
      <c r="AJ97" s="55">
        <v>44447</v>
      </c>
      <c r="AK97" s="55"/>
      <c r="AL97" s="55"/>
      <c r="AM97" s="55">
        <v>44462</v>
      </c>
      <c r="AN97" s="55"/>
      <c r="AO97" s="55"/>
      <c r="AP97" s="55"/>
      <c r="AQ97" s="55"/>
      <c r="AR97" s="55">
        <v>44447</v>
      </c>
      <c r="AS97" s="55"/>
      <c r="AT97" s="55"/>
      <c r="AU97" s="55">
        <v>44448</v>
      </c>
      <c r="AV97" s="55"/>
      <c r="AW97" s="55">
        <v>44389</v>
      </c>
      <c r="AX97" s="55">
        <v>44475</v>
      </c>
      <c r="AY97" s="55">
        <v>44426</v>
      </c>
      <c r="AZ97" s="55"/>
      <c r="BA97" s="55">
        <v>44447</v>
      </c>
      <c r="BB97" s="55">
        <v>44446</v>
      </c>
      <c r="BC97" s="55">
        <v>44404</v>
      </c>
      <c r="BD97" s="55"/>
      <c r="BE97" s="55">
        <v>44425</v>
      </c>
      <c r="BF97" s="55"/>
      <c r="BG97" s="55">
        <v>44466</v>
      </c>
      <c r="BH97" s="55"/>
      <c r="BI97" s="55"/>
      <c r="BJ97" s="55"/>
    </row>
    <row r="98" spans="1:62" x14ac:dyDescent="0.4">
      <c r="A98" s="5">
        <f t="shared" si="2"/>
        <v>42</v>
      </c>
      <c r="B98" s="3" t="s">
        <v>92</v>
      </c>
      <c r="C98" s="55">
        <v>44372</v>
      </c>
      <c r="D98" s="55">
        <v>44453</v>
      </c>
      <c r="E98" s="55">
        <v>44371</v>
      </c>
      <c r="F98" s="55">
        <v>44425</v>
      </c>
      <c r="G98" s="55">
        <v>44481</v>
      </c>
      <c r="H98" s="55">
        <v>44390</v>
      </c>
      <c r="I98" s="55">
        <v>44370</v>
      </c>
      <c r="J98" s="55">
        <v>44434</v>
      </c>
      <c r="K98" s="55"/>
      <c r="L98" s="55">
        <v>44351</v>
      </c>
      <c r="M98" s="55">
        <v>44417</v>
      </c>
      <c r="N98" s="55">
        <v>44350</v>
      </c>
      <c r="O98" s="55"/>
      <c r="P98" s="55">
        <v>44474</v>
      </c>
      <c r="Q98" s="55">
        <v>44354</v>
      </c>
      <c r="R98" s="55">
        <v>44390</v>
      </c>
      <c r="S98" s="55">
        <v>44453</v>
      </c>
      <c r="T98" s="55"/>
      <c r="U98" s="55">
        <v>44351</v>
      </c>
      <c r="V98" s="55">
        <v>44453</v>
      </c>
      <c r="W98" s="55">
        <v>44337</v>
      </c>
      <c r="X98" s="55">
        <v>44453</v>
      </c>
      <c r="Y98" s="55">
        <v>44484</v>
      </c>
      <c r="Z98" s="55">
        <v>44453</v>
      </c>
      <c r="AA98" s="55">
        <v>44349</v>
      </c>
      <c r="AB98" s="55">
        <v>44453</v>
      </c>
      <c r="AC98" s="55"/>
      <c r="AD98" s="55">
        <v>44354</v>
      </c>
      <c r="AE98" s="55">
        <v>44397</v>
      </c>
      <c r="AF98" s="55"/>
      <c r="AG98" s="55">
        <v>44367</v>
      </c>
      <c r="AH98" s="55">
        <v>44351</v>
      </c>
      <c r="AI98" s="55">
        <v>44351</v>
      </c>
      <c r="AJ98" s="55">
        <v>44351</v>
      </c>
      <c r="AK98" s="55">
        <v>44391</v>
      </c>
      <c r="AL98" s="55"/>
      <c r="AM98" s="55"/>
      <c r="AN98" s="55"/>
      <c r="AO98" s="55">
        <v>44349</v>
      </c>
      <c r="AP98" s="55"/>
      <c r="AQ98" s="55">
        <v>44453</v>
      </c>
      <c r="AR98" s="55">
        <v>44329</v>
      </c>
      <c r="AS98" s="55"/>
      <c r="AT98" s="55"/>
      <c r="AU98" s="55">
        <v>44328</v>
      </c>
      <c r="AV98" s="55"/>
      <c r="AW98" s="55">
        <v>44349</v>
      </c>
      <c r="AX98" s="55">
        <v>44391</v>
      </c>
      <c r="AY98" s="55">
        <v>44328</v>
      </c>
      <c r="AZ98" s="55"/>
      <c r="BA98" s="55">
        <v>44349</v>
      </c>
      <c r="BB98" s="55">
        <v>44454</v>
      </c>
      <c r="BC98" s="55">
        <v>44369</v>
      </c>
      <c r="BD98" s="55"/>
      <c r="BE98" s="55">
        <v>44369</v>
      </c>
      <c r="BF98" s="55"/>
      <c r="BG98" s="55">
        <v>44351</v>
      </c>
      <c r="BH98" s="55"/>
      <c r="BI98" s="55"/>
      <c r="BJ98" s="55"/>
    </row>
    <row r="99" spans="1:62" x14ac:dyDescent="0.4">
      <c r="A99" s="5">
        <f t="shared" si="2"/>
        <v>31</v>
      </c>
      <c r="B99" s="3" t="s">
        <v>93</v>
      </c>
      <c r="C99" s="55">
        <v>44368</v>
      </c>
      <c r="D99" s="55">
        <v>44456</v>
      </c>
      <c r="E99" s="55">
        <v>44356</v>
      </c>
      <c r="F99" s="55">
        <v>44453</v>
      </c>
      <c r="G99" s="55">
        <v>44482</v>
      </c>
      <c r="H99" s="55">
        <v>44353</v>
      </c>
      <c r="I99" s="55">
        <v>44354</v>
      </c>
      <c r="J99" s="55">
        <v>44453</v>
      </c>
      <c r="K99" s="55"/>
      <c r="L99" s="55"/>
      <c r="M99" s="55">
        <v>44456</v>
      </c>
      <c r="N99" s="55">
        <v>44453</v>
      </c>
      <c r="O99" s="55">
        <v>44353</v>
      </c>
      <c r="P99" s="55">
        <v>44355</v>
      </c>
      <c r="Q99" s="55">
        <v>44391</v>
      </c>
      <c r="R99" s="55">
        <v>44354</v>
      </c>
      <c r="S99" s="55">
        <v>44354</v>
      </c>
      <c r="T99" s="55"/>
      <c r="U99" s="55">
        <v>44186</v>
      </c>
      <c r="V99" s="55">
        <v>44186</v>
      </c>
      <c r="W99" s="55"/>
      <c r="X99" s="55">
        <v>44186</v>
      </c>
      <c r="Y99" s="55"/>
      <c r="Z99" s="55"/>
      <c r="AA99" s="55">
        <v>44186</v>
      </c>
      <c r="AB99" s="55">
        <v>44354</v>
      </c>
      <c r="AC99" s="55"/>
      <c r="AD99" s="55"/>
      <c r="AE99" s="55">
        <v>44353</v>
      </c>
      <c r="AF99" s="55"/>
      <c r="AG99" s="55">
        <v>44349</v>
      </c>
      <c r="AH99" s="55">
        <v>44453</v>
      </c>
      <c r="AI99" s="55">
        <v>44353</v>
      </c>
      <c r="AJ99" s="55">
        <v>44353</v>
      </c>
      <c r="AK99" s="55"/>
      <c r="AL99" s="55"/>
      <c r="AM99" s="55">
        <v>44357</v>
      </c>
      <c r="AN99" s="55"/>
      <c r="AO99" s="55"/>
      <c r="AP99" s="55"/>
      <c r="AQ99" s="55"/>
      <c r="AR99" s="55"/>
      <c r="AS99" s="55"/>
      <c r="AT99" s="55"/>
      <c r="AU99" s="55">
        <v>44349</v>
      </c>
      <c r="AV99" s="55"/>
      <c r="AW99" s="55">
        <v>44349</v>
      </c>
      <c r="AX99" s="55"/>
      <c r="AY99" s="55"/>
      <c r="AZ99" s="55"/>
      <c r="BA99" s="55">
        <v>44455</v>
      </c>
      <c r="BB99" s="55">
        <v>44353</v>
      </c>
      <c r="BC99" s="55"/>
      <c r="BD99" s="55"/>
      <c r="BE99" s="55">
        <v>44453</v>
      </c>
      <c r="BF99" s="55"/>
      <c r="BG99" s="55"/>
      <c r="BH99" s="55"/>
      <c r="BI99" s="55"/>
      <c r="BJ99" s="55"/>
    </row>
    <row r="100" spans="1:62" x14ac:dyDescent="0.4">
      <c r="A100" s="5">
        <f t="shared" si="2"/>
        <v>43</v>
      </c>
      <c r="B100" s="3" t="s">
        <v>94</v>
      </c>
      <c r="C100" s="55">
        <v>44463</v>
      </c>
      <c r="D100" s="55">
        <v>44308</v>
      </c>
      <c r="E100" s="55">
        <v>44370</v>
      </c>
      <c r="F100" s="55">
        <v>44467</v>
      </c>
      <c r="G100" s="55">
        <v>44467</v>
      </c>
      <c r="H100" s="55">
        <v>44308</v>
      </c>
      <c r="I100" s="55">
        <v>44456</v>
      </c>
      <c r="J100" s="55">
        <v>44450</v>
      </c>
      <c r="K100" s="55"/>
      <c r="L100" s="55">
        <v>44308</v>
      </c>
      <c r="M100" s="55">
        <v>44456</v>
      </c>
      <c r="N100" s="55">
        <v>44467</v>
      </c>
      <c r="O100" s="55"/>
      <c r="P100" s="55">
        <v>44300</v>
      </c>
      <c r="Q100" s="55">
        <v>44308</v>
      </c>
      <c r="R100" s="55">
        <v>44301</v>
      </c>
      <c r="S100" s="55">
        <v>44308</v>
      </c>
      <c r="T100" s="55">
        <v>44308</v>
      </c>
      <c r="U100" s="55">
        <v>44300</v>
      </c>
      <c r="V100" s="55">
        <v>44487</v>
      </c>
      <c r="W100" s="55"/>
      <c r="X100" s="55">
        <v>44308</v>
      </c>
      <c r="Y100" s="55">
        <v>44487</v>
      </c>
      <c r="Z100" s="55"/>
      <c r="AA100" s="55">
        <v>44308</v>
      </c>
      <c r="AB100" s="55">
        <v>44308</v>
      </c>
      <c r="AC100" s="55">
        <v>44300</v>
      </c>
      <c r="AD100" s="55">
        <v>44300</v>
      </c>
      <c r="AE100" s="55">
        <v>44308</v>
      </c>
      <c r="AF100" s="55">
        <v>44487</v>
      </c>
      <c r="AG100" s="55">
        <v>44467</v>
      </c>
      <c r="AH100" s="55">
        <v>44370</v>
      </c>
      <c r="AI100" s="55">
        <v>44481</v>
      </c>
      <c r="AJ100" s="55">
        <v>44300</v>
      </c>
      <c r="AK100" s="55"/>
      <c r="AL100" s="55"/>
      <c r="AM100" s="55">
        <v>44483</v>
      </c>
      <c r="AN100" s="55">
        <v>44483</v>
      </c>
      <c r="AO100" s="55"/>
      <c r="AP100" s="55">
        <v>44488</v>
      </c>
      <c r="AQ100" s="55">
        <v>44448</v>
      </c>
      <c r="AR100" s="55">
        <v>44456</v>
      </c>
      <c r="AS100" s="55">
        <v>44483</v>
      </c>
      <c r="AT100" s="55"/>
      <c r="AU100" s="55">
        <v>44467</v>
      </c>
      <c r="AV100" s="55"/>
      <c r="AW100" s="55">
        <v>44308</v>
      </c>
      <c r="AX100" s="55"/>
      <c r="AY100" s="55">
        <v>44456</v>
      </c>
      <c r="AZ100" s="55"/>
      <c r="BA100" s="55">
        <v>44456</v>
      </c>
      <c r="BB100" s="55">
        <v>44456</v>
      </c>
      <c r="BC100" s="55">
        <v>44456</v>
      </c>
      <c r="BD100" s="55"/>
      <c r="BE100" s="55">
        <v>44483</v>
      </c>
      <c r="BF100" s="55"/>
      <c r="BG100" s="55"/>
      <c r="BH100" s="55"/>
      <c r="BI100" s="55"/>
      <c r="BJ100" s="55"/>
    </row>
    <row r="101" spans="1:62" x14ac:dyDescent="0.4">
      <c r="A101" s="5">
        <f t="shared" si="2"/>
        <v>38</v>
      </c>
      <c r="B101" s="3" t="s">
        <v>95</v>
      </c>
      <c r="C101" s="55">
        <v>44434</v>
      </c>
      <c r="D101" s="55">
        <v>44469</v>
      </c>
      <c r="E101" s="55">
        <v>44337</v>
      </c>
      <c r="F101" s="55">
        <v>44434</v>
      </c>
      <c r="G101" s="55">
        <v>44481</v>
      </c>
      <c r="H101" s="55">
        <v>44337</v>
      </c>
      <c r="I101" s="55">
        <v>44292</v>
      </c>
      <c r="J101" s="55">
        <v>44468</v>
      </c>
      <c r="K101" s="55">
        <v>44376</v>
      </c>
      <c r="L101" s="55">
        <v>44158</v>
      </c>
      <c r="M101" s="55">
        <v>44440</v>
      </c>
      <c r="N101" s="55">
        <v>44475</v>
      </c>
      <c r="O101" s="55">
        <v>44468</v>
      </c>
      <c r="P101" s="55">
        <v>44469</v>
      </c>
      <c r="Q101" s="55">
        <v>44337</v>
      </c>
      <c r="R101" s="55"/>
      <c r="S101" s="55">
        <v>44469</v>
      </c>
      <c r="T101" s="55">
        <v>44337</v>
      </c>
      <c r="U101" s="55">
        <v>44468</v>
      </c>
      <c r="V101" s="55">
        <v>44469</v>
      </c>
      <c r="W101" s="55"/>
      <c r="X101" s="55"/>
      <c r="Y101" s="55"/>
      <c r="Z101" s="55">
        <v>44469</v>
      </c>
      <c r="AA101" s="55">
        <v>44470</v>
      </c>
      <c r="AB101" s="55">
        <v>44468</v>
      </c>
      <c r="AC101" s="55">
        <v>44468</v>
      </c>
      <c r="AD101" s="55"/>
      <c r="AE101" s="55">
        <v>44343</v>
      </c>
      <c r="AF101" s="55"/>
      <c r="AG101" s="55">
        <v>44433</v>
      </c>
      <c r="AH101" s="55">
        <v>44337</v>
      </c>
      <c r="AI101" s="55">
        <v>44222</v>
      </c>
      <c r="AJ101" s="55">
        <v>44222</v>
      </c>
      <c r="AK101" s="55"/>
      <c r="AL101" s="55"/>
      <c r="AM101" s="55"/>
      <c r="AN101" s="55"/>
      <c r="AO101" s="55">
        <v>44337</v>
      </c>
      <c r="AP101" s="55"/>
      <c r="AQ101" s="55"/>
      <c r="AR101" s="55"/>
      <c r="AS101" s="55"/>
      <c r="AT101" s="55"/>
      <c r="AU101" s="55">
        <v>44434</v>
      </c>
      <c r="AV101" s="55"/>
      <c r="AW101" s="55">
        <v>44470</v>
      </c>
      <c r="AX101" s="55">
        <v>44337</v>
      </c>
      <c r="AY101" s="55">
        <v>44487</v>
      </c>
      <c r="AZ101" s="55"/>
      <c r="BA101" s="55">
        <v>44337</v>
      </c>
      <c r="BB101" s="55">
        <v>44495</v>
      </c>
      <c r="BC101" s="55"/>
      <c r="BD101" s="55">
        <v>44467</v>
      </c>
      <c r="BE101" s="55">
        <v>44494</v>
      </c>
      <c r="BF101" s="55"/>
      <c r="BG101" s="55">
        <v>44343</v>
      </c>
      <c r="BH101" s="55"/>
      <c r="BI101" s="55"/>
      <c r="BJ101" s="55"/>
    </row>
    <row r="102" spans="1:62" x14ac:dyDescent="0.4">
      <c r="A102" s="5">
        <f t="shared" si="2"/>
        <v>44</v>
      </c>
      <c r="B102" s="3" t="s">
        <v>96</v>
      </c>
      <c r="C102" s="55">
        <v>44466</v>
      </c>
      <c r="D102" s="55">
        <v>44186</v>
      </c>
      <c r="E102" s="55">
        <v>44466</v>
      </c>
      <c r="F102" s="55">
        <v>44466</v>
      </c>
      <c r="G102" s="55">
        <v>44466</v>
      </c>
      <c r="H102" s="55">
        <v>44186</v>
      </c>
      <c r="I102" s="55">
        <v>44466</v>
      </c>
      <c r="J102" s="55">
        <v>44466</v>
      </c>
      <c r="K102" s="55">
        <v>44466</v>
      </c>
      <c r="L102" s="55">
        <v>44186</v>
      </c>
      <c r="M102" s="55">
        <v>44466</v>
      </c>
      <c r="N102" s="55">
        <v>44181</v>
      </c>
      <c r="O102" s="55">
        <v>44174</v>
      </c>
      <c r="P102" s="55">
        <v>44181</v>
      </c>
      <c r="Q102" s="55">
        <v>44466</v>
      </c>
      <c r="R102" s="55">
        <v>44174</v>
      </c>
      <c r="S102" s="55">
        <v>44174</v>
      </c>
      <c r="T102" s="55"/>
      <c r="U102" s="55">
        <v>44181</v>
      </c>
      <c r="V102" s="55"/>
      <c r="W102" s="55"/>
      <c r="X102" s="55">
        <v>44174</v>
      </c>
      <c r="Y102" s="55"/>
      <c r="Z102" s="55">
        <v>44174</v>
      </c>
      <c r="AA102" s="55">
        <v>44174</v>
      </c>
      <c r="AB102" s="55">
        <v>44174</v>
      </c>
      <c r="AC102" s="55">
        <v>44186</v>
      </c>
      <c r="AD102" s="55">
        <v>44466</v>
      </c>
      <c r="AE102" s="55">
        <v>44174</v>
      </c>
      <c r="AF102" s="55"/>
      <c r="AG102" s="55">
        <v>44466</v>
      </c>
      <c r="AH102" s="56">
        <v>44174</v>
      </c>
      <c r="AI102" s="55"/>
      <c r="AJ102" s="55">
        <v>44466</v>
      </c>
      <c r="AK102" s="55"/>
      <c r="AL102" s="55"/>
      <c r="AM102" s="55"/>
      <c r="AN102" s="56">
        <v>44174</v>
      </c>
      <c r="AO102" s="56">
        <v>44127</v>
      </c>
      <c r="AP102" s="55">
        <v>44466</v>
      </c>
      <c r="AQ102" s="56">
        <v>44127</v>
      </c>
      <c r="AR102" s="55">
        <v>44466</v>
      </c>
      <c r="AS102" s="55">
        <v>44466</v>
      </c>
      <c r="AT102" s="55"/>
      <c r="AU102" s="55">
        <v>44466</v>
      </c>
      <c r="AV102" s="55"/>
      <c r="AW102" s="55">
        <v>44174</v>
      </c>
      <c r="AX102" s="55">
        <v>44174</v>
      </c>
      <c r="AY102" s="55">
        <v>44466</v>
      </c>
      <c r="AZ102" s="55">
        <v>44466</v>
      </c>
      <c r="BA102" s="55">
        <v>44466</v>
      </c>
      <c r="BB102" s="55">
        <v>44466</v>
      </c>
      <c r="BC102" s="55">
        <v>44466</v>
      </c>
      <c r="BD102" s="55"/>
      <c r="BE102" s="55">
        <v>44466</v>
      </c>
      <c r="BF102" s="55"/>
      <c r="BG102" s="55">
        <v>44466</v>
      </c>
      <c r="BH102" s="55"/>
      <c r="BI102" s="55"/>
      <c r="BJ102" s="55"/>
    </row>
    <row r="103" spans="1:62" x14ac:dyDescent="0.4">
      <c r="A103" s="5">
        <f t="shared" si="2"/>
        <v>40</v>
      </c>
      <c r="B103" s="3" t="s">
        <v>97</v>
      </c>
      <c r="C103" s="55">
        <v>44477</v>
      </c>
      <c r="D103" s="55">
        <v>44477</v>
      </c>
      <c r="E103" s="55">
        <v>44451</v>
      </c>
      <c r="F103" s="55">
        <v>44484</v>
      </c>
      <c r="G103" s="55">
        <v>44482</v>
      </c>
      <c r="H103" s="55">
        <v>44477</v>
      </c>
      <c r="I103" s="55">
        <v>44477</v>
      </c>
      <c r="J103" s="55">
        <v>44477</v>
      </c>
      <c r="K103" s="55"/>
      <c r="L103" s="55">
        <v>44482</v>
      </c>
      <c r="M103" s="55">
        <v>44477</v>
      </c>
      <c r="N103" s="55">
        <v>44482</v>
      </c>
      <c r="O103" s="55"/>
      <c r="P103" s="55">
        <v>44456</v>
      </c>
      <c r="Q103" s="55">
        <v>44477</v>
      </c>
      <c r="R103" s="55">
        <v>44477</v>
      </c>
      <c r="S103" s="55">
        <v>44477</v>
      </c>
      <c r="T103" s="55">
        <v>44477</v>
      </c>
      <c r="U103" s="55">
        <v>44477</v>
      </c>
      <c r="V103" s="55">
        <v>44477</v>
      </c>
      <c r="W103" s="55">
        <v>44477</v>
      </c>
      <c r="X103" s="55">
        <v>44453</v>
      </c>
      <c r="Y103" s="55"/>
      <c r="Z103" s="55"/>
      <c r="AA103" s="55">
        <v>44477</v>
      </c>
      <c r="AB103" s="55">
        <v>44477</v>
      </c>
      <c r="AC103" s="55">
        <v>44477</v>
      </c>
      <c r="AD103" s="55">
        <v>44477</v>
      </c>
      <c r="AE103" s="55">
        <v>44477</v>
      </c>
      <c r="AF103" s="55"/>
      <c r="AG103" s="55">
        <v>44453</v>
      </c>
      <c r="AH103" s="55">
        <v>44477</v>
      </c>
      <c r="AI103" s="55">
        <v>44477</v>
      </c>
      <c r="AJ103" s="55">
        <v>44477</v>
      </c>
      <c r="AK103" s="55">
        <v>44477</v>
      </c>
      <c r="AL103" s="55"/>
      <c r="AM103" s="55">
        <v>44452</v>
      </c>
      <c r="AN103" s="55"/>
      <c r="AO103" s="55"/>
      <c r="AP103" s="55"/>
      <c r="AQ103" s="55"/>
      <c r="AR103" s="55">
        <v>44457</v>
      </c>
      <c r="AS103" s="55"/>
      <c r="AT103" s="55"/>
      <c r="AU103" s="55">
        <v>44482</v>
      </c>
      <c r="AV103" s="55"/>
      <c r="AW103" s="55">
        <v>44477</v>
      </c>
      <c r="AX103" s="55">
        <v>44454</v>
      </c>
      <c r="AY103" s="55"/>
      <c r="AZ103" s="55"/>
      <c r="BA103" s="55">
        <v>44451</v>
      </c>
      <c r="BB103" s="55">
        <v>44477</v>
      </c>
      <c r="BC103" s="55"/>
      <c r="BD103" s="55"/>
      <c r="BE103" s="55">
        <v>44477</v>
      </c>
      <c r="BF103" s="55"/>
      <c r="BG103" s="55">
        <v>44477</v>
      </c>
      <c r="BH103" s="55">
        <v>44457</v>
      </c>
      <c r="BI103" s="55"/>
      <c r="BJ103" s="55"/>
    </row>
    <row r="104" spans="1:62" x14ac:dyDescent="0.4">
      <c r="A104" s="5">
        <f t="shared" si="2"/>
        <v>38</v>
      </c>
      <c r="B104" s="3" t="s">
        <v>98</v>
      </c>
      <c r="C104" s="55">
        <v>44502</v>
      </c>
      <c r="D104" s="55">
        <v>44307</v>
      </c>
      <c r="E104" s="55">
        <v>44494</v>
      </c>
      <c r="F104" s="55">
        <v>44456</v>
      </c>
      <c r="G104" s="55">
        <v>44456</v>
      </c>
      <c r="H104" s="55">
        <v>44491</v>
      </c>
      <c r="I104" s="55">
        <v>44308</v>
      </c>
      <c r="J104" s="55">
        <v>44462</v>
      </c>
      <c r="K104" s="55"/>
      <c r="L104" s="55">
        <v>44328</v>
      </c>
      <c r="M104" s="55">
        <v>44447</v>
      </c>
      <c r="N104" s="55">
        <v>44484</v>
      </c>
      <c r="O104" s="55">
        <v>44299</v>
      </c>
      <c r="P104" s="55">
        <v>44341</v>
      </c>
      <c r="Q104" s="55">
        <v>44333</v>
      </c>
      <c r="R104" s="55"/>
      <c r="S104" s="55"/>
      <c r="T104" s="55"/>
      <c r="U104" s="55">
        <v>44307</v>
      </c>
      <c r="V104" s="55">
        <v>44475</v>
      </c>
      <c r="W104" s="55"/>
      <c r="X104" s="55">
        <v>44314</v>
      </c>
      <c r="Y104" s="55">
        <v>44502</v>
      </c>
      <c r="Z104" s="55">
        <v>44488</v>
      </c>
      <c r="AA104" s="55">
        <v>44488</v>
      </c>
      <c r="AB104" s="55">
        <v>44488</v>
      </c>
      <c r="AC104" s="55">
        <v>44328</v>
      </c>
      <c r="AD104" s="55"/>
      <c r="AE104" s="55">
        <v>44327</v>
      </c>
      <c r="AF104" s="55"/>
      <c r="AG104" s="56">
        <v>44315</v>
      </c>
      <c r="AH104" s="55">
        <v>44494</v>
      </c>
      <c r="AI104" s="55">
        <v>44487</v>
      </c>
      <c r="AJ104" s="55">
        <v>44329</v>
      </c>
      <c r="AK104" s="55"/>
      <c r="AL104" s="55"/>
      <c r="AM104" s="55">
        <v>44337</v>
      </c>
      <c r="AN104" s="55"/>
      <c r="AO104" s="55"/>
      <c r="AP104" s="55"/>
      <c r="AQ104" s="55"/>
      <c r="AR104" s="55">
        <v>44498</v>
      </c>
      <c r="AS104" s="55"/>
      <c r="AT104" s="55"/>
      <c r="AU104" s="55">
        <v>44494</v>
      </c>
      <c r="AV104" s="55">
        <v>44345</v>
      </c>
      <c r="AW104" s="55">
        <v>44477</v>
      </c>
      <c r="AX104" s="55">
        <v>44487</v>
      </c>
      <c r="AY104" s="56">
        <v>44305</v>
      </c>
      <c r="AZ104" s="55"/>
      <c r="BA104" s="55">
        <v>44494</v>
      </c>
      <c r="BB104" s="55">
        <v>44491</v>
      </c>
      <c r="BC104" s="55"/>
      <c r="BD104" s="55"/>
      <c r="BE104" s="55">
        <v>44481</v>
      </c>
      <c r="BF104" s="55"/>
      <c r="BG104" s="55">
        <v>44498</v>
      </c>
      <c r="BH104" s="55"/>
      <c r="BI104" s="55"/>
      <c r="BJ104" s="55"/>
    </row>
    <row r="105" spans="1:62" x14ac:dyDescent="0.4">
      <c r="A105" s="5">
        <f t="shared" si="2"/>
        <v>36</v>
      </c>
      <c r="B105" s="3" t="s">
        <v>99</v>
      </c>
      <c r="C105" s="55">
        <v>44340</v>
      </c>
      <c r="D105" s="55">
        <v>44340</v>
      </c>
      <c r="E105" s="55">
        <v>44455</v>
      </c>
      <c r="F105" s="55">
        <v>44440</v>
      </c>
      <c r="G105" s="55"/>
      <c r="H105" s="55">
        <v>44439</v>
      </c>
      <c r="I105" s="55">
        <v>44474</v>
      </c>
      <c r="J105" s="55">
        <v>44439</v>
      </c>
      <c r="K105" s="55"/>
      <c r="L105" s="55">
        <v>44333</v>
      </c>
      <c r="M105" s="55">
        <v>44439</v>
      </c>
      <c r="N105" s="55">
        <v>44418</v>
      </c>
      <c r="O105" s="55">
        <v>44462</v>
      </c>
      <c r="P105" s="55">
        <v>44418</v>
      </c>
      <c r="Q105" s="55">
        <v>44328</v>
      </c>
      <c r="R105" s="55">
        <v>44397</v>
      </c>
      <c r="S105" s="55">
        <v>44387</v>
      </c>
      <c r="T105" s="55"/>
      <c r="U105" s="55">
        <v>44449</v>
      </c>
      <c r="V105" s="55">
        <v>44412</v>
      </c>
      <c r="W105" s="55"/>
      <c r="X105" s="55">
        <v>44378</v>
      </c>
      <c r="Y105" s="55"/>
      <c r="Z105" s="55">
        <v>44462</v>
      </c>
      <c r="AA105" s="55">
        <v>44440</v>
      </c>
      <c r="AB105" s="55">
        <v>44383</v>
      </c>
      <c r="AC105" s="55"/>
      <c r="AD105" s="55"/>
      <c r="AE105" s="55">
        <v>44208</v>
      </c>
      <c r="AF105" s="55">
        <v>44397</v>
      </c>
      <c r="AG105" s="55">
        <v>44452</v>
      </c>
      <c r="AH105" s="55">
        <v>44452</v>
      </c>
      <c r="AI105" s="55"/>
      <c r="AJ105" s="55">
        <v>44412</v>
      </c>
      <c r="AK105" s="55"/>
      <c r="AL105" s="55"/>
      <c r="AM105" s="55">
        <v>44377</v>
      </c>
      <c r="AN105" s="55"/>
      <c r="AO105" s="55"/>
      <c r="AP105" s="55">
        <v>44494</v>
      </c>
      <c r="AQ105" s="55">
        <v>44348</v>
      </c>
      <c r="AR105" s="55"/>
      <c r="AS105" s="55">
        <v>44481</v>
      </c>
      <c r="AT105" s="55"/>
      <c r="AU105" s="55">
        <v>44364</v>
      </c>
      <c r="AV105" s="55"/>
      <c r="AW105" s="55">
        <v>44378</v>
      </c>
      <c r="AX105" s="55"/>
      <c r="AY105" s="55"/>
      <c r="AZ105" s="55"/>
      <c r="BA105" s="55">
        <v>44343</v>
      </c>
      <c r="BB105" s="55">
        <v>44455</v>
      </c>
      <c r="BC105" s="55"/>
      <c r="BD105" s="55"/>
      <c r="BE105" s="55">
        <v>44474</v>
      </c>
      <c r="BF105" s="55">
        <v>44343</v>
      </c>
      <c r="BG105" s="55"/>
      <c r="BH105" s="55"/>
      <c r="BI105" s="55"/>
      <c r="BJ105" s="55"/>
    </row>
    <row r="106" spans="1:62" x14ac:dyDescent="0.4">
      <c r="A106" s="5">
        <f t="shared" si="2"/>
        <v>37</v>
      </c>
      <c r="B106" s="3" t="s">
        <v>100</v>
      </c>
      <c r="C106" s="55">
        <v>44445</v>
      </c>
      <c r="D106" s="55">
        <v>44258</v>
      </c>
      <c r="E106" s="55">
        <v>44389</v>
      </c>
      <c r="F106" s="55">
        <v>44494</v>
      </c>
      <c r="G106" s="55">
        <v>44495</v>
      </c>
      <c r="H106" s="55">
        <v>44386</v>
      </c>
      <c r="I106" s="55">
        <v>44384</v>
      </c>
      <c r="J106" s="55">
        <v>44495</v>
      </c>
      <c r="K106" s="55"/>
      <c r="L106" s="55">
        <v>44207</v>
      </c>
      <c r="M106" s="55">
        <v>44448</v>
      </c>
      <c r="N106" s="55">
        <v>44389</v>
      </c>
      <c r="O106" s="55">
        <v>44176</v>
      </c>
      <c r="P106" s="55">
        <v>44181</v>
      </c>
      <c r="Q106" s="55">
        <v>44182</v>
      </c>
      <c r="R106" s="55"/>
      <c r="S106" s="55">
        <v>44176</v>
      </c>
      <c r="T106" s="55">
        <v>44386</v>
      </c>
      <c r="U106" s="55">
        <v>44257</v>
      </c>
      <c r="V106" s="55">
        <v>44179</v>
      </c>
      <c r="W106" s="55"/>
      <c r="X106" s="55">
        <v>44179</v>
      </c>
      <c r="Y106" s="55"/>
      <c r="Z106" s="55"/>
      <c r="AA106" s="55">
        <v>44386</v>
      </c>
      <c r="AB106" s="55">
        <v>44236</v>
      </c>
      <c r="AC106" s="55"/>
      <c r="AD106" s="55"/>
      <c r="AE106" s="55">
        <v>44386</v>
      </c>
      <c r="AF106" s="55"/>
      <c r="AG106" s="55">
        <v>44463</v>
      </c>
      <c r="AH106" s="55">
        <v>44364</v>
      </c>
      <c r="AI106" s="55">
        <v>44236</v>
      </c>
      <c r="AJ106" s="55">
        <v>44236</v>
      </c>
      <c r="AK106" s="55"/>
      <c r="AL106" s="55"/>
      <c r="AM106" s="55">
        <v>44361</v>
      </c>
      <c r="AN106" s="55">
        <v>44488</v>
      </c>
      <c r="AO106" s="55"/>
      <c r="AP106" s="55">
        <v>44495</v>
      </c>
      <c r="AQ106" s="55">
        <v>44391</v>
      </c>
      <c r="AR106" s="55">
        <v>44445</v>
      </c>
      <c r="AS106" s="55">
        <v>44495</v>
      </c>
      <c r="AT106" s="55"/>
      <c r="AU106" s="55">
        <v>44369</v>
      </c>
      <c r="AV106" s="55"/>
      <c r="AW106" s="55"/>
      <c r="AX106" s="55">
        <v>44280</v>
      </c>
      <c r="AY106" s="55"/>
      <c r="AZ106" s="55"/>
      <c r="BA106" s="55">
        <v>44389</v>
      </c>
      <c r="BB106" s="55">
        <v>44341</v>
      </c>
      <c r="BC106" s="55"/>
      <c r="BD106" s="55"/>
      <c r="BE106" s="55"/>
      <c r="BF106" s="55"/>
      <c r="BG106" s="55">
        <v>44364</v>
      </c>
      <c r="BH106" s="55"/>
      <c r="BI106" s="55"/>
      <c r="BJ106" s="55"/>
    </row>
    <row r="107" spans="1:62" x14ac:dyDescent="0.4">
      <c r="A107" s="5">
        <f t="shared" si="2"/>
        <v>42</v>
      </c>
      <c r="B107" s="3" t="s">
        <v>101</v>
      </c>
      <c r="C107" s="55">
        <v>44445</v>
      </c>
      <c r="D107" s="55">
        <v>44327</v>
      </c>
      <c r="E107" s="55">
        <v>44438</v>
      </c>
      <c r="F107" s="55">
        <v>44421</v>
      </c>
      <c r="G107" s="55">
        <v>44421</v>
      </c>
      <c r="H107" s="55">
        <v>44326</v>
      </c>
      <c r="I107" s="55">
        <v>44274</v>
      </c>
      <c r="J107" s="55">
        <v>44431</v>
      </c>
      <c r="K107" s="55">
        <v>44357</v>
      </c>
      <c r="L107" s="55">
        <v>44274</v>
      </c>
      <c r="M107" s="55">
        <v>44466</v>
      </c>
      <c r="N107" s="55">
        <v>44438</v>
      </c>
      <c r="O107" s="55"/>
      <c r="P107" s="55">
        <v>44334</v>
      </c>
      <c r="Q107" s="55"/>
      <c r="R107" s="55"/>
      <c r="S107" s="55">
        <v>44327</v>
      </c>
      <c r="T107" s="55">
        <v>44357</v>
      </c>
      <c r="U107" s="55">
        <v>44327</v>
      </c>
      <c r="V107" s="55">
        <v>44329</v>
      </c>
      <c r="W107" s="55"/>
      <c r="X107" s="55"/>
      <c r="Y107" s="55">
        <v>44492</v>
      </c>
      <c r="Z107" s="55">
        <v>44355</v>
      </c>
      <c r="AA107" s="55">
        <v>44327</v>
      </c>
      <c r="AB107" s="55">
        <v>44355</v>
      </c>
      <c r="AC107" s="55">
        <v>44327</v>
      </c>
      <c r="AD107" s="55">
        <v>44426</v>
      </c>
      <c r="AE107" s="55">
        <v>44370</v>
      </c>
      <c r="AF107" s="55">
        <v>44434</v>
      </c>
      <c r="AG107" s="55"/>
      <c r="AH107" s="55">
        <v>44445</v>
      </c>
      <c r="AI107" s="55">
        <v>44355</v>
      </c>
      <c r="AJ107" s="55">
        <v>44355</v>
      </c>
      <c r="AK107" s="55">
        <v>44327</v>
      </c>
      <c r="AL107" s="55"/>
      <c r="AM107" s="55">
        <v>44434</v>
      </c>
      <c r="AN107" s="55"/>
      <c r="AO107" s="55"/>
      <c r="AP107" s="55">
        <v>44434</v>
      </c>
      <c r="AQ107" s="55">
        <v>44438</v>
      </c>
      <c r="AR107" s="55">
        <v>44397</v>
      </c>
      <c r="AS107" s="55"/>
      <c r="AT107" s="55"/>
      <c r="AU107" s="55">
        <v>44370</v>
      </c>
      <c r="AV107" s="55"/>
      <c r="AW107" s="55">
        <v>44333</v>
      </c>
      <c r="AX107" s="55">
        <v>44354</v>
      </c>
      <c r="AY107" s="55">
        <v>44434</v>
      </c>
      <c r="AZ107" s="55"/>
      <c r="BA107" s="55">
        <v>44434</v>
      </c>
      <c r="BB107" s="55">
        <v>44434</v>
      </c>
      <c r="BC107" s="55">
        <v>44434</v>
      </c>
      <c r="BD107" s="55">
        <v>44434</v>
      </c>
      <c r="BE107" s="55"/>
      <c r="BF107" s="55"/>
      <c r="BG107" s="55">
        <v>44434</v>
      </c>
      <c r="BH107" s="55"/>
      <c r="BI107" s="55"/>
      <c r="BJ107" s="55"/>
    </row>
    <row r="108" spans="1:62" x14ac:dyDescent="0.4">
      <c r="A108" s="5">
        <f t="shared" si="2"/>
        <v>37</v>
      </c>
      <c r="B108" s="3" t="s">
        <v>110</v>
      </c>
      <c r="C108" s="56">
        <v>44271</v>
      </c>
      <c r="D108" s="55">
        <v>44271</v>
      </c>
      <c r="E108" s="56">
        <v>44271</v>
      </c>
      <c r="F108" s="56">
        <v>44369</v>
      </c>
      <c r="G108" s="56">
        <v>44369</v>
      </c>
      <c r="H108" s="55">
        <v>44271</v>
      </c>
      <c r="I108" s="55">
        <v>44280</v>
      </c>
      <c r="J108" s="56">
        <v>44369</v>
      </c>
      <c r="K108" s="56">
        <v>44271</v>
      </c>
      <c r="L108" s="55">
        <v>44280</v>
      </c>
      <c r="M108" s="56">
        <v>44369</v>
      </c>
      <c r="N108" s="55">
        <v>44271</v>
      </c>
      <c r="O108" s="55"/>
      <c r="P108" s="55">
        <v>44271</v>
      </c>
      <c r="Q108" s="55"/>
      <c r="R108" s="55">
        <v>44271</v>
      </c>
      <c r="S108" s="55">
        <v>44280</v>
      </c>
      <c r="T108" s="55">
        <v>44271</v>
      </c>
      <c r="U108" s="55">
        <v>44271</v>
      </c>
      <c r="V108" s="55">
        <v>44271</v>
      </c>
      <c r="W108" s="55"/>
      <c r="X108" s="55">
        <v>44271</v>
      </c>
      <c r="Y108" s="55"/>
      <c r="Z108" s="55"/>
      <c r="AA108" s="55">
        <v>44271</v>
      </c>
      <c r="AB108" s="55">
        <v>44271</v>
      </c>
      <c r="AC108" s="55"/>
      <c r="AD108" s="55">
        <v>44271</v>
      </c>
      <c r="AE108" s="55">
        <v>44271</v>
      </c>
      <c r="AF108" s="56">
        <v>44271</v>
      </c>
      <c r="AG108" s="56">
        <v>44271</v>
      </c>
      <c r="AH108" s="56">
        <v>44271</v>
      </c>
      <c r="AI108" s="55"/>
      <c r="AJ108" s="55">
        <v>44271</v>
      </c>
      <c r="AK108" s="55">
        <v>44271</v>
      </c>
      <c r="AL108" s="55"/>
      <c r="AM108" s="56">
        <v>44271</v>
      </c>
      <c r="AN108" s="55"/>
      <c r="AO108" s="55">
        <v>44271</v>
      </c>
      <c r="AP108" s="55"/>
      <c r="AQ108" s="55"/>
      <c r="AR108" s="56">
        <v>44271</v>
      </c>
      <c r="AS108" s="55"/>
      <c r="AT108" s="55"/>
      <c r="AU108" s="55"/>
      <c r="AV108" s="55"/>
      <c r="AW108" s="55">
        <v>44271</v>
      </c>
      <c r="AX108" s="55">
        <v>44271</v>
      </c>
      <c r="AY108" s="55"/>
      <c r="AZ108" s="55"/>
      <c r="BA108" s="56">
        <v>44271</v>
      </c>
      <c r="BB108" s="56">
        <v>44271</v>
      </c>
      <c r="BC108" s="55"/>
      <c r="BD108" s="56">
        <v>44271</v>
      </c>
      <c r="BE108" s="55"/>
      <c r="BF108" s="55"/>
      <c r="BG108" s="56">
        <v>44271</v>
      </c>
      <c r="BH108" s="55"/>
      <c r="BI108" s="55"/>
      <c r="BJ108" s="55"/>
    </row>
    <row r="109" spans="1:62" x14ac:dyDescent="0.4">
      <c r="A109" s="5">
        <f t="shared" si="2"/>
        <v>35</v>
      </c>
      <c r="B109" s="3" t="s">
        <v>102</v>
      </c>
      <c r="C109" s="55">
        <v>44403</v>
      </c>
      <c r="D109" s="55">
        <v>44399</v>
      </c>
      <c r="E109" s="55">
        <v>44399</v>
      </c>
      <c r="F109" s="55">
        <v>44495</v>
      </c>
      <c r="G109" s="55">
        <v>44501</v>
      </c>
      <c r="H109" s="55">
        <v>44403</v>
      </c>
      <c r="I109" s="55">
        <v>44399</v>
      </c>
      <c r="J109" s="55">
        <v>44495</v>
      </c>
      <c r="K109" s="55"/>
      <c r="L109" s="55"/>
      <c r="M109" s="55">
        <v>44501</v>
      </c>
      <c r="N109" s="55">
        <v>44403</v>
      </c>
      <c r="O109" s="55"/>
      <c r="P109" s="55">
        <v>44375</v>
      </c>
      <c r="Q109" s="55">
        <v>44399</v>
      </c>
      <c r="R109" s="55"/>
      <c r="S109" s="55">
        <v>44400</v>
      </c>
      <c r="T109" s="55"/>
      <c r="U109" s="55">
        <v>44399</v>
      </c>
      <c r="V109" s="55">
        <v>44399</v>
      </c>
      <c r="W109" s="55"/>
      <c r="X109" s="55">
        <v>44400</v>
      </c>
      <c r="Y109" s="55"/>
      <c r="Z109" s="55"/>
      <c r="AA109" s="55">
        <v>44400</v>
      </c>
      <c r="AB109" s="55">
        <v>44403</v>
      </c>
      <c r="AC109" s="55">
        <v>44400</v>
      </c>
      <c r="AD109" s="55">
        <v>44399</v>
      </c>
      <c r="AE109" s="55"/>
      <c r="AF109" s="55"/>
      <c r="AG109" s="55">
        <v>44375</v>
      </c>
      <c r="AH109" s="55">
        <v>44495</v>
      </c>
      <c r="AI109" s="55">
        <v>44400</v>
      </c>
      <c r="AJ109" s="55">
        <v>44400</v>
      </c>
      <c r="AK109" s="55">
        <v>44400</v>
      </c>
      <c r="AL109" s="55"/>
      <c r="AM109" s="55"/>
      <c r="AN109" s="55"/>
      <c r="AO109" s="55"/>
      <c r="AP109" s="55"/>
      <c r="AQ109" s="55"/>
      <c r="AR109" s="55">
        <v>44399</v>
      </c>
      <c r="AS109" s="55"/>
      <c r="AT109" s="55"/>
      <c r="AU109" s="55">
        <v>44403</v>
      </c>
      <c r="AV109" s="55"/>
      <c r="AW109" s="55">
        <v>44400</v>
      </c>
      <c r="AX109" s="55"/>
      <c r="AY109" s="55">
        <v>44403</v>
      </c>
      <c r="AZ109" s="55"/>
      <c r="BA109" s="55">
        <v>44400</v>
      </c>
      <c r="BB109" s="55">
        <v>44403</v>
      </c>
      <c r="BC109" s="55">
        <v>44400</v>
      </c>
      <c r="BD109" s="55"/>
      <c r="BE109" s="55">
        <v>44403</v>
      </c>
      <c r="BF109" s="55"/>
      <c r="BG109" s="55">
        <v>44399</v>
      </c>
      <c r="BH109" s="55"/>
      <c r="BI109" s="55"/>
      <c r="BJ109" s="55">
        <v>44372</v>
      </c>
    </row>
    <row r="110" spans="1:62" x14ac:dyDescent="0.4">
      <c r="A110" s="5">
        <f t="shared" si="2"/>
        <v>37</v>
      </c>
      <c r="B110" s="3" t="s">
        <v>103</v>
      </c>
      <c r="C110" s="55">
        <v>44476</v>
      </c>
      <c r="D110" s="55">
        <v>44476</v>
      </c>
      <c r="E110" s="55">
        <v>44484</v>
      </c>
      <c r="F110" s="55">
        <v>44476</v>
      </c>
      <c r="G110" s="55">
        <v>44410</v>
      </c>
      <c r="H110" s="55">
        <v>44475</v>
      </c>
      <c r="I110" s="55">
        <v>44477</v>
      </c>
      <c r="J110" s="55">
        <v>44410</v>
      </c>
      <c r="K110" s="55">
        <v>44484</v>
      </c>
      <c r="L110" s="55">
        <v>44477</v>
      </c>
      <c r="M110" s="55">
        <v>44488</v>
      </c>
      <c r="N110" s="55">
        <v>44490</v>
      </c>
      <c r="O110" s="55"/>
      <c r="P110" s="55">
        <v>44470</v>
      </c>
      <c r="Q110" s="55">
        <v>44487</v>
      </c>
      <c r="R110" s="55"/>
      <c r="S110" s="55">
        <v>44470</v>
      </c>
      <c r="T110" s="55">
        <v>44470</v>
      </c>
      <c r="U110" s="55">
        <v>44484</v>
      </c>
      <c r="V110" s="55">
        <v>44410</v>
      </c>
      <c r="W110" s="55"/>
      <c r="X110" s="55"/>
      <c r="Y110" s="55"/>
      <c r="Z110" s="55">
        <v>44475</v>
      </c>
      <c r="AA110" s="55">
        <v>44475</v>
      </c>
      <c r="AB110" s="55">
        <v>44470</v>
      </c>
      <c r="AC110" s="55">
        <v>44475</v>
      </c>
      <c r="AD110" s="55"/>
      <c r="AE110" s="55">
        <v>44475</v>
      </c>
      <c r="AF110" s="55"/>
      <c r="AG110" s="55"/>
      <c r="AH110" s="55">
        <v>44487</v>
      </c>
      <c r="AI110" s="55">
        <v>44475</v>
      </c>
      <c r="AJ110" s="55">
        <v>44475</v>
      </c>
      <c r="AK110" s="56">
        <v>43714</v>
      </c>
      <c r="AL110" s="55"/>
      <c r="AM110" s="55"/>
      <c r="AN110" s="55"/>
      <c r="AO110" s="55"/>
      <c r="AP110" s="55"/>
      <c r="AQ110" s="55">
        <v>44488</v>
      </c>
      <c r="AR110" s="55">
        <v>44484</v>
      </c>
      <c r="AS110" s="55"/>
      <c r="AT110" s="55"/>
      <c r="AU110" s="55">
        <v>44487</v>
      </c>
      <c r="AV110" s="55"/>
      <c r="AW110" s="55">
        <v>44475</v>
      </c>
      <c r="AX110" s="55">
        <v>44476</v>
      </c>
      <c r="AY110" s="55"/>
      <c r="AZ110" s="55"/>
      <c r="BA110" s="55">
        <v>44487</v>
      </c>
      <c r="BB110" s="55">
        <v>44487</v>
      </c>
      <c r="BC110" s="55"/>
      <c r="BD110" s="55"/>
      <c r="BE110" s="55">
        <v>44484</v>
      </c>
      <c r="BF110" s="55"/>
      <c r="BG110" s="55">
        <v>44484</v>
      </c>
      <c r="BH110" s="55">
        <v>44487</v>
      </c>
      <c r="BI110" s="55"/>
      <c r="BJ110" s="55"/>
    </row>
    <row r="111" spans="1:62" x14ac:dyDescent="0.4">
      <c r="A111" s="5">
        <f t="shared" si="2"/>
        <v>40</v>
      </c>
      <c r="B111" s="3" t="s">
        <v>104</v>
      </c>
      <c r="C111" s="55">
        <v>44403</v>
      </c>
      <c r="D111" s="55">
        <v>44403</v>
      </c>
      <c r="E111" s="55">
        <v>44403</v>
      </c>
      <c r="F111" s="55">
        <v>44501</v>
      </c>
      <c r="G111" s="55">
        <v>44502</v>
      </c>
      <c r="H111" s="55">
        <v>44403</v>
      </c>
      <c r="I111" s="55">
        <v>44403</v>
      </c>
      <c r="J111" s="55">
        <v>44502</v>
      </c>
      <c r="K111" s="55">
        <v>44403</v>
      </c>
      <c r="L111" s="55"/>
      <c r="M111" s="55">
        <v>44502</v>
      </c>
      <c r="N111" s="55">
        <v>44420</v>
      </c>
      <c r="O111" s="55"/>
      <c r="P111" s="55">
        <v>44420</v>
      </c>
      <c r="Q111" s="55">
        <v>44403</v>
      </c>
      <c r="R111" s="55"/>
      <c r="S111" s="55">
        <v>44420</v>
      </c>
      <c r="T111" s="55"/>
      <c r="U111" s="55">
        <v>44403</v>
      </c>
      <c r="V111" s="55">
        <v>44421</v>
      </c>
      <c r="W111" s="55"/>
      <c r="X111" s="55">
        <v>44403</v>
      </c>
      <c r="Y111" s="55"/>
      <c r="Z111" s="55">
        <v>44403</v>
      </c>
      <c r="AA111" s="55">
        <v>44403</v>
      </c>
      <c r="AB111" s="55">
        <v>44403</v>
      </c>
      <c r="AC111" s="55"/>
      <c r="AD111" s="55">
        <v>44403</v>
      </c>
      <c r="AE111" s="55">
        <v>44403</v>
      </c>
      <c r="AF111" s="55"/>
      <c r="AG111" s="55">
        <v>44403</v>
      </c>
      <c r="AH111" s="55">
        <v>44403</v>
      </c>
      <c r="AI111" s="55"/>
      <c r="AJ111" s="55">
        <v>44403</v>
      </c>
      <c r="AK111" s="55">
        <v>44403</v>
      </c>
      <c r="AL111" s="55"/>
      <c r="AM111" s="55"/>
      <c r="AN111" s="55">
        <v>44501</v>
      </c>
      <c r="AO111" s="55"/>
      <c r="AP111" s="55">
        <v>44403</v>
      </c>
      <c r="AQ111" s="55">
        <v>44420</v>
      </c>
      <c r="AR111" s="55"/>
      <c r="AS111" s="55">
        <v>44420</v>
      </c>
      <c r="AT111" s="55"/>
      <c r="AU111" s="55">
        <v>44403</v>
      </c>
      <c r="AV111" s="55"/>
      <c r="AW111" s="55">
        <v>44403</v>
      </c>
      <c r="AX111" s="55">
        <v>44403</v>
      </c>
      <c r="AY111" s="55">
        <v>44456</v>
      </c>
      <c r="AZ111" s="55"/>
      <c r="BA111" s="55">
        <v>44420</v>
      </c>
      <c r="BB111" s="55">
        <v>44420</v>
      </c>
      <c r="BC111" s="55">
        <v>44420</v>
      </c>
      <c r="BD111" s="55"/>
      <c r="BE111" s="55"/>
      <c r="BF111" s="55"/>
      <c r="BG111" s="55">
        <v>44420</v>
      </c>
      <c r="BH111" s="55"/>
      <c r="BI111" s="55">
        <v>44455</v>
      </c>
      <c r="BJ111" s="55">
        <v>44455</v>
      </c>
    </row>
    <row r="112" spans="1:62" x14ac:dyDescent="0.4">
      <c r="A112" s="5">
        <f t="shared" si="2"/>
        <v>38</v>
      </c>
      <c r="B112" s="3" t="s">
        <v>105</v>
      </c>
      <c r="C112" s="55">
        <v>44491</v>
      </c>
      <c r="D112" s="55">
        <v>44490</v>
      </c>
      <c r="E112" s="55">
        <v>44491</v>
      </c>
      <c r="F112" s="55">
        <v>44495</v>
      </c>
      <c r="G112" s="55">
        <v>44496</v>
      </c>
      <c r="H112" s="55"/>
      <c r="I112" s="55">
        <v>44489</v>
      </c>
      <c r="J112" s="55">
        <v>44497</v>
      </c>
      <c r="K112" s="55"/>
      <c r="L112" s="55">
        <v>44496</v>
      </c>
      <c r="M112" s="55">
        <v>44495</v>
      </c>
      <c r="N112" s="55">
        <v>44488</v>
      </c>
      <c r="O112" s="55"/>
      <c r="P112" s="55">
        <v>44491</v>
      </c>
      <c r="Q112" s="55">
        <v>44490</v>
      </c>
      <c r="R112" s="55">
        <v>44495</v>
      </c>
      <c r="S112" s="55">
        <v>44495</v>
      </c>
      <c r="T112" s="55"/>
      <c r="U112" s="55">
        <v>44490</v>
      </c>
      <c r="V112" s="55">
        <v>44494</v>
      </c>
      <c r="W112" s="55">
        <v>44491</v>
      </c>
      <c r="X112" s="55"/>
      <c r="Y112" s="55">
        <v>44494</v>
      </c>
      <c r="Z112" s="55"/>
      <c r="AA112" s="55">
        <v>44495</v>
      </c>
      <c r="AB112" s="55">
        <v>44494</v>
      </c>
      <c r="AC112" s="55">
        <v>44496</v>
      </c>
      <c r="AD112" s="55">
        <v>44490</v>
      </c>
      <c r="AE112" s="55">
        <v>44495</v>
      </c>
      <c r="AF112" s="55">
        <v>44491</v>
      </c>
      <c r="AG112" s="55">
        <v>44491</v>
      </c>
      <c r="AH112" s="55">
        <v>44491</v>
      </c>
      <c r="AI112" s="55">
        <v>44490</v>
      </c>
      <c r="AJ112" s="55">
        <v>44490</v>
      </c>
      <c r="AK112" s="55">
        <v>44490</v>
      </c>
      <c r="AL112" s="55"/>
      <c r="AM112" s="55"/>
      <c r="AN112" s="55"/>
      <c r="AO112" s="55">
        <v>44495</v>
      </c>
      <c r="AP112" s="55">
        <v>44489</v>
      </c>
      <c r="AQ112" s="55">
        <v>44491</v>
      </c>
      <c r="AR112" s="55"/>
      <c r="AS112" s="55"/>
      <c r="AT112" s="55"/>
      <c r="AU112" s="55">
        <v>44491</v>
      </c>
      <c r="AV112" s="55"/>
      <c r="AW112" s="55">
        <v>44491</v>
      </c>
      <c r="AX112" s="55"/>
      <c r="AY112" s="55"/>
      <c r="AZ112" s="55"/>
      <c r="BA112" s="55">
        <v>44491</v>
      </c>
      <c r="BB112" s="55">
        <v>44487</v>
      </c>
      <c r="BC112" s="55"/>
      <c r="BD112" s="55"/>
      <c r="BE112" s="55"/>
      <c r="BF112" s="55">
        <v>44495</v>
      </c>
      <c r="BG112" s="55">
        <v>44491</v>
      </c>
      <c r="BH112" s="55"/>
      <c r="BI112" s="55"/>
      <c r="BJ112" s="55"/>
    </row>
    <row r="113" spans="1:62" x14ac:dyDescent="0.4">
      <c r="A113" s="5">
        <f t="shared" si="2"/>
        <v>41</v>
      </c>
      <c r="B113" s="3" t="s">
        <v>113</v>
      </c>
      <c r="C113" s="55">
        <v>44400</v>
      </c>
      <c r="D113" s="55">
        <v>44463</v>
      </c>
      <c r="E113" s="55">
        <v>44407</v>
      </c>
      <c r="F113" s="55">
        <v>44462</v>
      </c>
      <c r="G113" s="55">
        <v>44462</v>
      </c>
      <c r="H113" s="55">
        <v>44463</v>
      </c>
      <c r="I113" s="55">
        <v>44466</v>
      </c>
      <c r="J113" s="55">
        <v>44464</v>
      </c>
      <c r="K113" s="55"/>
      <c r="L113" s="55">
        <v>44448</v>
      </c>
      <c r="M113" s="55">
        <v>44466</v>
      </c>
      <c r="N113" s="55">
        <v>44469</v>
      </c>
      <c r="O113" s="55"/>
      <c r="P113" s="55">
        <v>44420</v>
      </c>
      <c r="Q113" s="55">
        <v>44463</v>
      </c>
      <c r="R113" s="55">
        <v>44448</v>
      </c>
      <c r="S113" s="55">
        <v>44466</v>
      </c>
      <c r="T113" s="55">
        <v>44407</v>
      </c>
      <c r="U113" s="55">
        <v>44147</v>
      </c>
      <c r="V113" s="55">
        <v>44462</v>
      </c>
      <c r="W113" s="55"/>
      <c r="X113" s="55">
        <v>44448</v>
      </c>
      <c r="Y113" s="55"/>
      <c r="Z113" s="55"/>
      <c r="AA113" s="55">
        <v>44462</v>
      </c>
      <c r="AB113" s="55">
        <v>44448</v>
      </c>
      <c r="AC113" s="55">
        <v>44466</v>
      </c>
      <c r="AD113" s="55">
        <v>44462</v>
      </c>
      <c r="AE113" s="55">
        <v>44462</v>
      </c>
      <c r="AF113" s="55"/>
      <c r="AG113" s="55">
        <v>44414</v>
      </c>
      <c r="AH113" s="55">
        <v>44420</v>
      </c>
      <c r="AI113" s="55">
        <v>44407</v>
      </c>
      <c r="AJ113" s="55">
        <v>44407</v>
      </c>
      <c r="AK113" s="55"/>
      <c r="AL113" s="55"/>
      <c r="AM113" s="55">
        <v>44407</v>
      </c>
      <c r="AN113" s="55"/>
      <c r="AO113" s="55"/>
      <c r="AP113" s="55">
        <v>44466</v>
      </c>
      <c r="AQ113" s="55">
        <v>44465</v>
      </c>
      <c r="AR113" s="55">
        <v>44466</v>
      </c>
      <c r="AS113" s="55"/>
      <c r="AT113" s="55"/>
      <c r="AU113" s="55">
        <v>44420</v>
      </c>
      <c r="AV113" s="55"/>
      <c r="AW113" s="55">
        <v>44407</v>
      </c>
      <c r="AX113" s="55">
        <v>44463</v>
      </c>
      <c r="AY113" s="55">
        <v>44464</v>
      </c>
      <c r="AZ113" s="55"/>
      <c r="BA113" s="55">
        <v>44462</v>
      </c>
      <c r="BB113" s="55">
        <v>44463</v>
      </c>
      <c r="BC113" s="55"/>
      <c r="BD113" s="55">
        <v>44466</v>
      </c>
      <c r="BE113" s="55">
        <v>44463</v>
      </c>
      <c r="BF113" s="55"/>
      <c r="BG113" s="55">
        <v>44447</v>
      </c>
      <c r="BH113" s="55"/>
      <c r="BI113" s="55"/>
      <c r="BJ113" s="55"/>
    </row>
    <row r="114" spans="1:62" x14ac:dyDescent="0.4">
      <c r="A114" s="5">
        <f t="shared" si="2"/>
        <v>39</v>
      </c>
      <c r="B114" s="3" t="s">
        <v>106</v>
      </c>
      <c r="C114" s="55">
        <v>44371</v>
      </c>
      <c r="D114" s="55">
        <v>44176</v>
      </c>
      <c r="E114" s="55">
        <v>44371</v>
      </c>
      <c r="F114" s="56">
        <v>44371</v>
      </c>
      <c r="G114" s="56">
        <v>44371</v>
      </c>
      <c r="H114" s="55"/>
      <c r="I114" s="55">
        <v>44179</v>
      </c>
      <c r="J114" s="56">
        <v>44377</v>
      </c>
      <c r="K114" s="55">
        <v>44377</v>
      </c>
      <c r="L114" s="55">
        <v>44187</v>
      </c>
      <c r="M114" s="56">
        <v>44371</v>
      </c>
      <c r="N114" s="55">
        <v>44176</v>
      </c>
      <c r="O114" s="55">
        <v>44187</v>
      </c>
      <c r="P114" s="55">
        <v>44187</v>
      </c>
      <c r="Q114" s="55">
        <v>44187</v>
      </c>
      <c r="R114" s="55"/>
      <c r="S114" s="55">
        <v>44176</v>
      </c>
      <c r="T114" s="55">
        <v>44187</v>
      </c>
      <c r="U114" s="55">
        <v>44187</v>
      </c>
      <c r="V114" s="55">
        <v>44175</v>
      </c>
      <c r="W114" s="55"/>
      <c r="X114" s="55">
        <v>44179</v>
      </c>
      <c r="Y114" s="55"/>
      <c r="Z114" s="55"/>
      <c r="AA114" s="55">
        <v>44176</v>
      </c>
      <c r="AB114" s="55">
        <v>44176</v>
      </c>
      <c r="AC114" s="55">
        <v>44180</v>
      </c>
      <c r="AD114" s="55">
        <v>44187</v>
      </c>
      <c r="AE114" s="55">
        <v>44176</v>
      </c>
      <c r="AF114" s="55"/>
      <c r="AG114" s="55">
        <v>44371</v>
      </c>
      <c r="AH114" s="55">
        <v>44371</v>
      </c>
      <c r="AI114" s="55"/>
      <c r="AJ114" s="55">
        <v>44187</v>
      </c>
      <c r="AK114" s="55">
        <v>44187</v>
      </c>
      <c r="AL114" s="55"/>
      <c r="AM114" s="55"/>
      <c r="AN114" s="55"/>
      <c r="AO114" s="55"/>
      <c r="AP114" s="55"/>
      <c r="AQ114" s="55">
        <v>44187</v>
      </c>
      <c r="AR114" s="55"/>
      <c r="AS114" s="55"/>
      <c r="AT114" s="55"/>
      <c r="AU114" s="55">
        <v>44371</v>
      </c>
      <c r="AV114" s="55"/>
      <c r="AW114" s="55">
        <v>44187</v>
      </c>
      <c r="AX114" s="55">
        <v>44187</v>
      </c>
      <c r="AY114" s="55"/>
      <c r="AZ114" s="55"/>
      <c r="BA114" s="55">
        <v>44371</v>
      </c>
      <c r="BB114" s="55">
        <v>44375</v>
      </c>
      <c r="BC114" s="55"/>
      <c r="BD114" s="55"/>
      <c r="BE114" s="55">
        <v>44371</v>
      </c>
      <c r="BF114" s="55"/>
      <c r="BG114" s="56">
        <v>44179</v>
      </c>
      <c r="BH114" s="55">
        <v>44187</v>
      </c>
      <c r="BI114" s="55">
        <v>44187</v>
      </c>
      <c r="BJ114" s="56">
        <v>44187</v>
      </c>
    </row>
    <row r="115" spans="1:62" x14ac:dyDescent="0.4">
      <c r="A115" s="5">
        <f t="shared" si="2"/>
        <v>37</v>
      </c>
      <c r="B115" s="3" t="s">
        <v>107</v>
      </c>
      <c r="C115" s="55">
        <v>44390</v>
      </c>
      <c r="D115" s="55">
        <v>44440</v>
      </c>
      <c r="E115" s="55">
        <v>44432</v>
      </c>
      <c r="F115" s="55">
        <v>44432</v>
      </c>
      <c r="G115" s="55">
        <v>44434</v>
      </c>
      <c r="H115" s="55">
        <v>44440</v>
      </c>
      <c r="I115" s="55">
        <v>44377</v>
      </c>
      <c r="J115" s="55">
        <v>44420</v>
      </c>
      <c r="K115" s="55">
        <v>44349</v>
      </c>
      <c r="L115" s="55">
        <v>44377</v>
      </c>
      <c r="M115" s="55">
        <v>44432</v>
      </c>
      <c r="N115" s="55">
        <v>44440</v>
      </c>
      <c r="O115" s="55"/>
      <c r="P115" s="55">
        <v>44440</v>
      </c>
      <c r="Q115" s="55"/>
      <c r="R115" s="55">
        <v>44440</v>
      </c>
      <c r="S115" s="55">
        <v>44441</v>
      </c>
      <c r="T115" s="55"/>
      <c r="U115" s="55">
        <v>44257</v>
      </c>
      <c r="V115" s="55">
        <v>44251</v>
      </c>
      <c r="W115" s="55"/>
      <c r="X115" s="55"/>
      <c r="Y115" s="55"/>
      <c r="Z115" s="55">
        <v>44440</v>
      </c>
      <c r="AA115" s="55">
        <v>44399</v>
      </c>
      <c r="AB115" s="55">
        <v>44166</v>
      </c>
      <c r="AC115" s="55">
        <v>44440</v>
      </c>
      <c r="AD115" s="55">
        <v>44377</v>
      </c>
      <c r="AE115" s="55">
        <v>44441</v>
      </c>
      <c r="AF115" s="55">
        <v>44377</v>
      </c>
      <c r="AG115" s="55"/>
      <c r="AH115" s="55">
        <v>44434</v>
      </c>
      <c r="AI115" s="55"/>
      <c r="AJ115" s="55">
        <v>44377</v>
      </c>
      <c r="AK115" s="55"/>
      <c r="AL115" s="55"/>
      <c r="AM115" s="55"/>
      <c r="AN115" s="55"/>
      <c r="AO115" s="55"/>
      <c r="AP115" s="55">
        <v>44491</v>
      </c>
      <c r="AQ115" s="55">
        <v>44287</v>
      </c>
      <c r="AR115" s="55">
        <v>44432</v>
      </c>
      <c r="AS115" s="55">
        <v>44440</v>
      </c>
      <c r="AT115" s="55"/>
      <c r="AU115" s="55">
        <v>44440</v>
      </c>
      <c r="AV115" s="55"/>
      <c r="AW115" s="55">
        <v>44377</v>
      </c>
      <c r="AX115" s="55">
        <v>44377</v>
      </c>
      <c r="AY115" s="55">
        <v>44441</v>
      </c>
      <c r="AZ115" s="55"/>
      <c r="BA115" s="55">
        <v>44432</v>
      </c>
      <c r="BB115" s="55">
        <v>44432</v>
      </c>
      <c r="BC115" s="55"/>
      <c r="BD115" s="55"/>
      <c r="BE115" s="55">
        <v>44470</v>
      </c>
      <c r="BF115" s="55"/>
      <c r="BG115" s="55"/>
      <c r="BH115" s="55"/>
      <c r="BI115" s="55"/>
      <c r="BJ115" s="55"/>
    </row>
    <row r="116" spans="1:62" x14ac:dyDescent="0.4">
      <c r="A116" s="5">
        <f t="shared" si="2"/>
        <v>33</v>
      </c>
      <c r="B116" s="3" t="s">
        <v>108</v>
      </c>
      <c r="C116" s="55">
        <v>44404</v>
      </c>
      <c r="D116" s="55">
        <v>44406</v>
      </c>
      <c r="E116" s="55">
        <v>44406</v>
      </c>
      <c r="F116" s="55">
        <v>44494</v>
      </c>
      <c r="G116" s="55">
        <v>44494</v>
      </c>
      <c r="H116" s="55">
        <v>44406</v>
      </c>
      <c r="I116" s="55">
        <v>44399</v>
      </c>
      <c r="J116" s="55">
        <v>44481</v>
      </c>
      <c r="K116" s="55"/>
      <c r="L116" s="55"/>
      <c r="M116" s="55">
        <v>44494</v>
      </c>
      <c r="N116" s="55">
        <v>44399</v>
      </c>
      <c r="O116" s="55">
        <v>44404</v>
      </c>
      <c r="P116" s="55">
        <v>44400</v>
      </c>
      <c r="Q116" s="55"/>
      <c r="R116" s="55"/>
      <c r="S116" s="55">
        <v>44406</v>
      </c>
      <c r="T116" s="55"/>
      <c r="U116" s="55">
        <v>44410</v>
      </c>
      <c r="V116" s="55">
        <v>44410</v>
      </c>
      <c r="W116" s="55">
        <v>44404</v>
      </c>
      <c r="X116" s="55">
        <v>44404</v>
      </c>
      <c r="Y116" s="55"/>
      <c r="Z116" s="55">
        <v>44406</v>
      </c>
      <c r="AA116" s="55"/>
      <c r="AB116" s="55">
        <v>44413</v>
      </c>
      <c r="AC116" s="55">
        <v>44413</v>
      </c>
      <c r="AD116" s="55"/>
      <c r="AE116" s="55">
        <v>44406</v>
      </c>
      <c r="AF116" s="55"/>
      <c r="AG116" s="55"/>
      <c r="AH116" s="55">
        <v>44404</v>
      </c>
      <c r="AI116" s="55"/>
      <c r="AJ116" s="55">
        <v>44406</v>
      </c>
      <c r="AK116" s="55"/>
      <c r="AL116" s="55"/>
      <c r="AM116" s="55"/>
      <c r="AN116" s="55"/>
      <c r="AO116" s="55">
        <v>44404</v>
      </c>
      <c r="AP116" s="55"/>
      <c r="AQ116" s="55"/>
      <c r="AR116" s="55">
        <v>44418</v>
      </c>
      <c r="AS116" s="55"/>
      <c r="AT116" s="55"/>
      <c r="AU116" s="55">
        <v>44406</v>
      </c>
      <c r="AV116" s="55"/>
      <c r="AW116" s="55">
        <v>44406</v>
      </c>
      <c r="AX116" s="55"/>
      <c r="AY116" s="55">
        <v>44417</v>
      </c>
      <c r="AZ116" s="55"/>
      <c r="BA116" s="55"/>
      <c r="BB116" s="55">
        <v>44410</v>
      </c>
      <c r="BC116" s="55">
        <v>44413</v>
      </c>
      <c r="BD116" s="55">
        <v>44406</v>
      </c>
      <c r="BE116" s="55">
        <v>44406</v>
      </c>
      <c r="BF116" s="55"/>
      <c r="BG116" s="55">
        <v>44404</v>
      </c>
      <c r="BH116" s="55"/>
      <c r="BI116" s="55"/>
      <c r="BJ116" s="55"/>
    </row>
    <row r="117" spans="1:62" x14ac:dyDescent="0.4">
      <c r="A117" s="5">
        <f t="shared" si="2"/>
        <v>33</v>
      </c>
      <c r="B117" s="3" t="s">
        <v>109</v>
      </c>
      <c r="C117" s="55">
        <v>44445</v>
      </c>
      <c r="D117" s="55">
        <v>44467</v>
      </c>
      <c r="E117" s="55">
        <v>44445</v>
      </c>
      <c r="F117" s="55">
        <v>44445</v>
      </c>
      <c r="G117" s="55"/>
      <c r="H117" s="55">
        <v>44453</v>
      </c>
      <c r="I117" s="55">
        <v>44453</v>
      </c>
      <c r="J117" s="55">
        <v>44445</v>
      </c>
      <c r="K117" s="55">
        <v>44445</v>
      </c>
      <c r="L117" s="55">
        <v>44453</v>
      </c>
      <c r="M117" s="55">
        <v>44445</v>
      </c>
      <c r="N117" s="55">
        <v>44482</v>
      </c>
      <c r="O117" s="55"/>
      <c r="P117" s="55">
        <v>44453</v>
      </c>
      <c r="Q117" s="55">
        <v>44445</v>
      </c>
      <c r="R117" s="55"/>
      <c r="S117" s="55">
        <v>44453</v>
      </c>
      <c r="T117" s="55">
        <v>44445</v>
      </c>
      <c r="U117" s="55">
        <v>44445</v>
      </c>
      <c r="V117" s="55">
        <v>44488</v>
      </c>
      <c r="W117" s="55"/>
      <c r="X117" s="55"/>
      <c r="Y117" s="55"/>
      <c r="Z117" s="55">
        <v>44445</v>
      </c>
      <c r="AA117" s="55">
        <v>44445</v>
      </c>
      <c r="AB117" s="55">
        <v>44445</v>
      </c>
      <c r="AC117" s="55">
        <v>44445</v>
      </c>
      <c r="AD117" s="55"/>
      <c r="AE117" s="55">
        <v>44453</v>
      </c>
      <c r="AF117" s="55"/>
      <c r="AG117" s="55"/>
      <c r="AH117" s="55">
        <v>44445</v>
      </c>
      <c r="AI117" s="55">
        <v>44445</v>
      </c>
      <c r="AJ117" s="55">
        <v>44445</v>
      </c>
      <c r="AK117" s="55"/>
      <c r="AL117" s="55"/>
      <c r="AM117" s="55">
        <v>44445</v>
      </c>
      <c r="AN117" s="55"/>
      <c r="AO117" s="55"/>
      <c r="AP117" s="55"/>
      <c r="AQ117" s="55"/>
      <c r="AR117" s="55"/>
      <c r="AS117" s="55"/>
      <c r="AT117" s="55"/>
      <c r="AU117" s="55">
        <v>44445</v>
      </c>
      <c r="AV117" s="55">
        <v>44445</v>
      </c>
      <c r="AW117" s="55">
        <v>44445</v>
      </c>
      <c r="AX117" s="55"/>
      <c r="AY117" s="55"/>
      <c r="AZ117" s="55">
        <v>44445</v>
      </c>
      <c r="BA117" s="55">
        <v>44445</v>
      </c>
      <c r="BB117" s="55">
        <v>44445</v>
      </c>
      <c r="BC117" s="55"/>
      <c r="BD117" s="55"/>
      <c r="BE117" s="55"/>
      <c r="BF117" s="55"/>
      <c r="BG117" s="55">
        <v>44445</v>
      </c>
      <c r="BH117" s="55"/>
      <c r="BI117" s="55"/>
      <c r="BJ117" s="55"/>
    </row>
    <row r="118" spans="1:62" x14ac:dyDescent="0.4">
      <c r="A118" s="5">
        <f t="shared" si="2"/>
        <v>34</v>
      </c>
      <c r="B118" s="3" t="s">
        <v>114</v>
      </c>
      <c r="C118" s="56">
        <v>44220</v>
      </c>
      <c r="D118" s="55">
        <v>44494</v>
      </c>
      <c r="E118" s="56">
        <v>44218</v>
      </c>
      <c r="F118" s="55">
        <v>44453</v>
      </c>
      <c r="G118" s="55">
        <v>44494</v>
      </c>
      <c r="H118" s="55"/>
      <c r="I118" s="55">
        <v>44494</v>
      </c>
      <c r="J118" s="55">
        <v>44494</v>
      </c>
      <c r="K118" s="55">
        <v>44494</v>
      </c>
      <c r="L118" s="55">
        <v>44504</v>
      </c>
      <c r="M118" s="56">
        <v>44218</v>
      </c>
      <c r="N118" s="55">
        <v>44497</v>
      </c>
      <c r="O118" s="55"/>
      <c r="P118" s="55">
        <v>44475</v>
      </c>
      <c r="Q118" s="55">
        <v>44468</v>
      </c>
      <c r="R118" s="55"/>
      <c r="S118" s="55"/>
      <c r="T118" s="55">
        <v>44441</v>
      </c>
      <c r="U118" s="55">
        <v>44467</v>
      </c>
      <c r="V118" s="55">
        <v>44468</v>
      </c>
      <c r="W118" s="55"/>
      <c r="X118" s="55"/>
      <c r="Y118" s="55"/>
      <c r="Z118" s="55">
        <v>44218</v>
      </c>
      <c r="AA118" s="55">
        <v>44497</v>
      </c>
      <c r="AB118" s="55">
        <v>44497</v>
      </c>
      <c r="AC118" s="55">
        <v>44504</v>
      </c>
      <c r="AD118" s="55">
        <v>44494</v>
      </c>
      <c r="AE118" s="55">
        <v>44445</v>
      </c>
      <c r="AF118" s="55"/>
      <c r="AG118" s="55"/>
      <c r="AH118" s="56">
        <v>44218</v>
      </c>
      <c r="AI118" s="55"/>
      <c r="AJ118" s="55">
        <v>44453</v>
      </c>
      <c r="AK118" s="55"/>
      <c r="AL118" s="55"/>
      <c r="AM118" s="55"/>
      <c r="AN118" s="55"/>
      <c r="AO118" s="55"/>
      <c r="AP118" s="55"/>
      <c r="AQ118" s="55">
        <v>44441</v>
      </c>
      <c r="AR118" s="56">
        <v>44218</v>
      </c>
      <c r="AS118" s="55"/>
      <c r="AT118" s="55"/>
      <c r="AU118" s="56">
        <v>44218</v>
      </c>
      <c r="AV118" s="55"/>
      <c r="AW118" s="55">
        <v>44441</v>
      </c>
      <c r="AX118" s="55">
        <v>44495</v>
      </c>
      <c r="AY118" s="55">
        <v>44494</v>
      </c>
      <c r="AZ118" s="55"/>
      <c r="BA118" s="55">
        <v>44494</v>
      </c>
      <c r="BB118" s="55">
        <v>44494</v>
      </c>
      <c r="BC118" s="55"/>
      <c r="BD118" s="55"/>
      <c r="BE118" s="55">
        <v>44453</v>
      </c>
      <c r="BF118" s="55">
        <v>44218</v>
      </c>
      <c r="BG118" s="55"/>
      <c r="BH118" s="55"/>
      <c r="BI118" s="55"/>
      <c r="BJ118" s="55"/>
    </row>
    <row r="119" spans="1:62" x14ac:dyDescent="0.4">
      <c r="A119" s="5">
        <f t="shared" si="2"/>
        <v>1</v>
      </c>
      <c r="B119" s="3" t="s">
        <v>115</v>
      </c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AZ119" s="55"/>
      <c r="BA119" s="55"/>
      <c r="BB119" s="55"/>
      <c r="BC119" s="55"/>
      <c r="BD119" s="55"/>
      <c r="BE119" s="55"/>
      <c r="BF119" s="55"/>
      <c r="BG119" s="55"/>
      <c r="BH119" s="55"/>
      <c r="BI119" s="55"/>
      <c r="BJ119" s="55">
        <v>44462</v>
      </c>
    </row>
    <row r="120" spans="1:62" x14ac:dyDescent="0.4">
      <c r="A120" s="5">
        <f t="shared" si="2"/>
        <v>42</v>
      </c>
      <c r="B120" s="3" t="s">
        <v>126</v>
      </c>
      <c r="C120" s="55">
        <v>44455</v>
      </c>
      <c r="D120" s="55">
        <v>44176</v>
      </c>
      <c r="E120" s="55">
        <v>44453</v>
      </c>
      <c r="F120" s="55">
        <v>44489</v>
      </c>
      <c r="G120" s="55">
        <v>44489</v>
      </c>
      <c r="H120" s="55">
        <v>44186</v>
      </c>
      <c r="I120" s="55">
        <v>44449</v>
      </c>
      <c r="J120" s="55">
        <v>44455</v>
      </c>
      <c r="K120" s="56">
        <v>44186</v>
      </c>
      <c r="L120" s="55">
        <v>44455</v>
      </c>
      <c r="M120" s="55">
        <v>44452</v>
      </c>
      <c r="N120" s="55">
        <v>44186</v>
      </c>
      <c r="O120" s="55"/>
      <c r="P120" s="55">
        <v>44487</v>
      </c>
      <c r="Q120" s="55">
        <v>44455</v>
      </c>
      <c r="R120" s="55"/>
      <c r="S120" s="55">
        <v>44182</v>
      </c>
      <c r="T120" s="55">
        <v>44183</v>
      </c>
      <c r="U120" s="55">
        <v>44182</v>
      </c>
      <c r="V120" s="55">
        <v>44182</v>
      </c>
      <c r="W120" s="55"/>
      <c r="X120" s="55">
        <v>44182</v>
      </c>
      <c r="Y120" s="55"/>
      <c r="Z120" s="56">
        <v>44020</v>
      </c>
      <c r="AA120" s="55">
        <v>44182</v>
      </c>
      <c r="AB120" s="55">
        <v>44176</v>
      </c>
      <c r="AC120" s="55">
        <v>44182</v>
      </c>
      <c r="AD120" s="55">
        <v>44181</v>
      </c>
      <c r="AE120" s="55">
        <v>44181</v>
      </c>
      <c r="AF120" s="55"/>
      <c r="AG120" s="55">
        <v>44489</v>
      </c>
      <c r="AH120" s="55">
        <v>44455</v>
      </c>
      <c r="AI120" s="55">
        <v>44179</v>
      </c>
      <c r="AJ120" s="55">
        <v>44179</v>
      </c>
      <c r="AK120" s="55">
        <v>44186</v>
      </c>
      <c r="AL120" s="55"/>
      <c r="AM120" s="55">
        <v>44455</v>
      </c>
      <c r="AN120" s="55"/>
      <c r="AO120" s="55"/>
      <c r="AP120" s="55"/>
      <c r="AQ120" s="55">
        <v>44462</v>
      </c>
      <c r="AR120" s="55"/>
      <c r="AS120" s="55"/>
      <c r="AT120" s="55"/>
      <c r="AU120" s="56">
        <v>44021</v>
      </c>
      <c r="AV120" s="55">
        <v>44182</v>
      </c>
      <c r="AW120" s="55">
        <v>44181</v>
      </c>
      <c r="AX120" s="55">
        <v>44452</v>
      </c>
      <c r="AY120" s="55">
        <v>44453</v>
      </c>
      <c r="AZ120" s="55"/>
      <c r="BA120" s="55">
        <v>44453</v>
      </c>
      <c r="BB120" s="55">
        <v>44455</v>
      </c>
      <c r="BC120" s="55"/>
      <c r="BD120" s="55"/>
      <c r="BE120" s="55">
        <v>44488</v>
      </c>
      <c r="BF120" s="55"/>
      <c r="BG120" s="56">
        <v>44021</v>
      </c>
      <c r="BH120" s="55">
        <v>44482</v>
      </c>
      <c r="BI120" s="55"/>
      <c r="BJ120" s="55"/>
    </row>
    <row r="121" spans="1:62" x14ac:dyDescent="0.4">
      <c r="A121" s="5">
        <f t="shared" si="2"/>
        <v>38</v>
      </c>
      <c r="B121" s="3" t="s">
        <v>122</v>
      </c>
      <c r="C121" s="55">
        <v>44385</v>
      </c>
      <c r="D121" s="55">
        <v>44498</v>
      </c>
      <c r="E121" s="55">
        <v>44498</v>
      </c>
      <c r="F121" s="55">
        <v>44498</v>
      </c>
      <c r="G121" s="55">
        <v>44441</v>
      </c>
      <c r="H121" s="55">
        <v>44477</v>
      </c>
      <c r="I121" s="55">
        <v>44385</v>
      </c>
      <c r="J121" s="55">
        <v>44454</v>
      </c>
      <c r="K121" s="55">
        <v>44336</v>
      </c>
      <c r="L121" s="55">
        <v>44327</v>
      </c>
      <c r="M121" s="55">
        <v>44477</v>
      </c>
      <c r="N121" s="55">
        <v>44498</v>
      </c>
      <c r="O121" s="55"/>
      <c r="P121" s="55">
        <v>44475</v>
      </c>
      <c r="Q121" s="55">
        <v>44498</v>
      </c>
      <c r="R121" s="55">
        <v>44440</v>
      </c>
      <c r="S121" s="55">
        <v>44477</v>
      </c>
      <c r="T121" s="55">
        <v>44498</v>
      </c>
      <c r="U121" s="55">
        <v>44475</v>
      </c>
      <c r="V121" s="55"/>
      <c r="W121" s="55"/>
      <c r="X121" s="55">
        <v>44475</v>
      </c>
      <c r="Y121" s="55"/>
      <c r="Z121" s="55">
        <v>44439</v>
      </c>
      <c r="AA121" s="55">
        <v>44412</v>
      </c>
      <c r="AB121" s="55">
        <v>44498</v>
      </c>
      <c r="AC121" s="55">
        <v>44498</v>
      </c>
      <c r="AD121" s="55">
        <v>44498</v>
      </c>
      <c r="AE121" s="55">
        <v>44475</v>
      </c>
      <c r="AF121" s="55"/>
      <c r="AG121" s="55">
        <v>44502</v>
      </c>
      <c r="AH121" s="55">
        <v>44498</v>
      </c>
      <c r="AI121" s="55">
        <v>44380</v>
      </c>
      <c r="AJ121" s="55">
        <v>44380</v>
      </c>
      <c r="AK121" s="55">
        <v>44426</v>
      </c>
      <c r="AL121" s="55">
        <v>44498</v>
      </c>
      <c r="AM121" s="55">
        <v>44498</v>
      </c>
      <c r="AN121" s="55"/>
      <c r="AO121" s="55"/>
      <c r="AP121" s="55"/>
      <c r="AQ121" s="55"/>
      <c r="AR121" s="55"/>
      <c r="AS121" s="55"/>
      <c r="AT121" s="55"/>
      <c r="AU121" s="55">
        <v>44404</v>
      </c>
      <c r="AV121" s="55"/>
      <c r="AW121" s="55">
        <v>44475</v>
      </c>
      <c r="AX121" s="55">
        <v>44336</v>
      </c>
      <c r="AY121" s="55">
        <v>44498</v>
      </c>
      <c r="AZ121" s="55"/>
      <c r="BA121" s="55">
        <v>44385</v>
      </c>
      <c r="BB121" s="55">
        <v>44498</v>
      </c>
      <c r="BC121" s="55"/>
      <c r="BD121" s="55"/>
      <c r="BE121" s="55"/>
      <c r="BF121" s="55"/>
      <c r="BG121" s="55"/>
      <c r="BH121" s="55"/>
      <c r="BI121" s="55"/>
      <c r="BJ121" s="55"/>
    </row>
    <row r="122" spans="1:62" x14ac:dyDescent="0.4">
      <c r="A122" s="5">
        <f t="shared" si="2"/>
        <v>38</v>
      </c>
      <c r="B122" s="3" t="s">
        <v>116</v>
      </c>
      <c r="C122" s="55">
        <v>44449</v>
      </c>
      <c r="D122" s="55">
        <v>44369</v>
      </c>
      <c r="E122" s="55">
        <v>44470</v>
      </c>
      <c r="F122" s="55">
        <v>44470</v>
      </c>
      <c r="G122" s="55">
        <v>44453</v>
      </c>
      <c r="H122" s="55">
        <v>44501</v>
      </c>
      <c r="I122" s="55">
        <v>44264</v>
      </c>
      <c r="J122" s="55">
        <v>44439</v>
      </c>
      <c r="K122" s="55">
        <v>44433</v>
      </c>
      <c r="L122" s="55">
        <v>44263</v>
      </c>
      <c r="M122" s="55">
        <v>44447</v>
      </c>
      <c r="N122" s="55">
        <v>44169</v>
      </c>
      <c r="O122" s="55">
        <v>44264</v>
      </c>
      <c r="P122" s="55">
        <v>44376</v>
      </c>
      <c r="Q122" s="55">
        <v>44362</v>
      </c>
      <c r="R122" s="55">
        <v>44264</v>
      </c>
      <c r="S122" s="55">
        <v>44264</v>
      </c>
      <c r="T122" s="55">
        <v>44309</v>
      </c>
      <c r="U122" s="55">
        <v>44502</v>
      </c>
      <c r="V122" s="55">
        <v>44354</v>
      </c>
      <c r="W122" s="55"/>
      <c r="X122" s="55"/>
      <c r="Y122" s="55"/>
      <c r="Z122" s="55">
        <v>44190</v>
      </c>
      <c r="AA122" s="55">
        <v>44263</v>
      </c>
      <c r="AB122" s="55">
        <v>44264</v>
      </c>
      <c r="AC122" s="55">
        <v>44265</v>
      </c>
      <c r="AD122" s="55">
        <v>44466</v>
      </c>
      <c r="AE122" s="55"/>
      <c r="AF122" s="55"/>
      <c r="AG122" s="55">
        <v>44504</v>
      </c>
      <c r="AH122" s="55">
        <v>44482</v>
      </c>
      <c r="AI122" s="55">
        <v>44190</v>
      </c>
      <c r="AJ122" s="55">
        <v>44190</v>
      </c>
      <c r="AK122" s="55"/>
      <c r="AL122" s="55"/>
      <c r="AM122" s="55"/>
      <c r="AN122" s="55"/>
      <c r="AO122" s="55"/>
      <c r="AP122" s="55">
        <v>44328</v>
      </c>
      <c r="AQ122" s="55"/>
      <c r="AR122" s="55">
        <v>44504</v>
      </c>
      <c r="AS122" s="55"/>
      <c r="AT122" s="55"/>
      <c r="AU122" s="55">
        <v>44502</v>
      </c>
      <c r="AV122" s="55">
        <v>44489</v>
      </c>
      <c r="AW122" s="55">
        <v>44502</v>
      </c>
      <c r="AX122" s="55"/>
      <c r="AY122" s="55">
        <v>44489</v>
      </c>
      <c r="AZ122" s="55"/>
      <c r="BA122" s="55">
        <v>44454</v>
      </c>
      <c r="BB122" s="55">
        <v>44441</v>
      </c>
      <c r="BC122" s="55"/>
      <c r="BD122" s="55"/>
      <c r="BE122" s="55"/>
      <c r="BF122" s="55"/>
      <c r="BG122" s="55">
        <v>44504</v>
      </c>
      <c r="BH122" s="55"/>
      <c r="BI122" s="55"/>
      <c r="BJ122" s="55"/>
    </row>
    <row r="123" spans="1:62" x14ac:dyDescent="0.4">
      <c r="A123" s="5">
        <f t="shared" si="2"/>
        <v>42</v>
      </c>
      <c r="B123" s="3" t="s">
        <v>118</v>
      </c>
      <c r="C123" s="55">
        <v>44481</v>
      </c>
      <c r="D123" s="55">
        <v>44488</v>
      </c>
      <c r="E123" s="55">
        <v>44495</v>
      </c>
      <c r="F123" s="55">
        <v>44483</v>
      </c>
      <c r="G123" s="55">
        <v>44483</v>
      </c>
      <c r="H123" s="55">
        <v>44298</v>
      </c>
      <c r="I123" s="55">
        <v>44474</v>
      </c>
      <c r="J123" s="55">
        <v>44481</v>
      </c>
      <c r="K123" s="55"/>
      <c r="L123" s="55">
        <v>44490</v>
      </c>
      <c r="M123" s="55">
        <v>44483</v>
      </c>
      <c r="N123" s="55">
        <v>44299</v>
      </c>
      <c r="O123" s="55"/>
      <c r="P123" s="55">
        <v>44490</v>
      </c>
      <c r="Q123" s="55">
        <v>44490</v>
      </c>
      <c r="R123" s="55">
        <v>44490</v>
      </c>
      <c r="S123" s="55">
        <v>44483</v>
      </c>
      <c r="T123" s="55">
        <v>44487</v>
      </c>
      <c r="U123" s="55">
        <v>44300</v>
      </c>
      <c r="V123" s="55">
        <v>44300</v>
      </c>
      <c r="W123" s="55"/>
      <c r="X123" s="55"/>
      <c r="Y123" s="55">
        <v>44494</v>
      </c>
      <c r="Z123" s="55">
        <v>44482</v>
      </c>
      <c r="AA123" s="55">
        <v>44477</v>
      </c>
      <c r="AB123" s="55">
        <v>44481</v>
      </c>
      <c r="AC123" s="55">
        <v>44491</v>
      </c>
      <c r="AD123" s="55">
        <v>44193</v>
      </c>
      <c r="AE123" s="55">
        <v>44483</v>
      </c>
      <c r="AF123" s="55"/>
      <c r="AG123" s="55">
        <v>44495</v>
      </c>
      <c r="AH123" s="55">
        <v>44369</v>
      </c>
      <c r="AI123" s="55">
        <v>44482</v>
      </c>
      <c r="AJ123" s="55">
        <v>44482</v>
      </c>
      <c r="AK123" s="55"/>
      <c r="AL123" s="55"/>
      <c r="AM123" s="55"/>
      <c r="AN123" s="55"/>
      <c r="AO123" s="55"/>
      <c r="AP123" s="55">
        <v>44469</v>
      </c>
      <c r="AQ123" s="55"/>
      <c r="AR123" s="55">
        <v>44362</v>
      </c>
      <c r="AS123" s="55">
        <v>44362</v>
      </c>
      <c r="AT123" s="55"/>
      <c r="AU123" s="55">
        <v>44494</v>
      </c>
      <c r="AV123" s="55"/>
      <c r="AW123" s="55">
        <v>44495</v>
      </c>
      <c r="AX123" s="55">
        <v>44481</v>
      </c>
      <c r="AY123" s="55">
        <v>44362</v>
      </c>
      <c r="AZ123" s="55"/>
      <c r="BA123" s="55">
        <v>44495</v>
      </c>
      <c r="BB123" s="55">
        <v>44490</v>
      </c>
      <c r="BC123" s="55"/>
      <c r="BD123" s="55"/>
      <c r="BE123" s="55">
        <v>44362</v>
      </c>
      <c r="BF123" s="55"/>
      <c r="BG123" s="55">
        <v>44362</v>
      </c>
      <c r="BH123" s="55">
        <v>44193</v>
      </c>
      <c r="BI123" s="55">
        <v>44193</v>
      </c>
      <c r="BJ123" s="55"/>
    </row>
    <row r="124" spans="1:62" x14ac:dyDescent="0.4">
      <c r="A124" s="5">
        <f t="shared" si="2"/>
        <v>37</v>
      </c>
      <c r="B124" s="3" t="s">
        <v>129</v>
      </c>
      <c r="C124" s="55">
        <v>44494</v>
      </c>
      <c r="D124" s="55">
        <v>44493</v>
      </c>
      <c r="E124" s="55">
        <v>44491</v>
      </c>
      <c r="F124" s="55">
        <v>44490</v>
      </c>
      <c r="G124" s="55">
        <v>44493</v>
      </c>
      <c r="H124" s="55">
        <v>44413</v>
      </c>
      <c r="I124" s="55">
        <v>44491</v>
      </c>
      <c r="J124" s="55">
        <v>44491</v>
      </c>
      <c r="K124" s="55">
        <v>44493</v>
      </c>
      <c r="L124" s="55">
        <v>44490</v>
      </c>
      <c r="M124" s="55"/>
      <c r="N124" s="55">
        <v>44412</v>
      </c>
      <c r="O124" s="55"/>
      <c r="P124" s="55">
        <v>44412</v>
      </c>
      <c r="Q124" s="55">
        <v>44490</v>
      </c>
      <c r="R124" s="55"/>
      <c r="S124" s="55">
        <v>44494</v>
      </c>
      <c r="T124" s="55">
        <v>44494</v>
      </c>
      <c r="U124" s="55">
        <v>44494</v>
      </c>
      <c r="V124" s="55">
        <v>44494</v>
      </c>
      <c r="W124" s="55"/>
      <c r="X124" s="55">
        <v>44494</v>
      </c>
      <c r="Y124" s="55">
        <v>44495</v>
      </c>
      <c r="Z124" s="55">
        <v>44494</v>
      </c>
      <c r="AA124" s="55">
        <v>44410</v>
      </c>
      <c r="AB124" s="55">
        <v>44407</v>
      </c>
      <c r="AC124" s="55">
        <v>44490</v>
      </c>
      <c r="AD124" s="55"/>
      <c r="AE124" s="55"/>
      <c r="AF124" s="55"/>
      <c r="AG124" s="55">
        <v>44491</v>
      </c>
      <c r="AH124" s="56">
        <v>44295</v>
      </c>
      <c r="AI124" s="55">
        <v>44494</v>
      </c>
      <c r="AJ124" s="55">
        <v>44494</v>
      </c>
      <c r="AK124" s="55"/>
      <c r="AL124" s="55"/>
      <c r="AM124" s="55">
        <v>44488</v>
      </c>
      <c r="AN124" s="55"/>
      <c r="AO124" s="55"/>
      <c r="AP124" s="55">
        <v>44494</v>
      </c>
      <c r="AQ124" s="55">
        <v>44406</v>
      </c>
      <c r="AR124" s="55">
        <v>44494</v>
      </c>
      <c r="AS124" s="55">
        <v>44494</v>
      </c>
      <c r="AT124" s="55"/>
      <c r="AU124" s="55">
        <v>44483</v>
      </c>
      <c r="AV124" s="55"/>
      <c r="AW124" s="55">
        <v>44405</v>
      </c>
      <c r="AX124" s="55"/>
      <c r="AY124" s="55"/>
      <c r="AZ124" s="55"/>
      <c r="BA124" s="55"/>
      <c r="BB124" s="55">
        <v>44490</v>
      </c>
      <c r="BC124" s="55"/>
      <c r="BD124" s="55"/>
      <c r="BE124" s="55"/>
      <c r="BF124" s="55"/>
      <c r="BG124" s="55">
        <v>44483</v>
      </c>
      <c r="BH124" s="55">
        <v>44495</v>
      </c>
      <c r="BI124" s="55"/>
      <c r="BJ124" s="55"/>
    </row>
    <row r="125" spans="1:62" x14ac:dyDescent="0.4">
      <c r="A125" s="5">
        <f t="shared" si="2"/>
        <v>18</v>
      </c>
      <c r="B125" s="3" t="s">
        <v>130</v>
      </c>
      <c r="C125" s="56">
        <v>44027</v>
      </c>
      <c r="D125" s="56">
        <v>44027</v>
      </c>
      <c r="E125" s="56">
        <v>44174</v>
      </c>
      <c r="F125" s="55"/>
      <c r="G125" s="55"/>
      <c r="H125" s="55">
        <v>44139</v>
      </c>
      <c r="I125" s="56">
        <v>44027</v>
      </c>
      <c r="J125" s="55"/>
      <c r="K125" s="55"/>
      <c r="L125" s="56">
        <v>43984</v>
      </c>
      <c r="M125" s="55"/>
      <c r="N125" s="55">
        <v>44425</v>
      </c>
      <c r="O125" s="55"/>
      <c r="P125" s="56">
        <v>44134</v>
      </c>
      <c r="Q125" s="55"/>
      <c r="R125" s="55"/>
      <c r="S125" s="56">
        <v>44133</v>
      </c>
      <c r="T125" s="55"/>
      <c r="U125" s="55"/>
      <c r="V125" s="55">
        <v>44406</v>
      </c>
      <c r="W125" s="55"/>
      <c r="X125" s="55"/>
      <c r="Y125" s="55"/>
      <c r="Z125" s="55"/>
      <c r="AA125" s="55"/>
      <c r="AB125" s="56">
        <v>44127</v>
      </c>
      <c r="AC125" s="56">
        <v>44027</v>
      </c>
      <c r="AD125" s="55"/>
      <c r="AE125" s="55"/>
      <c r="AF125" s="55"/>
      <c r="AG125" s="55"/>
      <c r="AH125" s="55"/>
      <c r="AI125" s="55"/>
      <c r="AJ125" s="56">
        <v>44133</v>
      </c>
      <c r="AK125" s="55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6">
        <v>43984</v>
      </c>
      <c r="AZ125" s="56">
        <v>44138</v>
      </c>
      <c r="BA125" s="56">
        <v>44125</v>
      </c>
      <c r="BB125" s="56">
        <v>44176</v>
      </c>
      <c r="BC125" s="56">
        <v>44137</v>
      </c>
      <c r="BD125" s="55"/>
      <c r="BE125" s="55"/>
      <c r="BF125" s="55"/>
      <c r="BG125" s="55"/>
      <c r="BH125" s="55"/>
      <c r="BI125" s="55"/>
      <c r="BJ125" s="55"/>
    </row>
    <row r="126" spans="1:62" x14ac:dyDescent="0.4">
      <c r="A126" s="5">
        <f t="shared" si="2"/>
        <v>34</v>
      </c>
      <c r="B126" s="3" t="s">
        <v>119</v>
      </c>
      <c r="C126" s="55"/>
      <c r="D126" s="55">
        <v>44391</v>
      </c>
      <c r="E126" s="55">
        <v>44398</v>
      </c>
      <c r="F126" s="55">
        <v>44470</v>
      </c>
      <c r="G126" s="55">
        <v>44475</v>
      </c>
      <c r="H126" s="55">
        <v>44391</v>
      </c>
      <c r="I126" s="55">
        <v>44392</v>
      </c>
      <c r="J126" s="55">
        <v>44469</v>
      </c>
      <c r="K126" s="55">
        <v>44393</v>
      </c>
      <c r="L126" s="55">
        <v>44469</v>
      </c>
      <c r="M126" s="55">
        <v>44462</v>
      </c>
      <c r="N126" s="55">
        <v>44392</v>
      </c>
      <c r="O126" s="55">
        <v>44398</v>
      </c>
      <c r="P126" s="55">
        <v>44391</v>
      </c>
      <c r="Q126" s="55">
        <v>44363</v>
      </c>
      <c r="R126" s="55"/>
      <c r="S126" s="55">
        <v>44384</v>
      </c>
      <c r="T126" s="55">
        <v>44398</v>
      </c>
      <c r="U126" s="55">
        <v>44384</v>
      </c>
      <c r="V126" s="55">
        <v>44398</v>
      </c>
      <c r="W126" s="55"/>
      <c r="X126" s="55"/>
      <c r="Y126" s="55">
        <v>44399</v>
      </c>
      <c r="Z126" s="55"/>
      <c r="AA126" s="55">
        <v>44391</v>
      </c>
      <c r="AB126" s="55">
        <v>44391</v>
      </c>
      <c r="AC126" s="55">
        <v>44396</v>
      </c>
      <c r="AD126" s="55">
        <v>44393</v>
      </c>
      <c r="AE126" s="55"/>
      <c r="AF126" s="55"/>
      <c r="AG126" s="55">
        <v>44397</v>
      </c>
      <c r="AH126" s="55">
        <v>44391</v>
      </c>
      <c r="AI126" s="55"/>
      <c r="AJ126" s="55">
        <v>44391</v>
      </c>
      <c r="AK126" s="55"/>
      <c r="AL126" s="55"/>
      <c r="AM126" s="55">
        <v>44396</v>
      </c>
      <c r="AN126" s="55"/>
      <c r="AO126" s="55"/>
      <c r="AP126" s="55">
        <v>44391</v>
      </c>
      <c r="AQ126" s="55">
        <v>44391</v>
      </c>
      <c r="AR126" s="55"/>
      <c r="AS126" s="55"/>
      <c r="AT126" s="55"/>
      <c r="AU126" s="55">
        <v>44398</v>
      </c>
      <c r="AV126" s="55"/>
      <c r="AW126" s="55"/>
      <c r="AX126" s="55"/>
      <c r="AY126" s="55">
        <v>44391</v>
      </c>
      <c r="AZ126" s="55"/>
      <c r="BA126" s="55">
        <v>44398</v>
      </c>
      <c r="BB126" s="55">
        <v>44391</v>
      </c>
      <c r="BC126" s="55"/>
      <c r="BD126" s="55"/>
      <c r="BE126" s="55"/>
      <c r="BF126" s="55"/>
      <c r="BG126" s="55">
        <v>44391</v>
      </c>
      <c r="BH126" s="55"/>
      <c r="BI126" s="55"/>
      <c r="BJ126" s="55"/>
    </row>
    <row r="127" spans="1:62" x14ac:dyDescent="0.4">
      <c r="A127" s="5">
        <f t="shared" si="2"/>
        <v>27</v>
      </c>
      <c r="B127" s="3" t="s">
        <v>131</v>
      </c>
      <c r="C127" s="56">
        <v>43805</v>
      </c>
      <c r="D127" s="55">
        <v>44175</v>
      </c>
      <c r="E127" s="56">
        <v>43350</v>
      </c>
      <c r="F127" s="56">
        <v>43370</v>
      </c>
      <c r="G127" s="56">
        <v>42885</v>
      </c>
      <c r="H127" s="56">
        <v>43346</v>
      </c>
      <c r="I127" s="55">
        <v>44175</v>
      </c>
      <c r="J127" s="56">
        <v>43070</v>
      </c>
      <c r="K127" s="56">
        <v>43790</v>
      </c>
      <c r="L127" s="56">
        <v>43375</v>
      </c>
      <c r="M127" s="56">
        <v>43346</v>
      </c>
      <c r="N127" s="56">
        <v>43791</v>
      </c>
      <c r="O127" s="55"/>
      <c r="P127" s="56">
        <v>42793</v>
      </c>
      <c r="Q127" s="55"/>
      <c r="R127" s="55"/>
      <c r="S127" s="56">
        <v>43070</v>
      </c>
      <c r="T127" s="56">
        <v>43790</v>
      </c>
      <c r="U127" s="56">
        <v>43783</v>
      </c>
      <c r="V127" s="56">
        <v>44054</v>
      </c>
      <c r="W127" s="55"/>
      <c r="X127" s="55"/>
      <c r="Y127" s="56">
        <v>43378</v>
      </c>
      <c r="Z127" s="55"/>
      <c r="AA127" s="56">
        <v>43788</v>
      </c>
      <c r="AB127" s="56">
        <v>43578</v>
      </c>
      <c r="AC127" s="56">
        <v>42880</v>
      </c>
      <c r="AD127" s="56">
        <v>43853</v>
      </c>
      <c r="AE127" s="55"/>
      <c r="AF127" s="55"/>
      <c r="AG127" s="55"/>
      <c r="AH127" s="55"/>
      <c r="AI127" s="56">
        <v>43815</v>
      </c>
      <c r="AJ127" s="56">
        <v>43815</v>
      </c>
      <c r="AK127" s="55"/>
      <c r="AL127" s="55"/>
      <c r="AM127" s="55"/>
      <c r="AN127" s="55"/>
      <c r="AO127" s="55"/>
      <c r="AP127" s="55"/>
      <c r="AQ127" s="56">
        <v>43791</v>
      </c>
      <c r="AR127" s="55"/>
      <c r="AS127" s="55"/>
      <c r="AT127" s="55"/>
      <c r="AU127" s="56">
        <v>43381</v>
      </c>
      <c r="AV127" s="55"/>
      <c r="AW127" s="55"/>
      <c r="AX127" s="55"/>
      <c r="AY127" s="55"/>
      <c r="AZ127" s="55"/>
      <c r="BA127" s="55"/>
      <c r="BB127" s="56">
        <v>43829</v>
      </c>
      <c r="BC127" s="55"/>
      <c r="BD127" s="55"/>
      <c r="BE127" s="55"/>
      <c r="BF127" s="55"/>
      <c r="BG127" s="55"/>
      <c r="BH127" s="55"/>
      <c r="BI127" s="55"/>
      <c r="BJ127" s="55"/>
    </row>
    <row r="128" spans="1:62" x14ac:dyDescent="0.4">
      <c r="A128" s="5">
        <f t="shared" si="2"/>
        <v>26</v>
      </c>
      <c r="B128" s="3" t="s">
        <v>128</v>
      </c>
      <c r="C128" s="55">
        <v>44398</v>
      </c>
      <c r="D128" s="55">
        <v>44188</v>
      </c>
      <c r="E128" s="55">
        <v>44398</v>
      </c>
      <c r="F128" s="55">
        <v>44489</v>
      </c>
      <c r="G128" s="55"/>
      <c r="H128" s="55"/>
      <c r="I128" s="55">
        <v>44223</v>
      </c>
      <c r="J128" s="55">
        <v>44490</v>
      </c>
      <c r="K128" s="55">
        <v>44383</v>
      </c>
      <c r="L128" s="55">
        <v>44403</v>
      </c>
      <c r="M128" s="55">
        <v>44490</v>
      </c>
      <c r="N128" s="55">
        <v>44187</v>
      </c>
      <c r="O128" s="55"/>
      <c r="P128" s="55">
        <v>44188</v>
      </c>
      <c r="Q128" s="55">
        <v>44399</v>
      </c>
      <c r="R128" s="55"/>
      <c r="S128" s="55">
        <v>44188</v>
      </c>
      <c r="T128" s="55">
        <v>44187</v>
      </c>
      <c r="U128" s="55">
        <v>44188</v>
      </c>
      <c r="V128" s="55">
        <v>44188</v>
      </c>
      <c r="W128" s="55"/>
      <c r="X128" s="55"/>
      <c r="Y128" s="55"/>
      <c r="Z128" s="55">
        <v>44188</v>
      </c>
      <c r="AA128" s="55">
        <v>44413</v>
      </c>
      <c r="AB128" s="55">
        <v>44376</v>
      </c>
      <c r="AC128" s="55">
        <v>44399</v>
      </c>
      <c r="AD128" s="55">
        <v>44482</v>
      </c>
      <c r="AE128" s="55"/>
      <c r="AF128" s="55"/>
      <c r="AG128" s="55"/>
      <c r="AH128" s="55"/>
      <c r="AI128" s="55">
        <v>44188</v>
      </c>
      <c r="AJ128" s="55">
        <v>44188</v>
      </c>
      <c r="AK128" s="55"/>
      <c r="AL128" s="55"/>
      <c r="AM128" s="55"/>
      <c r="AN128" s="55"/>
      <c r="AO128" s="55"/>
      <c r="AP128" s="55"/>
      <c r="AQ128" s="55"/>
      <c r="AR128" s="55"/>
      <c r="AS128" s="55"/>
      <c r="AT128" s="55"/>
      <c r="AU128" s="55">
        <v>44398</v>
      </c>
      <c r="AV128" s="55"/>
      <c r="AW128" s="55"/>
      <c r="AX128" s="55">
        <v>44482</v>
      </c>
      <c r="AY128" s="55"/>
      <c r="AZ128" s="55"/>
      <c r="BA128" s="55"/>
      <c r="BB128" s="55"/>
      <c r="BC128" s="55"/>
      <c r="BD128" s="55"/>
      <c r="BE128" s="55"/>
      <c r="BF128" s="55"/>
      <c r="BG128" s="55">
        <v>44398</v>
      </c>
      <c r="BH128" s="55"/>
      <c r="BI128" s="55"/>
      <c r="BJ128" s="55"/>
    </row>
    <row r="129" spans="1:62" x14ac:dyDescent="0.4">
      <c r="A129" s="5">
        <f t="shared" si="2"/>
        <v>26</v>
      </c>
      <c r="B129" s="3" t="s">
        <v>132</v>
      </c>
      <c r="C129" s="56">
        <v>44166</v>
      </c>
      <c r="D129" s="55">
        <v>44166</v>
      </c>
      <c r="E129" s="56">
        <v>44166</v>
      </c>
      <c r="F129" s="56">
        <v>44166</v>
      </c>
      <c r="G129" s="56">
        <v>44166</v>
      </c>
      <c r="H129" s="55"/>
      <c r="I129" s="55">
        <v>44166</v>
      </c>
      <c r="J129" s="56">
        <v>44166</v>
      </c>
      <c r="K129" s="56">
        <v>44179</v>
      </c>
      <c r="L129" s="55">
        <v>44166</v>
      </c>
      <c r="M129" s="56">
        <v>44166</v>
      </c>
      <c r="N129" s="55">
        <v>44166</v>
      </c>
      <c r="O129" s="55"/>
      <c r="P129" s="55">
        <v>44166</v>
      </c>
      <c r="Q129" s="55"/>
      <c r="R129" s="55"/>
      <c r="S129" s="55">
        <v>44166</v>
      </c>
      <c r="T129" s="55">
        <v>44166</v>
      </c>
      <c r="U129" s="55">
        <v>44166</v>
      </c>
      <c r="V129" s="55">
        <v>44166</v>
      </c>
      <c r="W129" s="55"/>
      <c r="X129" s="55"/>
      <c r="Y129" s="55"/>
      <c r="Z129" s="55"/>
      <c r="AA129" s="55"/>
      <c r="AB129" s="55">
        <v>44166</v>
      </c>
      <c r="AC129" s="55">
        <v>44166</v>
      </c>
      <c r="AD129" s="55"/>
      <c r="AE129" s="55">
        <v>44166</v>
      </c>
      <c r="AF129" s="55"/>
      <c r="AG129" s="55"/>
      <c r="AH129" s="56">
        <v>44166</v>
      </c>
      <c r="AI129" s="55">
        <v>44166</v>
      </c>
      <c r="AJ129" s="55">
        <v>44166</v>
      </c>
      <c r="AK129" s="55"/>
      <c r="AL129" s="55"/>
      <c r="AM129" s="55"/>
      <c r="AN129" s="55"/>
      <c r="AO129" s="55"/>
      <c r="AP129" s="55"/>
      <c r="AQ129" s="55"/>
      <c r="AR129" s="55"/>
      <c r="AS129" s="55"/>
      <c r="AT129" s="55"/>
      <c r="AU129" s="55"/>
      <c r="AV129" s="55"/>
      <c r="AW129" s="56">
        <v>43383</v>
      </c>
      <c r="AX129" s="55"/>
      <c r="AY129" s="56">
        <v>44166</v>
      </c>
      <c r="AZ129" s="55"/>
      <c r="BA129" s="55"/>
      <c r="BB129" s="56">
        <v>44166</v>
      </c>
      <c r="BC129" s="55"/>
      <c r="BD129" s="55"/>
      <c r="BE129" s="55"/>
      <c r="BF129" s="55"/>
      <c r="BG129" s="55"/>
      <c r="BH129" s="55">
        <v>44166</v>
      </c>
      <c r="BI129" s="55"/>
      <c r="BJ129" s="55"/>
    </row>
    <row r="130" spans="1:62" x14ac:dyDescent="0.4">
      <c r="A130" s="5">
        <f t="shared" si="2"/>
        <v>34</v>
      </c>
      <c r="B130" s="3" t="s">
        <v>127</v>
      </c>
      <c r="C130" s="55">
        <v>44467</v>
      </c>
      <c r="D130" s="55">
        <v>44467</v>
      </c>
      <c r="E130" s="55">
        <v>44467</v>
      </c>
      <c r="F130" s="55">
        <v>44468</v>
      </c>
      <c r="G130" s="55">
        <v>44466</v>
      </c>
      <c r="H130" s="55">
        <v>44470</v>
      </c>
      <c r="I130" s="55">
        <v>44467</v>
      </c>
      <c r="J130" s="55">
        <v>44467</v>
      </c>
      <c r="K130" s="55">
        <v>44466</v>
      </c>
      <c r="L130" s="55">
        <v>44467</v>
      </c>
      <c r="M130" s="55">
        <v>44470</v>
      </c>
      <c r="N130" s="55">
        <v>44468</v>
      </c>
      <c r="O130" s="55"/>
      <c r="P130" s="55">
        <v>44468</v>
      </c>
      <c r="Q130" s="55">
        <v>44466</v>
      </c>
      <c r="R130" s="55"/>
      <c r="S130" s="55">
        <v>44468</v>
      </c>
      <c r="T130" s="55">
        <v>44456</v>
      </c>
      <c r="U130" s="55">
        <v>44468</v>
      </c>
      <c r="V130" s="55">
        <v>44467</v>
      </c>
      <c r="W130" s="55"/>
      <c r="X130" s="55"/>
      <c r="Y130" s="55"/>
      <c r="Z130" s="55"/>
      <c r="AA130" s="55">
        <v>44468</v>
      </c>
      <c r="AB130" s="55">
        <v>44468</v>
      </c>
      <c r="AC130" s="55">
        <v>44469</v>
      </c>
      <c r="AD130" s="55">
        <v>44470</v>
      </c>
      <c r="AE130" s="55">
        <v>44467</v>
      </c>
      <c r="AF130" s="55"/>
      <c r="AG130" s="55"/>
      <c r="AH130" s="55">
        <v>44468</v>
      </c>
      <c r="AI130" s="55"/>
      <c r="AJ130" s="55">
        <v>44469</v>
      </c>
      <c r="AK130" s="55"/>
      <c r="AL130" s="55"/>
      <c r="AM130" s="55">
        <v>44470</v>
      </c>
      <c r="AN130" s="55">
        <v>44469</v>
      </c>
      <c r="AO130" s="55"/>
      <c r="AP130" s="55"/>
      <c r="AQ130" s="55"/>
      <c r="AR130" s="55"/>
      <c r="AS130" s="55">
        <v>44467</v>
      </c>
      <c r="AT130" s="55"/>
      <c r="AU130" s="55">
        <v>44467</v>
      </c>
      <c r="AV130" s="55"/>
      <c r="AW130" s="55">
        <v>44467</v>
      </c>
      <c r="AX130" s="55">
        <v>44469</v>
      </c>
      <c r="AY130" s="55"/>
      <c r="AZ130" s="55"/>
      <c r="BA130" s="55"/>
      <c r="BB130" s="55">
        <v>44466</v>
      </c>
      <c r="BC130" s="55"/>
      <c r="BD130" s="55"/>
      <c r="BE130" s="55"/>
      <c r="BF130" s="55"/>
      <c r="BG130" s="55">
        <v>44468</v>
      </c>
      <c r="BH130" s="55">
        <v>44477</v>
      </c>
      <c r="BI130" s="55"/>
      <c r="BJ130" s="55"/>
    </row>
    <row r="131" spans="1:62" x14ac:dyDescent="0.4">
      <c r="A131" s="5">
        <f t="shared" si="2"/>
        <v>29</v>
      </c>
      <c r="B131" s="3" t="s">
        <v>124</v>
      </c>
      <c r="C131" s="55">
        <v>44501</v>
      </c>
      <c r="D131" s="55">
        <v>44376</v>
      </c>
      <c r="E131" s="55">
        <v>44497</v>
      </c>
      <c r="F131" s="55">
        <v>44448</v>
      </c>
      <c r="G131" s="55">
        <v>44446</v>
      </c>
      <c r="H131" s="55">
        <v>44489</v>
      </c>
      <c r="I131" s="55">
        <v>44448</v>
      </c>
      <c r="J131" s="55">
        <v>44503</v>
      </c>
      <c r="K131" s="55">
        <v>44442</v>
      </c>
      <c r="L131" s="55">
        <v>44462</v>
      </c>
      <c r="M131" s="55">
        <v>44497</v>
      </c>
      <c r="N131" s="55">
        <v>44490</v>
      </c>
      <c r="O131" s="55"/>
      <c r="P131" s="55"/>
      <c r="Q131" s="55">
        <v>44462</v>
      </c>
      <c r="R131" s="55"/>
      <c r="S131" s="55">
        <v>44462</v>
      </c>
      <c r="T131" s="55">
        <v>44462</v>
      </c>
      <c r="U131" s="55">
        <v>44452</v>
      </c>
      <c r="V131" s="55"/>
      <c r="W131" s="55"/>
      <c r="X131" s="55"/>
      <c r="Y131" s="55"/>
      <c r="Z131" s="55">
        <v>44462</v>
      </c>
      <c r="AA131" s="55"/>
      <c r="AB131" s="55">
        <v>44474</v>
      </c>
      <c r="AC131" s="55">
        <v>44462</v>
      </c>
      <c r="AD131" s="55"/>
      <c r="AE131" s="55"/>
      <c r="AF131" s="55"/>
      <c r="AG131" s="55"/>
      <c r="AH131" s="55">
        <v>44497</v>
      </c>
      <c r="AI131" s="55"/>
      <c r="AJ131" s="55">
        <v>44363</v>
      </c>
      <c r="AK131" s="55"/>
      <c r="AL131" s="55"/>
      <c r="AM131" s="55">
        <v>44446</v>
      </c>
      <c r="AN131" s="55"/>
      <c r="AO131" s="55"/>
      <c r="AP131" s="55">
        <v>44503</v>
      </c>
      <c r="AQ131" s="55"/>
      <c r="AR131" s="55"/>
      <c r="AS131" s="55">
        <v>44382</v>
      </c>
      <c r="AT131" s="55"/>
      <c r="AU131" s="55">
        <v>44501</v>
      </c>
      <c r="AV131" s="55"/>
      <c r="AW131" s="55">
        <v>44489</v>
      </c>
      <c r="AX131" s="55">
        <v>44462</v>
      </c>
      <c r="AY131" s="55">
        <v>44442</v>
      </c>
      <c r="AZ131" s="55"/>
      <c r="BA131" s="55"/>
      <c r="BB131" s="55">
        <v>44497</v>
      </c>
      <c r="BC131" s="55"/>
      <c r="BD131" s="55"/>
      <c r="BE131" s="55"/>
      <c r="BF131" s="55"/>
      <c r="BG131" s="55"/>
      <c r="BH131" s="55"/>
      <c r="BI131" s="55"/>
      <c r="BJ131" s="55"/>
    </row>
    <row r="132" spans="1:62" x14ac:dyDescent="0.4">
      <c r="A132" s="5">
        <f t="shared" si="2"/>
        <v>29</v>
      </c>
      <c r="B132" s="3" t="s">
        <v>125</v>
      </c>
      <c r="C132" s="55">
        <v>44495</v>
      </c>
      <c r="D132" s="55">
        <v>44495</v>
      </c>
      <c r="E132" s="55">
        <v>44495</v>
      </c>
      <c r="F132" s="56">
        <v>44069</v>
      </c>
      <c r="G132" s="55">
        <v>44490</v>
      </c>
      <c r="H132" s="56">
        <v>44092</v>
      </c>
      <c r="I132" s="56">
        <v>44062</v>
      </c>
      <c r="J132" s="55">
        <v>44495</v>
      </c>
      <c r="K132" s="55">
        <v>44490</v>
      </c>
      <c r="L132" s="55"/>
      <c r="M132" s="55">
        <v>44488</v>
      </c>
      <c r="N132" s="55">
        <v>44158</v>
      </c>
      <c r="O132" s="55">
        <v>44158</v>
      </c>
      <c r="P132" s="55">
        <v>44491</v>
      </c>
      <c r="Q132" s="55"/>
      <c r="R132" s="55"/>
      <c r="S132" s="55"/>
      <c r="T132" s="55">
        <v>44495</v>
      </c>
      <c r="U132" s="55">
        <v>44490</v>
      </c>
      <c r="V132" s="55">
        <v>44158</v>
      </c>
      <c r="W132" s="55"/>
      <c r="X132" s="55"/>
      <c r="Y132" s="55"/>
      <c r="Z132" s="55">
        <v>44158</v>
      </c>
      <c r="AA132" s="55">
        <v>44489</v>
      </c>
      <c r="AB132" s="55">
        <v>44158</v>
      </c>
      <c r="AC132" s="55">
        <v>44495</v>
      </c>
      <c r="AD132" s="55">
        <v>44491</v>
      </c>
      <c r="AE132" s="56">
        <v>44069</v>
      </c>
      <c r="AF132" s="55"/>
      <c r="AG132" s="55"/>
      <c r="AH132" s="55"/>
      <c r="AI132" s="55"/>
      <c r="AJ132" s="55">
        <v>44158</v>
      </c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>
        <v>44490</v>
      </c>
      <c r="AV132" s="55"/>
      <c r="AW132" s="55"/>
      <c r="AX132" s="55"/>
      <c r="AY132" s="55">
        <v>44495</v>
      </c>
      <c r="AZ132" s="55"/>
      <c r="BA132" s="55">
        <v>44490</v>
      </c>
      <c r="BB132" s="55">
        <v>44489</v>
      </c>
      <c r="BC132" s="55"/>
      <c r="BD132" s="55"/>
      <c r="BE132" s="55"/>
      <c r="BF132" s="55"/>
      <c r="BG132" s="55">
        <v>44490</v>
      </c>
      <c r="BH132" s="55">
        <v>44490</v>
      </c>
      <c r="BI132" s="55"/>
      <c r="BJ132" s="55"/>
    </row>
    <row r="133" spans="1:62" x14ac:dyDescent="0.4">
      <c r="A133" s="5">
        <f t="shared" si="2"/>
        <v>25</v>
      </c>
      <c r="B133" s="3" t="s">
        <v>133</v>
      </c>
      <c r="C133" s="56">
        <v>43348</v>
      </c>
      <c r="D133" s="56">
        <v>43349</v>
      </c>
      <c r="E133" s="56">
        <v>43354</v>
      </c>
      <c r="F133" s="56">
        <v>43370</v>
      </c>
      <c r="G133" s="56">
        <v>43343</v>
      </c>
      <c r="H133" s="55"/>
      <c r="I133" s="56">
        <v>43370</v>
      </c>
      <c r="J133" s="56">
        <v>43370</v>
      </c>
      <c r="K133" s="55"/>
      <c r="L133" s="56">
        <v>43343</v>
      </c>
      <c r="M133" s="56">
        <v>43343</v>
      </c>
      <c r="N133" s="56">
        <v>43375</v>
      </c>
      <c r="O133" s="56">
        <v>43370</v>
      </c>
      <c r="P133" s="55"/>
      <c r="Q133" s="56">
        <v>43346</v>
      </c>
      <c r="R133" s="55"/>
      <c r="S133" s="56">
        <v>43370</v>
      </c>
      <c r="T133" s="56">
        <v>43370</v>
      </c>
      <c r="U133" s="56">
        <v>43370</v>
      </c>
      <c r="V133" s="55"/>
      <c r="W133" s="55"/>
      <c r="X133" s="55"/>
      <c r="Y133" s="56">
        <v>43370</v>
      </c>
      <c r="Z133" s="55"/>
      <c r="AA133" s="55"/>
      <c r="AB133" s="56">
        <v>44133</v>
      </c>
      <c r="AC133" s="56">
        <v>43343</v>
      </c>
      <c r="AD133" s="56">
        <v>43326</v>
      </c>
      <c r="AE133" s="56">
        <v>43370</v>
      </c>
      <c r="AF133" s="55"/>
      <c r="AG133" s="55"/>
      <c r="AH133" s="55"/>
      <c r="AI133" s="55"/>
      <c r="AJ133" s="56">
        <v>44131</v>
      </c>
      <c r="AK133" s="55"/>
      <c r="AL133" s="55"/>
      <c r="AM133" s="56">
        <v>43552</v>
      </c>
      <c r="AN133" s="55"/>
      <c r="AO133" s="55"/>
      <c r="AP133" s="55"/>
      <c r="AQ133" s="55"/>
      <c r="AR133" s="55"/>
      <c r="AS133" s="55"/>
      <c r="AT133" s="55"/>
      <c r="AU133" s="56">
        <v>43370</v>
      </c>
      <c r="AV133" s="55"/>
      <c r="AW133" s="55"/>
      <c r="AX133" s="55"/>
      <c r="AY133" s="55"/>
      <c r="AZ133" s="55"/>
      <c r="BA133" s="55"/>
      <c r="BB133" s="56">
        <v>43521</v>
      </c>
      <c r="BC133" s="55"/>
      <c r="BD133" s="55"/>
      <c r="BE133" s="55"/>
      <c r="BF133" s="55"/>
      <c r="BG133" s="56">
        <v>43521</v>
      </c>
      <c r="BH133" s="55"/>
      <c r="BI133" s="55"/>
      <c r="BJ133" s="55"/>
    </row>
    <row r="134" spans="1:62" x14ac:dyDescent="0.4">
      <c r="A134" s="5">
        <f t="shared" ref="A134:A197" si="3">COUNT(C134:BJ134)</f>
        <v>29</v>
      </c>
      <c r="B134" s="3" t="s">
        <v>120</v>
      </c>
      <c r="C134" s="55"/>
      <c r="D134" s="55">
        <v>44497</v>
      </c>
      <c r="E134" s="56">
        <v>43350</v>
      </c>
      <c r="F134" s="56">
        <v>44193</v>
      </c>
      <c r="G134" s="55"/>
      <c r="H134" s="55"/>
      <c r="I134" s="55">
        <v>44494</v>
      </c>
      <c r="J134" s="55">
        <v>44494</v>
      </c>
      <c r="K134" s="55">
        <v>44494</v>
      </c>
      <c r="L134" s="55">
        <v>44494</v>
      </c>
      <c r="M134" s="55">
        <v>44497</v>
      </c>
      <c r="N134" s="55">
        <v>44194</v>
      </c>
      <c r="O134" s="55"/>
      <c r="P134" s="56">
        <v>43072</v>
      </c>
      <c r="Q134" s="55"/>
      <c r="R134" s="55"/>
      <c r="S134" s="55">
        <v>44494</v>
      </c>
      <c r="T134" s="55">
        <v>44494</v>
      </c>
      <c r="U134" s="55"/>
      <c r="V134" s="55">
        <v>44494</v>
      </c>
      <c r="W134" s="55"/>
      <c r="X134" s="55"/>
      <c r="Y134" s="55">
        <v>44497</v>
      </c>
      <c r="Z134" s="56">
        <v>43752</v>
      </c>
      <c r="AA134" s="56">
        <v>43752</v>
      </c>
      <c r="AB134" s="55">
        <v>44494</v>
      </c>
      <c r="AC134" s="55">
        <v>44494</v>
      </c>
      <c r="AD134" s="55">
        <v>44494</v>
      </c>
      <c r="AE134" s="55">
        <v>44494</v>
      </c>
      <c r="AF134" s="55"/>
      <c r="AG134" s="55"/>
      <c r="AH134" s="55">
        <v>44497</v>
      </c>
      <c r="AI134" s="55">
        <v>44494</v>
      </c>
      <c r="AJ134" s="55">
        <v>44494</v>
      </c>
      <c r="AK134" s="55"/>
      <c r="AL134" s="55"/>
      <c r="AM134" s="55">
        <v>44494</v>
      </c>
      <c r="AN134" s="55"/>
      <c r="AO134" s="55"/>
      <c r="AP134" s="55"/>
      <c r="AQ134" s="55"/>
      <c r="AR134" s="56">
        <v>44131</v>
      </c>
      <c r="AS134" s="55"/>
      <c r="AT134" s="55"/>
      <c r="AU134" s="55">
        <v>44497</v>
      </c>
      <c r="AV134" s="55"/>
      <c r="AW134" s="56">
        <v>44026</v>
      </c>
      <c r="AX134" s="56">
        <v>44131</v>
      </c>
      <c r="AY134" s="55"/>
      <c r="AZ134" s="55"/>
      <c r="BA134" s="55"/>
      <c r="BB134" s="55">
        <v>44494</v>
      </c>
      <c r="BC134" s="55"/>
      <c r="BD134" s="55"/>
      <c r="BE134" s="55"/>
      <c r="BF134" s="55"/>
      <c r="BG134" s="55"/>
      <c r="BH134" s="55"/>
      <c r="BI134" s="55"/>
      <c r="BJ134" s="55"/>
    </row>
    <row r="135" spans="1:62" x14ac:dyDescent="0.4">
      <c r="A135" s="5">
        <f t="shared" si="3"/>
        <v>32</v>
      </c>
      <c r="B135" s="3" t="s">
        <v>123</v>
      </c>
      <c r="C135" s="55">
        <v>44356</v>
      </c>
      <c r="D135" s="55">
        <v>44357</v>
      </c>
      <c r="E135" s="55">
        <v>44356</v>
      </c>
      <c r="F135" s="55">
        <v>44435</v>
      </c>
      <c r="G135" s="55">
        <v>44435</v>
      </c>
      <c r="H135" s="55"/>
      <c r="I135" s="55">
        <v>44370</v>
      </c>
      <c r="J135" s="55">
        <v>44435</v>
      </c>
      <c r="K135" s="55">
        <v>44357</v>
      </c>
      <c r="L135" s="55">
        <v>44370</v>
      </c>
      <c r="M135" s="55">
        <v>44435</v>
      </c>
      <c r="N135" s="55">
        <v>44357</v>
      </c>
      <c r="O135" s="55"/>
      <c r="P135" s="55">
        <v>44357</v>
      </c>
      <c r="Q135" s="55">
        <v>44357</v>
      </c>
      <c r="R135" s="55"/>
      <c r="S135" s="55">
        <v>44370</v>
      </c>
      <c r="T135" s="55">
        <v>44357</v>
      </c>
      <c r="U135" s="55">
        <v>44482</v>
      </c>
      <c r="V135" s="55">
        <v>44357</v>
      </c>
      <c r="W135" s="55"/>
      <c r="X135" s="55"/>
      <c r="Y135" s="55"/>
      <c r="Z135" s="55">
        <v>44468</v>
      </c>
      <c r="AA135" s="55">
        <v>44468</v>
      </c>
      <c r="AB135" s="55">
        <v>44357</v>
      </c>
      <c r="AC135" s="55">
        <v>44357</v>
      </c>
      <c r="AD135" s="55">
        <v>44482</v>
      </c>
      <c r="AE135" s="55"/>
      <c r="AF135" s="55"/>
      <c r="AG135" s="55"/>
      <c r="AH135" s="55">
        <v>44357</v>
      </c>
      <c r="AI135" s="55">
        <v>44357</v>
      </c>
      <c r="AJ135" s="55">
        <v>44361</v>
      </c>
      <c r="AK135" s="55"/>
      <c r="AL135" s="55"/>
      <c r="AM135" s="55"/>
      <c r="AN135" s="55"/>
      <c r="AO135" s="55"/>
      <c r="AP135" s="55"/>
      <c r="AQ135" s="55"/>
      <c r="AR135" s="55">
        <v>44356</v>
      </c>
      <c r="AS135" s="55"/>
      <c r="AT135" s="55"/>
      <c r="AU135" s="55">
        <v>44357</v>
      </c>
      <c r="AV135" s="55">
        <v>44482</v>
      </c>
      <c r="AW135" s="55"/>
      <c r="AX135" s="55">
        <v>44356</v>
      </c>
      <c r="AY135" s="55"/>
      <c r="AZ135" s="55"/>
      <c r="BA135" s="55">
        <v>44357</v>
      </c>
      <c r="BB135" s="55">
        <v>44468</v>
      </c>
      <c r="BC135" s="55"/>
      <c r="BD135" s="55"/>
      <c r="BE135" s="55"/>
      <c r="BF135" s="55"/>
      <c r="BG135" s="55">
        <v>44356</v>
      </c>
      <c r="BH135" s="55"/>
      <c r="BI135" s="55"/>
      <c r="BJ135" s="55"/>
    </row>
    <row r="136" spans="1:62" x14ac:dyDescent="0.4">
      <c r="A136" s="5">
        <f t="shared" si="3"/>
        <v>28</v>
      </c>
      <c r="B136" s="3" t="s">
        <v>117</v>
      </c>
      <c r="C136" s="55">
        <v>44491</v>
      </c>
      <c r="D136" s="55">
        <v>44494</v>
      </c>
      <c r="E136" s="55">
        <v>44495</v>
      </c>
      <c r="F136" s="55">
        <v>44488</v>
      </c>
      <c r="G136" s="55">
        <v>44488</v>
      </c>
      <c r="H136" s="55"/>
      <c r="I136" s="55">
        <v>44488</v>
      </c>
      <c r="J136" s="55">
        <v>44488</v>
      </c>
      <c r="K136" s="55"/>
      <c r="L136" s="55">
        <v>44491</v>
      </c>
      <c r="M136" s="55">
        <v>44491</v>
      </c>
      <c r="N136" s="55">
        <v>44490</v>
      </c>
      <c r="O136" s="55">
        <v>44491</v>
      </c>
      <c r="P136" s="55"/>
      <c r="Q136" s="55">
        <v>44491</v>
      </c>
      <c r="R136" s="55"/>
      <c r="S136" s="55">
        <v>44488</v>
      </c>
      <c r="T136" s="55">
        <v>44495</v>
      </c>
      <c r="U136" s="55">
        <v>44186</v>
      </c>
      <c r="V136" s="55">
        <v>44491</v>
      </c>
      <c r="W136" s="55"/>
      <c r="X136" s="55"/>
      <c r="Y136" s="55"/>
      <c r="Z136" s="55">
        <v>44494</v>
      </c>
      <c r="AA136" s="55">
        <v>44490</v>
      </c>
      <c r="AB136" s="55">
        <v>44489</v>
      </c>
      <c r="AC136" s="55">
        <v>44491</v>
      </c>
      <c r="AD136" s="55">
        <v>44494</v>
      </c>
      <c r="AE136" s="55"/>
      <c r="AF136" s="55"/>
      <c r="AG136" s="55"/>
      <c r="AH136" s="55">
        <v>44491</v>
      </c>
      <c r="AI136" s="55">
        <v>44494</v>
      </c>
      <c r="AJ136" s="55">
        <v>44494</v>
      </c>
      <c r="AK136" s="55"/>
      <c r="AL136" s="55"/>
      <c r="AM136" s="55"/>
      <c r="AN136" s="55"/>
      <c r="AO136" s="55"/>
      <c r="AP136" s="55"/>
      <c r="AQ136" s="55"/>
      <c r="AR136" s="55"/>
      <c r="AS136" s="55"/>
      <c r="AT136" s="55"/>
      <c r="AU136" s="55">
        <v>44491</v>
      </c>
      <c r="AV136" s="55"/>
      <c r="AW136" s="55">
        <v>44491</v>
      </c>
      <c r="AX136" s="55">
        <v>44495</v>
      </c>
      <c r="AY136" s="55"/>
      <c r="AZ136" s="55"/>
      <c r="BA136" s="55"/>
      <c r="BB136" s="55">
        <v>44491</v>
      </c>
      <c r="BC136" s="55"/>
      <c r="BD136" s="55"/>
      <c r="BE136" s="55"/>
      <c r="BF136" s="55"/>
      <c r="BG136" s="55"/>
      <c r="BH136" s="55"/>
      <c r="BI136" s="55"/>
      <c r="BJ136" s="55"/>
    </row>
    <row r="137" spans="1:62" x14ac:dyDescent="0.4">
      <c r="A137" s="5">
        <f t="shared" si="3"/>
        <v>32</v>
      </c>
      <c r="B137" s="3" t="s">
        <v>121</v>
      </c>
      <c r="C137" s="55">
        <v>44446</v>
      </c>
      <c r="D137" s="55">
        <v>44383</v>
      </c>
      <c r="E137" s="55">
        <v>44446</v>
      </c>
      <c r="F137" s="55">
        <v>44438</v>
      </c>
      <c r="G137" s="55">
        <v>44479</v>
      </c>
      <c r="H137" s="55"/>
      <c r="I137" s="55">
        <v>44372</v>
      </c>
      <c r="J137" s="55"/>
      <c r="K137" s="55">
        <v>44326</v>
      </c>
      <c r="L137" s="55">
        <v>44326</v>
      </c>
      <c r="M137" s="55">
        <v>44432</v>
      </c>
      <c r="N137" s="55">
        <v>44383</v>
      </c>
      <c r="O137" s="55"/>
      <c r="P137" s="55">
        <v>44476</v>
      </c>
      <c r="Q137" s="55">
        <v>44329</v>
      </c>
      <c r="R137" s="55"/>
      <c r="S137" s="55">
        <v>44329</v>
      </c>
      <c r="T137" s="55">
        <v>44327</v>
      </c>
      <c r="U137" s="55">
        <v>44329</v>
      </c>
      <c r="V137" s="55">
        <v>44306</v>
      </c>
      <c r="W137" s="55"/>
      <c r="X137" s="55"/>
      <c r="Y137" s="55"/>
      <c r="Z137" s="55">
        <v>44354</v>
      </c>
      <c r="AA137" s="55">
        <v>44328</v>
      </c>
      <c r="AB137" s="55">
        <v>44327</v>
      </c>
      <c r="AC137" s="55">
        <v>44372</v>
      </c>
      <c r="AD137" s="55">
        <v>44383</v>
      </c>
      <c r="AE137" s="55">
        <v>44327</v>
      </c>
      <c r="AF137" s="55"/>
      <c r="AG137" s="55"/>
      <c r="AH137" s="55">
        <v>44382</v>
      </c>
      <c r="AI137" s="55">
        <v>44327</v>
      </c>
      <c r="AJ137" s="55">
        <v>44327</v>
      </c>
      <c r="AK137" s="55"/>
      <c r="AL137" s="55"/>
      <c r="AM137" s="55"/>
      <c r="AN137" s="55"/>
      <c r="AO137" s="55"/>
      <c r="AP137" s="55"/>
      <c r="AQ137" s="55"/>
      <c r="AR137" s="55">
        <v>44481</v>
      </c>
      <c r="AS137" s="55"/>
      <c r="AT137" s="55"/>
      <c r="AU137" s="55">
        <v>44382</v>
      </c>
      <c r="AV137" s="55"/>
      <c r="AW137" s="55">
        <v>44382</v>
      </c>
      <c r="AX137" s="55"/>
      <c r="AY137" s="55"/>
      <c r="AZ137" s="55"/>
      <c r="BA137" s="55"/>
      <c r="BB137" s="55">
        <v>44483</v>
      </c>
      <c r="BC137" s="55"/>
      <c r="BD137" s="55"/>
      <c r="BE137" s="55">
        <v>44484</v>
      </c>
      <c r="BF137" s="55"/>
      <c r="BG137" s="55">
        <v>44382</v>
      </c>
      <c r="BH137" s="55">
        <v>44479</v>
      </c>
      <c r="BI137" s="55"/>
      <c r="BJ137" s="55"/>
    </row>
    <row r="138" spans="1:62" x14ac:dyDescent="0.4">
      <c r="A138" s="5">
        <f t="shared" si="3"/>
        <v>10</v>
      </c>
      <c r="B138" s="3" t="s">
        <v>134</v>
      </c>
      <c r="C138" s="55"/>
      <c r="D138" s="55"/>
      <c r="E138" s="55">
        <v>44497</v>
      </c>
      <c r="F138" s="55">
        <v>44496</v>
      </c>
      <c r="G138" s="55"/>
      <c r="H138" s="55"/>
      <c r="I138" s="55">
        <v>44377</v>
      </c>
      <c r="J138" s="55"/>
      <c r="K138" s="55">
        <v>44377</v>
      </c>
      <c r="L138" s="55"/>
      <c r="M138" s="55"/>
      <c r="N138" s="55"/>
      <c r="O138" s="55"/>
      <c r="P138" s="55"/>
      <c r="Q138" s="55"/>
      <c r="R138" s="55"/>
      <c r="S138" s="55">
        <v>44498</v>
      </c>
      <c r="T138" s="55"/>
      <c r="U138" s="55">
        <v>44377</v>
      </c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  <c r="AN138" s="55"/>
      <c r="AO138" s="55"/>
      <c r="AP138" s="55"/>
      <c r="AQ138" s="55"/>
      <c r="AR138" s="55"/>
      <c r="AS138" s="55"/>
      <c r="AT138" s="55"/>
      <c r="AU138" s="55">
        <v>44497</v>
      </c>
      <c r="AV138" s="55"/>
      <c r="AW138" s="55"/>
      <c r="AX138" s="55"/>
      <c r="AY138" s="55"/>
      <c r="AZ138" s="55"/>
      <c r="BA138" s="55"/>
      <c r="BB138" s="55"/>
      <c r="BC138" s="55">
        <v>44497</v>
      </c>
      <c r="BD138" s="55"/>
      <c r="BE138" s="55"/>
      <c r="BF138" s="55"/>
      <c r="BG138" s="55"/>
      <c r="BH138" s="55"/>
      <c r="BI138" s="55">
        <v>44498</v>
      </c>
      <c r="BJ138" s="55">
        <v>44498</v>
      </c>
    </row>
    <row r="139" spans="1:62" x14ac:dyDescent="0.4">
      <c r="A139" s="5">
        <f t="shared" si="3"/>
        <v>37</v>
      </c>
      <c r="B139" s="3" t="s">
        <v>135</v>
      </c>
      <c r="C139" s="56">
        <v>44217</v>
      </c>
      <c r="D139" s="55">
        <v>44186</v>
      </c>
      <c r="E139" s="56">
        <v>44029</v>
      </c>
      <c r="F139" s="56">
        <v>44031</v>
      </c>
      <c r="G139" s="56">
        <v>44133</v>
      </c>
      <c r="H139" s="56">
        <v>44035</v>
      </c>
      <c r="I139" s="55">
        <v>44485</v>
      </c>
      <c r="J139" s="56">
        <v>44033</v>
      </c>
      <c r="K139" s="56">
        <v>44022</v>
      </c>
      <c r="L139" s="56">
        <v>44031</v>
      </c>
      <c r="M139" s="56">
        <v>44032</v>
      </c>
      <c r="N139" s="56">
        <v>44014</v>
      </c>
      <c r="O139" s="56">
        <v>44029</v>
      </c>
      <c r="P139" s="55">
        <v>44158</v>
      </c>
      <c r="Q139" s="55"/>
      <c r="R139" s="55">
        <v>44185</v>
      </c>
      <c r="S139" s="56">
        <v>44028</v>
      </c>
      <c r="T139" s="55">
        <v>44484</v>
      </c>
      <c r="U139" s="55">
        <v>44187</v>
      </c>
      <c r="V139" s="56">
        <v>44125</v>
      </c>
      <c r="W139" s="55"/>
      <c r="X139" s="56">
        <v>44034</v>
      </c>
      <c r="Y139" s="55"/>
      <c r="Z139" s="55">
        <v>44187</v>
      </c>
      <c r="AA139" s="56">
        <v>44021</v>
      </c>
      <c r="AB139" s="56">
        <v>44021</v>
      </c>
      <c r="AC139" s="55"/>
      <c r="AD139" s="56">
        <v>44025</v>
      </c>
      <c r="AE139" s="55">
        <v>44187</v>
      </c>
      <c r="AF139" s="56">
        <v>44029</v>
      </c>
      <c r="AG139" s="56">
        <v>44029</v>
      </c>
      <c r="AH139" s="56">
        <v>44033</v>
      </c>
      <c r="AI139" s="55">
        <v>44379</v>
      </c>
      <c r="AJ139" s="55">
        <v>44427</v>
      </c>
      <c r="AK139" s="55"/>
      <c r="AL139" s="55"/>
      <c r="AM139" s="56">
        <v>44031</v>
      </c>
      <c r="AN139" s="55"/>
      <c r="AO139" s="56">
        <v>44033</v>
      </c>
      <c r="AP139" s="55"/>
      <c r="AQ139" s="55"/>
      <c r="AR139" s="55"/>
      <c r="AS139" s="55"/>
      <c r="AT139" s="55"/>
      <c r="AU139" s="55"/>
      <c r="AV139" s="55"/>
      <c r="AW139" s="56">
        <v>44035</v>
      </c>
      <c r="AX139" s="55">
        <v>44185</v>
      </c>
      <c r="AY139" s="55">
        <v>44489</v>
      </c>
      <c r="AZ139" s="55"/>
      <c r="BA139" s="55"/>
      <c r="BB139" s="55"/>
      <c r="BC139" s="56">
        <v>44158</v>
      </c>
      <c r="BD139" s="55"/>
      <c r="BE139" s="55"/>
      <c r="BF139" s="55"/>
      <c r="BG139" s="55"/>
      <c r="BH139" s="56">
        <v>44125</v>
      </c>
      <c r="BI139" s="55"/>
      <c r="BJ139" s="55"/>
    </row>
    <row r="140" spans="1:62" x14ac:dyDescent="0.4">
      <c r="A140" s="5">
        <f t="shared" si="3"/>
        <v>40</v>
      </c>
      <c r="B140" s="3" t="s">
        <v>136</v>
      </c>
      <c r="C140" s="55">
        <v>44487</v>
      </c>
      <c r="D140" s="55">
        <v>44484</v>
      </c>
      <c r="E140" s="55">
        <v>44488</v>
      </c>
      <c r="F140" s="55">
        <v>44488</v>
      </c>
      <c r="G140" s="55">
        <v>44490</v>
      </c>
      <c r="H140" s="55">
        <v>44474</v>
      </c>
      <c r="I140" s="55">
        <v>44487</v>
      </c>
      <c r="J140" s="55">
        <v>44470</v>
      </c>
      <c r="K140" s="55">
        <v>44474</v>
      </c>
      <c r="L140" s="55">
        <v>44488</v>
      </c>
      <c r="M140" s="55">
        <v>44484</v>
      </c>
      <c r="N140" s="55">
        <v>44487</v>
      </c>
      <c r="O140" s="55">
        <v>44487</v>
      </c>
      <c r="P140" s="55">
        <v>44487</v>
      </c>
      <c r="Q140" s="55">
        <v>44487</v>
      </c>
      <c r="R140" s="55"/>
      <c r="S140" s="55">
        <v>44490</v>
      </c>
      <c r="T140" s="55">
        <v>44487</v>
      </c>
      <c r="U140" s="55">
        <v>44474</v>
      </c>
      <c r="V140" s="55">
        <v>44470</v>
      </c>
      <c r="W140" s="55"/>
      <c r="X140" s="55"/>
      <c r="Y140" s="55"/>
      <c r="Z140" s="55">
        <v>44484</v>
      </c>
      <c r="AA140" s="55">
        <v>44487</v>
      </c>
      <c r="AB140" s="55">
        <v>44487</v>
      </c>
      <c r="AC140" s="55">
        <v>44488</v>
      </c>
      <c r="AD140" s="55">
        <v>44484</v>
      </c>
      <c r="AE140" s="55">
        <v>44490</v>
      </c>
      <c r="AF140" s="55">
        <v>44487</v>
      </c>
      <c r="AG140" s="55">
        <v>44487</v>
      </c>
      <c r="AH140" s="55">
        <v>44488</v>
      </c>
      <c r="AI140" s="55">
        <v>44482</v>
      </c>
      <c r="AJ140" s="55">
        <v>44482</v>
      </c>
      <c r="AK140" s="55"/>
      <c r="AL140" s="55"/>
      <c r="AM140" s="55">
        <v>44488</v>
      </c>
      <c r="AN140" s="55"/>
      <c r="AO140" s="55"/>
      <c r="AP140" s="55"/>
      <c r="AQ140" s="55"/>
      <c r="AR140" s="55">
        <v>44491</v>
      </c>
      <c r="AS140" s="55"/>
      <c r="AT140" s="55"/>
      <c r="AU140" s="55">
        <v>44487</v>
      </c>
      <c r="AV140" s="55"/>
      <c r="AW140" s="55">
        <v>44487</v>
      </c>
      <c r="AX140" s="55">
        <v>44482</v>
      </c>
      <c r="AY140" s="55"/>
      <c r="AZ140" s="55"/>
      <c r="BA140" s="55">
        <v>44488</v>
      </c>
      <c r="BB140" s="55">
        <v>44487</v>
      </c>
      <c r="BC140" s="55">
        <v>44474</v>
      </c>
      <c r="BD140" s="55"/>
      <c r="BE140" s="55">
        <v>44488</v>
      </c>
      <c r="BF140" s="55"/>
      <c r="BG140" s="55"/>
      <c r="BH140" s="55">
        <v>44488</v>
      </c>
      <c r="BI140" s="55"/>
      <c r="BJ140" s="55"/>
    </row>
    <row r="141" spans="1:62" x14ac:dyDescent="0.4">
      <c r="A141" s="5">
        <f t="shared" si="3"/>
        <v>43</v>
      </c>
      <c r="B141" s="3" t="s">
        <v>137</v>
      </c>
      <c r="C141" s="55">
        <v>44364</v>
      </c>
      <c r="D141" s="55">
        <v>44491</v>
      </c>
      <c r="E141" s="55">
        <v>44365</v>
      </c>
      <c r="F141" s="55">
        <v>44452</v>
      </c>
      <c r="G141" s="55">
        <v>44452</v>
      </c>
      <c r="H141" s="55">
        <v>44491</v>
      </c>
      <c r="I141" s="55">
        <v>44488</v>
      </c>
      <c r="J141" s="55">
        <v>44440</v>
      </c>
      <c r="K141" s="55">
        <v>44349</v>
      </c>
      <c r="L141" s="55">
        <v>44494</v>
      </c>
      <c r="M141" s="55">
        <v>44452</v>
      </c>
      <c r="N141" s="55">
        <v>44490</v>
      </c>
      <c r="O141" s="55">
        <v>44489</v>
      </c>
      <c r="P141" s="55">
        <v>44503</v>
      </c>
      <c r="Q141" s="55">
        <v>44494</v>
      </c>
      <c r="R141" s="55">
        <v>44494</v>
      </c>
      <c r="S141" s="55">
        <v>44503</v>
      </c>
      <c r="T141" s="55">
        <v>44490</v>
      </c>
      <c r="U141" s="55">
        <v>44494</v>
      </c>
      <c r="V141" s="55">
        <v>44184</v>
      </c>
      <c r="W141" s="55"/>
      <c r="X141" s="55">
        <v>44182</v>
      </c>
      <c r="Y141" s="55"/>
      <c r="Z141" s="55">
        <v>44490</v>
      </c>
      <c r="AA141" s="55">
        <v>44490</v>
      </c>
      <c r="AB141" s="55">
        <v>44489</v>
      </c>
      <c r="AC141" s="55">
        <v>44494</v>
      </c>
      <c r="AD141" s="55">
        <v>44491</v>
      </c>
      <c r="AE141" s="55"/>
      <c r="AF141" s="55">
        <v>44494</v>
      </c>
      <c r="AG141" s="55"/>
      <c r="AH141" s="55">
        <v>44364</v>
      </c>
      <c r="AI141" s="55">
        <v>44490</v>
      </c>
      <c r="AJ141" s="55">
        <v>44490</v>
      </c>
      <c r="AK141" s="55"/>
      <c r="AL141" s="55"/>
      <c r="AM141" s="55">
        <v>44365</v>
      </c>
      <c r="AN141" s="55"/>
      <c r="AO141" s="55"/>
      <c r="AP141" s="55">
        <v>44364</v>
      </c>
      <c r="AQ141" s="55">
        <v>44494</v>
      </c>
      <c r="AR141" s="55">
        <v>44365</v>
      </c>
      <c r="AS141" s="55">
        <v>44364</v>
      </c>
      <c r="AT141" s="55">
        <v>44365</v>
      </c>
      <c r="AU141" s="55">
        <v>44364</v>
      </c>
      <c r="AV141" s="55"/>
      <c r="AW141" s="55">
        <v>44185</v>
      </c>
      <c r="AX141" s="55">
        <v>44494</v>
      </c>
      <c r="AY141" s="55">
        <v>44364</v>
      </c>
      <c r="AZ141" s="55"/>
      <c r="BA141" s="55">
        <v>44365</v>
      </c>
      <c r="BB141" s="55">
        <v>44365</v>
      </c>
      <c r="BC141" s="55"/>
      <c r="BD141" s="55"/>
      <c r="BE141" s="55"/>
      <c r="BF141" s="55"/>
      <c r="BG141" s="55">
        <v>44378</v>
      </c>
      <c r="BH141" s="55"/>
      <c r="BI141" s="55"/>
      <c r="BJ141" s="55"/>
    </row>
    <row r="142" spans="1:62" x14ac:dyDescent="0.4">
      <c r="A142" s="5">
        <f t="shared" si="3"/>
        <v>30</v>
      </c>
      <c r="B142" s="3" t="s">
        <v>138</v>
      </c>
      <c r="C142" s="55">
        <v>44334</v>
      </c>
      <c r="D142" s="55">
        <v>44334</v>
      </c>
      <c r="E142" s="55">
        <v>44334</v>
      </c>
      <c r="F142" s="55">
        <v>44468</v>
      </c>
      <c r="G142" s="55">
        <v>44490</v>
      </c>
      <c r="H142" s="55">
        <v>44334</v>
      </c>
      <c r="I142" s="55">
        <v>44489</v>
      </c>
      <c r="J142" s="55">
        <v>44468</v>
      </c>
      <c r="K142" s="55">
        <v>44334</v>
      </c>
      <c r="L142" s="55">
        <v>44502</v>
      </c>
      <c r="M142" s="55">
        <v>44412</v>
      </c>
      <c r="N142" s="55">
        <v>44334</v>
      </c>
      <c r="O142" s="55"/>
      <c r="P142" s="55">
        <v>44334</v>
      </c>
      <c r="Q142" s="56">
        <v>44109</v>
      </c>
      <c r="R142" s="55"/>
      <c r="S142" s="55">
        <v>44384</v>
      </c>
      <c r="T142" s="55">
        <v>44334</v>
      </c>
      <c r="U142" s="55">
        <v>44334</v>
      </c>
      <c r="V142" s="55">
        <v>44334</v>
      </c>
      <c r="W142" s="55"/>
      <c r="X142" s="55"/>
      <c r="Y142" s="55"/>
      <c r="Z142" s="55">
        <v>44406</v>
      </c>
      <c r="AA142" s="55"/>
      <c r="AB142" s="55">
        <v>44334</v>
      </c>
      <c r="AC142" s="55">
        <v>44502</v>
      </c>
      <c r="AD142" s="55">
        <v>44404</v>
      </c>
      <c r="AE142" s="55"/>
      <c r="AF142" s="55"/>
      <c r="AG142" s="55"/>
      <c r="AH142" s="55">
        <v>44361</v>
      </c>
      <c r="AI142" s="55"/>
      <c r="AJ142" s="55">
        <v>44382</v>
      </c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>
        <v>44334</v>
      </c>
      <c r="AV142" s="55"/>
      <c r="AW142" s="55">
        <v>44334</v>
      </c>
      <c r="AX142" s="55"/>
      <c r="AY142" s="55"/>
      <c r="AZ142" s="55"/>
      <c r="BA142" s="55">
        <v>44469</v>
      </c>
      <c r="BB142" s="55">
        <v>44377</v>
      </c>
      <c r="BC142" s="55"/>
      <c r="BD142" s="55"/>
      <c r="BE142" s="55"/>
      <c r="BF142" s="55"/>
      <c r="BG142" s="55">
        <v>44334</v>
      </c>
      <c r="BH142" s="55">
        <v>44490</v>
      </c>
      <c r="BI142" s="55"/>
      <c r="BJ142" s="55"/>
    </row>
    <row r="143" spans="1:62" x14ac:dyDescent="0.4">
      <c r="A143" s="5">
        <f t="shared" si="3"/>
        <v>35</v>
      </c>
      <c r="B143" s="3" t="s">
        <v>139</v>
      </c>
      <c r="C143" s="55">
        <v>44492</v>
      </c>
      <c r="D143" s="55">
        <v>44492</v>
      </c>
      <c r="E143" s="55">
        <v>44492</v>
      </c>
      <c r="F143" s="55">
        <v>44492</v>
      </c>
      <c r="G143" s="55">
        <v>44492</v>
      </c>
      <c r="H143" s="55">
        <v>44492</v>
      </c>
      <c r="I143" s="55">
        <v>44492</v>
      </c>
      <c r="J143" s="55">
        <v>44492</v>
      </c>
      <c r="K143" s="55">
        <v>44492</v>
      </c>
      <c r="L143" s="55">
        <v>44492</v>
      </c>
      <c r="M143" s="55">
        <v>44492</v>
      </c>
      <c r="N143" s="55">
        <v>44492</v>
      </c>
      <c r="O143" s="55"/>
      <c r="P143" s="55">
        <v>44492</v>
      </c>
      <c r="Q143" s="55">
        <v>44492</v>
      </c>
      <c r="R143" s="55">
        <v>44492</v>
      </c>
      <c r="S143" s="55">
        <v>44492</v>
      </c>
      <c r="T143" s="55">
        <v>44492</v>
      </c>
      <c r="U143" s="55">
        <v>44492</v>
      </c>
      <c r="V143" s="55">
        <v>44492</v>
      </c>
      <c r="W143" s="55"/>
      <c r="X143" s="55"/>
      <c r="Y143" s="55">
        <v>44492</v>
      </c>
      <c r="Z143" s="55">
        <v>44492</v>
      </c>
      <c r="AA143" s="55">
        <v>44492</v>
      </c>
      <c r="AB143" s="55">
        <v>44492</v>
      </c>
      <c r="AC143" s="55">
        <v>44492</v>
      </c>
      <c r="AD143" s="55">
        <v>44492</v>
      </c>
      <c r="AE143" s="55">
        <v>44492</v>
      </c>
      <c r="AF143" s="55"/>
      <c r="AG143" s="55"/>
      <c r="AH143" s="55">
        <v>44492</v>
      </c>
      <c r="AI143" s="55"/>
      <c r="AJ143" s="55">
        <v>44492</v>
      </c>
      <c r="AK143" s="55"/>
      <c r="AL143" s="55">
        <v>44492</v>
      </c>
      <c r="AM143" s="55"/>
      <c r="AN143" s="55"/>
      <c r="AO143" s="55"/>
      <c r="AP143" s="55"/>
      <c r="AQ143" s="55"/>
      <c r="AR143" s="55">
        <v>44492</v>
      </c>
      <c r="AS143" s="55"/>
      <c r="AT143" s="55"/>
      <c r="AU143" s="55">
        <v>44492</v>
      </c>
      <c r="AV143" s="55"/>
      <c r="AW143" s="55">
        <v>44492</v>
      </c>
      <c r="AX143" s="55"/>
      <c r="AY143" s="55"/>
      <c r="AZ143" s="55"/>
      <c r="BA143" s="55">
        <v>44492</v>
      </c>
      <c r="BB143" s="55">
        <v>44492</v>
      </c>
      <c r="BC143" s="55"/>
      <c r="BD143" s="55"/>
      <c r="BE143" s="55"/>
      <c r="BF143" s="55"/>
      <c r="BG143" s="55">
        <v>44492</v>
      </c>
      <c r="BH143" s="55"/>
      <c r="BI143" s="55"/>
      <c r="BJ143" s="55"/>
    </row>
    <row r="144" spans="1:62" x14ac:dyDescent="0.4">
      <c r="A144" s="5">
        <f t="shared" si="3"/>
        <v>35</v>
      </c>
      <c r="B144" s="3" t="s">
        <v>140</v>
      </c>
      <c r="C144" s="55">
        <v>44497</v>
      </c>
      <c r="D144" s="55">
        <v>44498</v>
      </c>
      <c r="E144" s="55">
        <v>44498</v>
      </c>
      <c r="F144" s="55">
        <v>44498</v>
      </c>
      <c r="G144" s="55">
        <v>44498</v>
      </c>
      <c r="H144" s="55">
        <v>44187</v>
      </c>
      <c r="I144" s="55">
        <v>44498</v>
      </c>
      <c r="J144" s="55">
        <v>44498</v>
      </c>
      <c r="K144" s="56">
        <v>44162</v>
      </c>
      <c r="L144" s="55">
        <v>44187</v>
      </c>
      <c r="M144" s="55">
        <v>44502</v>
      </c>
      <c r="N144" s="55">
        <v>44187</v>
      </c>
      <c r="O144" s="55"/>
      <c r="P144" s="56">
        <v>42663</v>
      </c>
      <c r="Q144" s="55">
        <v>44187</v>
      </c>
      <c r="R144" s="55">
        <v>44497</v>
      </c>
      <c r="S144" s="55">
        <v>44498</v>
      </c>
      <c r="T144" s="55">
        <v>44497</v>
      </c>
      <c r="U144" s="55">
        <v>44497</v>
      </c>
      <c r="V144" s="55">
        <v>44498</v>
      </c>
      <c r="W144" s="55"/>
      <c r="X144" s="55">
        <v>44187</v>
      </c>
      <c r="Y144" s="55">
        <v>44497</v>
      </c>
      <c r="Z144" s="55">
        <v>44497</v>
      </c>
      <c r="AA144" s="55">
        <v>44497</v>
      </c>
      <c r="AB144" s="55">
        <v>44497</v>
      </c>
      <c r="AC144" s="55">
        <v>44497</v>
      </c>
      <c r="AD144" s="55">
        <v>44187</v>
      </c>
      <c r="AE144" s="55">
        <v>44497</v>
      </c>
      <c r="AF144" s="55"/>
      <c r="AG144" s="55"/>
      <c r="AH144" s="56">
        <v>44187</v>
      </c>
      <c r="AI144" s="55"/>
      <c r="AJ144" s="55">
        <v>44497</v>
      </c>
      <c r="AK144" s="55"/>
      <c r="AL144" s="55"/>
      <c r="AM144" s="55"/>
      <c r="AN144" s="55"/>
      <c r="AO144" s="55"/>
      <c r="AP144" s="55"/>
      <c r="AQ144" s="55"/>
      <c r="AR144" s="55">
        <v>44498</v>
      </c>
      <c r="AS144" s="55"/>
      <c r="AT144" s="55"/>
      <c r="AU144" s="55">
        <v>44497</v>
      </c>
      <c r="AV144" s="55"/>
      <c r="AW144" s="55">
        <v>44497</v>
      </c>
      <c r="AX144" s="55"/>
      <c r="AY144" s="55"/>
      <c r="AZ144" s="55"/>
      <c r="BA144" s="55">
        <v>44497</v>
      </c>
      <c r="BB144" s="56">
        <v>44187</v>
      </c>
      <c r="BC144" s="55"/>
      <c r="BD144" s="55"/>
      <c r="BE144" s="55"/>
      <c r="BF144" s="55"/>
      <c r="BG144" s="56">
        <v>44187</v>
      </c>
      <c r="BH144" s="55"/>
      <c r="BI144" s="55"/>
      <c r="BJ144" s="55"/>
    </row>
    <row r="145" spans="1:62" x14ac:dyDescent="0.4">
      <c r="A145" s="5">
        <f t="shared" si="3"/>
        <v>30</v>
      </c>
      <c r="B145" s="3" t="s">
        <v>141</v>
      </c>
      <c r="C145" s="55">
        <v>44341</v>
      </c>
      <c r="D145" s="55">
        <v>44490</v>
      </c>
      <c r="E145" s="55">
        <v>44342</v>
      </c>
      <c r="F145" s="55">
        <v>44488</v>
      </c>
      <c r="G145" s="55">
        <v>44488</v>
      </c>
      <c r="H145" s="55">
        <v>44486</v>
      </c>
      <c r="I145" s="55">
        <v>44489</v>
      </c>
      <c r="J145" s="56">
        <v>44350</v>
      </c>
      <c r="K145" s="55">
        <v>44483</v>
      </c>
      <c r="L145" s="55"/>
      <c r="M145" s="55">
        <v>44481</v>
      </c>
      <c r="N145" s="55">
        <v>44487</v>
      </c>
      <c r="O145" s="55"/>
      <c r="P145" s="55">
        <v>44489</v>
      </c>
      <c r="Q145" s="55">
        <v>44487</v>
      </c>
      <c r="R145" s="55"/>
      <c r="S145" s="55">
        <v>44487</v>
      </c>
      <c r="T145" s="55">
        <v>44483</v>
      </c>
      <c r="U145" s="55">
        <v>44487</v>
      </c>
      <c r="V145" s="55">
        <v>44483</v>
      </c>
      <c r="W145" s="55"/>
      <c r="X145" s="55"/>
      <c r="Y145" s="55"/>
      <c r="Z145" s="55">
        <v>44487</v>
      </c>
      <c r="AA145" s="55"/>
      <c r="AB145" s="55">
        <v>44487</v>
      </c>
      <c r="AC145" s="55">
        <v>44487</v>
      </c>
      <c r="AD145" s="55"/>
      <c r="AE145" s="55">
        <v>44490</v>
      </c>
      <c r="AF145" s="55"/>
      <c r="AG145" s="55"/>
      <c r="AH145" s="55">
        <v>44349</v>
      </c>
      <c r="AI145" s="55">
        <v>44488</v>
      </c>
      <c r="AJ145" s="55">
        <v>44487</v>
      </c>
      <c r="AK145" s="55"/>
      <c r="AL145" s="55"/>
      <c r="AM145" s="55"/>
      <c r="AN145" s="55"/>
      <c r="AO145" s="55"/>
      <c r="AP145" s="55"/>
      <c r="AQ145" s="55">
        <v>44349</v>
      </c>
      <c r="AR145" s="55"/>
      <c r="AS145" s="55"/>
      <c r="AT145" s="55"/>
      <c r="AU145" s="55"/>
      <c r="AV145" s="55"/>
      <c r="AW145" s="55"/>
      <c r="AX145" s="55"/>
      <c r="AY145" s="56">
        <v>44028</v>
      </c>
      <c r="AZ145" s="55"/>
      <c r="BA145" s="55">
        <v>44342</v>
      </c>
      <c r="BB145" s="55">
        <v>44486</v>
      </c>
      <c r="BC145" s="55">
        <v>44482</v>
      </c>
      <c r="BD145" s="55"/>
      <c r="BE145" s="55"/>
      <c r="BF145" s="55"/>
      <c r="BG145" s="55">
        <v>44341</v>
      </c>
      <c r="BH145" s="55"/>
      <c r="BI145" s="55"/>
      <c r="BJ145" s="55"/>
    </row>
    <row r="146" spans="1:62" x14ac:dyDescent="0.4">
      <c r="A146" s="5">
        <f t="shared" si="3"/>
        <v>30</v>
      </c>
      <c r="B146" s="3" t="s">
        <v>142</v>
      </c>
      <c r="C146" s="55">
        <v>44434</v>
      </c>
      <c r="D146" s="55">
        <v>44260</v>
      </c>
      <c r="E146" s="55">
        <v>44432</v>
      </c>
      <c r="F146" s="55">
        <v>44428</v>
      </c>
      <c r="G146" s="55">
        <v>44428</v>
      </c>
      <c r="H146" s="55">
        <v>44372</v>
      </c>
      <c r="I146" s="55">
        <v>44337</v>
      </c>
      <c r="J146" s="55">
        <v>44433</v>
      </c>
      <c r="K146" s="55">
        <v>44431</v>
      </c>
      <c r="L146" s="55"/>
      <c r="M146" s="55">
        <v>44428</v>
      </c>
      <c r="N146" s="55">
        <v>44264</v>
      </c>
      <c r="O146" s="55"/>
      <c r="P146" s="55"/>
      <c r="Q146" s="55">
        <v>44462</v>
      </c>
      <c r="R146" s="55"/>
      <c r="S146" s="55">
        <v>44259</v>
      </c>
      <c r="T146" s="55">
        <v>44186</v>
      </c>
      <c r="U146" s="55">
        <v>44260</v>
      </c>
      <c r="V146" s="55">
        <v>44258</v>
      </c>
      <c r="W146" s="55"/>
      <c r="X146" s="55"/>
      <c r="Y146" s="55"/>
      <c r="Z146" s="55">
        <v>44383</v>
      </c>
      <c r="AA146" s="55"/>
      <c r="AB146" s="55"/>
      <c r="AC146" s="55"/>
      <c r="AD146" s="55">
        <v>44259</v>
      </c>
      <c r="AE146" s="55">
        <v>44379</v>
      </c>
      <c r="AF146" s="55">
        <v>44432</v>
      </c>
      <c r="AG146" s="55">
        <v>44431</v>
      </c>
      <c r="AH146" s="55">
        <v>44431</v>
      </c>
      <c r="AI146" s="55">
        <v>44379</v>
      </c>
      <c r="AJ146" s="55">
        <v>44259</v>
      </c>
      <c r="AK146" s="55"/>
      <c r="AL146" s="55"/>
      <c r="AM146" s="55"/>
      <c r="AN146" s="55"/>
      <c r="AO146" s="55"/>
      <c r="AP146" s="55"/>
      <c r="AQ146" s="55">
        <v>44428</v>
      </c>
      <c r="AR146" s="55"/>
      <c r="AS146" s="55"/>
      <c r="AT146" s="55">
        <v>44434</v>
      </c>
      <c r="AU146" s="55">
        <v>44354</v>
      </c>
      <c r="AV146" s="55">
        <v>44446</v>
      </c>
      <c r="AW146" s="55">
        <v>44462</v>
      </c>
      <c r="AX146" s="55">
        <v>44446</v>
      </c>
      <c r="AY146" s="55"/>
      <c r="AZ146" s="55"/>
      <c r="BA146" s="55"/>
      <c r="BB146" s="55"/>
      <c r="BC146" s="55"/>
      <c r="BD146" s="55"/>
      <c r="BE146" s="55"/>
      <c r="BF146" s="55"/>
      <c r="BG146" s="55"/>
      <c r="BH146" s="55"/>
      <c r="BI146" s="55"/>
      <c r="BJ146" s="55"/>
    </row>
    <row r="147" spans="1:62" x14ac:dyDescent="0.4">
      <c r="A147" s="5">
        <f t="shared" si="3"/>
        <v>39</v>
      </c>
      <c r="B147" s="3" t="s">
        <v>143</v>
      </c>
      <c r="C147" s="55">
        <v>44493</v>
      </c>
      <c r="D147" s="55">
        <v>44494</v>
      </c>
      <c r="E147" s="55">
        <v>44375</v>
      </c>
      <c r="F147" s="55">
        <v>44495</v>
      </c>
      <c r="G147" s="55">
        <v>44495</v>
      </c>
      <c r="H147" s="55">
        <v>44365</v>
      </c>
      <c r="I147" s="55">
        <v>44495</v>
      </c>
      <c r="J147" s="55">
        <v>44490</v>
      </c>
      <c r="K147" s="55">
        <v>44489</v>
      </c>
      <c r="L147" s="55">
        <v>44372</v>
      </c>
      <c r="M147" s="55">
        <v>44495</v>
      </c>
      <c r="N147" s="55">
        <v>44375</v>
      </c>
      <c r="O147" s="55">
        <v>44493</v>
      </c>
      <c r="P147" s="55">
        <v>44372</v>
      </c>
      <c r="Q147" s="55">
        <v>44495</v>
      </c>
      <c r="R147" s="55">
        <v>44490</v>
      </c>
      <c r="S147" s="55">
        <v>44495</v>
      </c>
      <c r="T147" s="55">
        <v>44489</v>
      </c>
      <c r="U147" s="55">
        <v>44490</v>
      </c>
      <c r="V147" s="55">
        <v>44375</v>
      </c>
      <c r="W147" s="55"/>
      <c r="X147" s="55"/>
      <c r="Y147" s="55"/>
      <c r="Z147" s="55">
        <v>44493</v>
      </c>
      <c r="AA147" s="55">
        <v>44365</v>
      </c>
      <c r="AB147" s="55">
        <v>44365</v>
      </c>
      <c r="AC147" s="55">
        <v>44377</v>
      </c>
      <c r="AD147" s="55">
        <v>44495</v>
      </c>
      <c r="AE147" s="55"/>
      <c r="AF147" s="55">
        <v>44495</v>
      </c>
      <c r="AG147" s="55"/>
      <c r="AH147" s="55">
        <v>44495</v>
      </c>
      <c r="AI147" s="55">
        <v>44493</v>
      </c>
      <c r="AJ147" s="55">
        <v>44493</v>
      </c>
      <c r="AK147" s="55"/>
      <c r="AL147" s="55"/>
      <c r="AM147" s="55"/>
      <c r="AN147" s="55">
        <v>44495</v>
      </c>
      <c r="AO147" s="55"/>
      <c r="AP147" s="55"/>
      <c r="AQ147" s="55">
        <v>44495</v>
      </c>
      <c r="AR147" s="55">
        <v>44493</v>
      </c>
      <c r="AS147" s="55"/>
      <c r="AT147" s="55"/>
      <c r="AU147" s="55">
        <v>44493</v>
      </c>
      <c r="AV147" s="55"/>
      <c r="AW147" s="55">
        <v>44493</v>
      </c>
      <c r="AX147" s="55"/>
      <c r="AY147" s="55"/>
      <c r="AZ147" s="55">
        <v>44495</v>
      </c>
      <c r="BA147" s="55">
        <v>44495</v>
      </c>
      <c r="BB147" s="55">
        <v>44495</v>
      </c>
      <c r="BC147" s="55"/>
      <c r="BD147" s="55"/>
      <c r="BE147" s="55">
        <v>44495</v>
      </c>
      <c r="BF147" s="55"/>
      <c r="BG147" s="55">
        <v>44493</v>
      </c>
      <c r="BH147" s="55"/>
      <c r="BI147" s="55"/>
      <c r="BJ147" s="55"/>
    </row>
    <row r="148" spans="1:62" x14ac:dyDescent="0.4">
      <c r="A148" s="5">
        <f t="shared" si="3"/>
        <v>28</v>
      </c>
      <c r="B148" s="3" t="s">
        <v>144</v>
      </c>
      <c r="C148" s="55">
        <v>44370</v>
      </c>
      <c r="D148" s="55">
        <v>44187</v>
      </c>
      <c r="E148" s="55"/>
      <c r="F148" s="55">
        <v>44426</v>
      </c>
      <c r="G148" s="56">
        <v>44187</v>
      </c>
      <c r="H148" s="55">
        <v>44187</v>
      </c>
      <c r="I148" s="55">
        <v>44491</v>
      </c>
      <c r="J148" s="55">
        <v>44466</v>
      </c>
      <c r="K148" s="55">
        <v>44341</v>
      </c>
      <c r="L148" s="55"/>
      <c r="M148" s="55">
        <v>44476</v>
      </c>
      <c r="N148" s="55">
        <v>44187</v>
      </c>
      <c r="O148" s="55"/>
      <c r="P148" s="55">
        <v>44158</v>
      </c>
      <c r="Q148" s="55">
        <v>44187</v>
      </c>
      <c r="R148" s="55"/>
      <c r="S148" s="55">
        <v>44189</v>
      </c>
      <c r="T148" s="55">
        <v>44189</v>
      </c>
      <c r="U148" s="55">
        <v>44376</v>
      </c>
      <c r="V148" s="55">
        <v>44189</v>
      </c>
      <c r="W148" s="55"/>
      <c r="X148" s="55"/>
      <c r="Y148" s="55"/>
      <c r="Z148" s="55"/>
      <c r="AA148" s="55">
        <v>44376</v>
      </c>
      <c r="AB148" s="55">
        <v>44187</v>
      </c>
      <c r="AC148" s="55">
        <v>44376</v>
      </c>
      <c r="AD148" s="55">
        <v>44376</v>
      </c>
      <c r="AE148" s="55">
        <v>44187</v>
      </c>
      <c r="AF148" s="55"/>
      <c r="AG148" s="55"/>
      <c r="AH148" s="55">
        <v>44336</v>
      </c>
      <c r="AI148" s="55"/>
      <c r="AJ148" s="55">
        <v>44187</v>
      </c>
      <c r="AK148" s="55"/>
      <c r="AL148" s="55"/>
      <c r="AM148" s="55"/>
      <c r="AN148" s="55"/>
      <c r="AO148" s="55"/>
      <c r="AP148" s="55"/>
      <c r="AQ148" s="55">
        <v>44187</v>
      </c>
      <c r="AR148" s="55"/>
      <c r="AS148" s="55"/>
      <c r="AT148" s="55"/>
      <c r="AU148" s="55">
        <v>44376</v>
      </c>
      <c r="AV148" s="55"/>
      <c r="AW148" s="55"/>
      <c r="AX148" s="55"/>
      <c r="AY148" s="55"/>
      <c r="AZ148" s="55"/>
      <c r="BA148" s="55">
        <v>44448</v>
      </c>
      <c r="BB148" s="55">
        <v>44495</v>
      </c>
      <c r="BC148" s="55"/>
      <c r="BD148" s="55"/>
      <c r="BE148" s="55"/>
      <c r="BF148" s="55"/>
      <c r="BG148" s="55"/>
      <c r="BH148" s="55">
        <v>44495</v>
      </c>
      <c r="BI148" s="55"/>
      <c r="BJ148" s="55"/>
    </row>
    <row r="149" spans="1:62" x14ac:dyDescent="0.4">
      <c r="A149" s="5">
        <f t="shared" si="3"/>
        <v>31</v>
      </c>
      <c r="B149" s="3" t="s">
        <v>145</v>
      </c>
      <c r="C149" s="55">
        <v>44495</v>
      </c>
      <c r="D149" s="55">
        <v>44319</v>
      </c>
      <c r="E149" s="55">
        <v>44453</v>
      </c>
      <c r="F149" s="55">
        <v>44455</v>
      </c>
      <c r="G149" s="55">
        <v>44481</v>
      </c>
      <c r="H149" s="55">
        <v>44327</v>
      </c>
      <c r="I149" s="55">
        <v>44288</v>
      </c>
      <c r="J149" s="55">
        <v>44481</v>
      </c>
      <c r="K149" s="55">
        <v>44455</v>
      </c>
      <c r="L149" s="55">
        <v>44369</v>
      </c>
      <c r="M149" s="55">
        <v>44456</v>
      </c>
      <c r="N149" s="55">
        <v>44445</v>
      </c>
      <c r="O149" s="55"/>
      <c r="P149" s="55">
        <v>44449</v>
      </c>
      <c r="Q149" s="55">
        <v>44449</v>
      </c>
      <c r="R149" s="55">
        <v>44447</v>
      </c>
      <c r="S149" s="55">
        <v>44445</v>
      </c>
      <c r="T149" s="55">
        <v>44319</v>
      </c>
      <c r="U149" s="55">
        <v>44300</v>
      </c>
      <c r="V149" s="55"/>
      <c r="W149" s="55"/>
      <c r="X149" s="55">
        <v>44455</v>
      </c>
      <c r="Y149" s="55"/>
      <c r="Z149" s="55"/>
      <c r="AA149" s="55">
        <v>44445</v>
      </c>
      <c r="AB149" s="55">
        <v>44369</v>
      </c>
      <c r="AC149" s="55">
        <v>44449</v>
      </c>
      <c r="AD149" s="55"/>
      <c r="AE149" s="55"/>
      <c r="AF149" s="55"/>
      <c r="AG149" s="55"/>
      <c r="AH149" s="55">
        <v>44497</v>
      </c>
      <c r="AI149" s="55"/>
      <c r="AJ149" s="55">
        <v>44369</v>
      </c>
      <c r="AK149" s="55"/>
      <c r="AL149" s="55"/>
      <c r="AM149" s="55">
        <v>44392</v>
      </c>
      <c r="AN149" s="55"/>
      <c r="AO149" s="55"/>
      <c r="AP149" s="55"/>
      <c r="AQ149" s="55"/>
      <c r="AR149" s="55"/>
      <c r="AS149" s="55"/>
      <c r="AT149" s="55"/>
      <c r="AU149" s="55">
        <v>44407</v>
      </c>
      <c r="AV149" s="55"/>
      <c r="AW149" s="55">
        <v>44319</v>
      </c>
      <c r="AX149" s="55"/>
      <c r="AY149" s="55">
        <v>44495</v>
      </c>
      <c r="AZ149" s="55"/>
      <c r="BA149" s="55">
        <v>44407</v>
      </c>
      <c r="BB149" s="55">
        <v>44392</v>
      </c>
      <c r="BC149" s="55"/>
      <c r="BD149" s="55"/>
      <c r="BE149" s="55"/>
      <c r="BF149" s="55"/>
      <c r="BG149" s="55">
        <v>44488</v>
      </c>
      <c r="BH149" s="55"/>
      <c r="BI149" s="55"/>
      <c r="BJ149" s="55"/>
    </row>
    <row r="150" spans="1:62" x14ac:dyDescent="0.4">
      <c r="A150" s="5">
        <f t="shared" si="3"/>
        <v>8</v>
      </c>
      <c r="B150" s="3" t="s">
        <v>146</v>
      </c>
      <c r="C150" s="55"/>
      <c r="D150" s="55">
        <v>44484</v>
      </c>
      <c r="E150" s="55"/>
      <c r="F150" s="55"/>
      <c r="G150" s="55">
        <v>44447</v>
      </c>
      <c r="H150" s="55"/>
      <c r="I150" s="55">
        <v>44228</v>
      </c>
      <c r="J150" s="55"/>
      <c r="K150" s="55">
        <v>44363</v>
      </c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>
        <v>44229</v>
      </c>
      <c r="AL150" s="55"/>
      <c r="AM150" s="56">
        <v>44207</v>
      </c>
      <c r="AN150" s="55"/>
      <c r="AO150" s="55"/>
      <c r="AP150" s="55"/>
      <c r="AQ150" s="55"/>
      <c r="AR150" s="55"/>
      <c r="AS150" s="55"/>
      <c r="AT150" s="55"/>
      <c r="AU150" s="55"/>
      <c r="AV150" s="55"/>
      <c r="AW150" s="55">
        <v>44363</v>
      </c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>
        <v>44232</v>
      </c>
      <c r="BJ150" s="55"/>
    </row>
    <row r="151" spans="1:62" x14ac:dyDescent="0.4">
      <c r="A151" s="5">
        <f t="shared" si="3"/>
        <v>39</v>
      </c>
      <c r="B151" s="3" t="s">
        <v>147</v>
      </c>
      <c r="C151" s="55">
        <v>44482</v>
      </c>
      <c r="D151" s="55">
        <v>44482</v>
      </c>
      <c r="E151" s="55">
        <v>44482</v>
      </c>
      <c r="F151" s="55">
        <v>44484</v>
      </c>
      <c r="G151" s="55">
        <v>44482</v>
      </c>
      <c r="H151" s="55">
        <v>44175</v>
      </c>
      <c r="I151" s="55">
        <v>44469</v>
      </c>
      <c r="J151" s="55">
        <v>44476</v>
      </c>
      <c r="K151" s="55">
        <v>44484</v>
      </c>
      <c r="L151" s="55">
        <v>44484</v>
      </c>
      <c r="M151" s="55">
        <v>44491</v>
      </c>
      <c r="N151" s="55">
        <v>44468</v>
      </c>
      <c r="O151" s="55"/>
      <c r="P151" s="55">
        <v>44183</v>
      </c>
      <c r="Q151" s="55">
        <v>44482</v>
      </c>
      <c r="R151" s="55">
        <v>44187</v>
      </c>
      <c r="S151" s="55">
        <v>44180</v>
      </c>
      <c r="T151" s="55">
        <v>44475</v>
      </c>
      <c r="U151" s="55">
        <v>44187</v>
      </c>
      <c r="V151" s="55">
        <v>44188</v>
      </c>
      <c r="W151" s="55"/>
      <c r="X151" s="55">
        <v>44181</v>
      </c>
      <c r="Y151" s="55"/>
      <c r="Z151" s="55"/>
      <c r="AA151" s="55">
        <v>44467</v>
      </c>
      <c r="AB151" s="55">
        <v>44475</v>
      </c>
      <c r="AC151" s="55">
        <v>44180</v>
      </c>
      <c r="AD151" s="55">
        <v>44173</v>
      </c>
      <c r="AE151" s="55">
        <v>44180</v>
      </c>
      <c r="AF151" s="55"/>
      <c r="AG151" s="55">
        <v>44482</v>
      </c>
      <c r="AH151" s="55">
        <v>44475</v>
      </c>
      <c r="AI151" s="55"/>
      <c r="AJ151" s="55">
        <v>44484</v>
      </c>
      <c r="AK151" s="55"/>
      <c r="AL151" s="55"/>
      <c r="AM151" s="55">
        <v>44482</v>
      </c>
      <c r="AN151" s="55">
        <v>44483</v>
      </c>
      <c r="AO151" s="55"/>
      <c r="AP151" s="55">
        <v>44456</v>
      </c>
      <c r="AQ151" s="55">
        <v>44183</v>
      </c>
      <c r="AR151" s="55">
        <v>44490</v>
      </c>
      <c r="AS151" s="55">
        <v>44491</v>
      </c>
      <c r="AT151" s="55"/>
      <c r="AU151" s="55">
        <v>44483</v>
      </c>
      <c r="AV151" s="55"/>
      <c r="AW151" s="55">
        <v>44491</v>
      </c>
      <c r="AX151" s="55">
        <v>44476</v>
      </c>
      <c r="AY151" s="55"/>
      <c r="AZ151" s="55"/>
      <c r="BA151" s="55"/>
      <c r="BB151" s="55"/>
      <c r="BC151" s="55">
        <v>44482</v>
      </c>
      <c r="BD151" s="55"/>
      <c r="BE151" s="55"/>
      <c r="BF151" s="55"/>
      <c r="BG151" s="55">
        <v>44484</v>
      </c>
      <c r="BH151" s="55"/>
      <c r="BI151" s="55"/>
      <c r="BJ151" s="55"/>
    </row>
    <row r="152" spans="1:62" x14ac:dyDescent="0.4">
      <c r="A152" s="5">
        <f t="shared" si="3"/>
        <v>32</v>
      </c>
      <c r="B152" s="3" t="s">
        <v>148</v>
      </c>
      <c r="C152" s="55">
        <v>44491</v>
      </c>
      <c r="D152" s="55">
        <v>44188</v>
      </c>
      <c r="E152" s="55">
        <v>44491</v>
      </c>
      <c r="F152" s="55">
        <v>44491</v>
      </c>
      <c r="G152" s="55">
        <v>44491</v>
      </c>
      <c r="H152" s="55">
        <v>44188</v>
      </c>
      <c r="I152" s="55">
        <v>44491</v>
      </c>
      <c r="J152" s="55">
        <v>44491</v>
      </c>
      <c r="K152" s="55">
        <v>44491</v>
      </c>
      <c r="L152" s="55">
        <v>44491</v>
      </c>
      <c r="M152" s="55">
        <v>44491</v>
      </c>
      <c r="N152" s="55">
        <v>44188</v>
      </c>
      <c r="O152" s="55">
        <v>44188</v>
      </c>
      <c r="P152" s="56">
        <v>44133</v>
      </c>
      <c r="Q152" s="56">
        <v>44133</v>
      </c>
      <c r="R152" s="55"/>
      <c r="S152" s="55">
        <v>44188</v>
      </c>
      <c r="T152" s="56">
        <v>44133</v>
      </c>
      <c r="U152" s="56">
        <v>44133</v>
      </c>
      <c r="V152" s="55">
        <v>44188</v>
      </c>
      <c r="W152" s="55"/>
      <c r="X152" s="55"/>
      <c r="Y152" s="55"/>
      <c r="Z152" s="55">
        <v>44188</v>
      </c>
      <c r="AA152" s="55"/>
      <c r="AB152" s="55">
        <v>44188</v>
      </c>
      <c r="AC152" s="55">
        <v>44188</v>
      </c>
      <c r="AD152" s="56">
        <v>44133</v>
      </c>
      <c r="AE152" s="55">
        <v>44188</v>
      </c>
      <c r="AF152" s="55"/>
      <c r="AG152" s="55"/>
      <c r="AH152" s="55">
        <v>44491</v>
      </c>
      <c r="AI152" s="55">
        <v>44491</v>
      </c>
      <c r="AJ152" s="55">
        <v>44491</v>
      </c>
      <c r="AK152" s="55"/>
      <c r="AL152" s="55"/>
      <c r="AM152" s="55">
        <v>44491</v>
      </c>
      <c r="AN152" s="55"/>
      <c r="AO152" s="55"/>
      <c r="AP152" s="55">
        <v>44491</v>
      </c>
      <c r="AQ152" s="55"/>
      <c r="AR152" s="55"/>
      <c r="AS152" s="55"/>
      <c r="AT152" s="55"/>
      <c r="AU152" s="55">
        <v>44491</v>
      </c>
      <c r="AV152" s="55">
        <v>44491</v>
      </c>
      <c r="AW152" s="55"/>
      <c r="AX152" s="55"/>
      <c r="AY152" s="55"/>
      <c r="AZ152" s="55"/>
      <c r="BA152" s="55"/>
      <c r="BB152" s="55">
        <v>44491</v>
      </c>
      <c r="BC152" s="55"/>
      <c r="BD152" s="55"/>
      <c r="BE152" s="55"/>
      <c r="BF152" s="55"/>
      <c r="BG152" s="55"/>
      <c r="BH152" s="55"/>
      <c r="BI152" s="55"/>
      <c r="BJ152" s="55"/>
    </row>
    <row r="153" spans="1:62" x14ac:dyDescent="0.4">
      <c r="A153" s="5">
        <f t="shared" si="3"/>
        <v>32</v>
      </c>
      <c r="B153" s="3" t="s">
        <v>149</v>
      </c>
      <c r="C153" s="55">
        <v>44453</v>
      </c>
      <c r="D153" s="55">
        <v>44266</v>
      </c>
      <c r="E153" s="55">
        <v>44378</v>
      </c>
      <c r="F153" s="55">
        <v>44446</v>
      </c>
      <c r="G153" s="55">
        <v>44495</v>
      </c>
      <c r="H153" s="55">
        <v>44266</v>
      </c>
      <c r="I153" s="55">
        <v>44392</v>
      </c>
      <c r="J153" s="55">
        <v>44425</v>
      </c>
      <c r="K153" s="55">
        <v>44390</v>
      </c>
      <c r="L153" s="55">
        <v>44293</v>
      </c>
      <c r="M153" s="55">
        <v>44497</v>
      </c>
      <c r="N153" s="55">
        <v>44285</v>
      </c>
      <c r="O153" s="55"/>
      <c r="P153" s="55">
        <v>44285</v>
      </c>
      <c r="Q153" s="55"/>
      <c r="R153" s="55"/>
      <c r="S153" s="55">
        <v>44398</v>
      </c>
      <c r="T153" s="55">
        <v>44393</v>
      </c>
      <c r="U153" s="55">
        <v>44285</v>
      </c>
      <c r="V153" s="55">
        <v>44357</v>
      </c>
      <c r="W153" s="55"/>
      <c r="X153" s="55"/>
      <c r="Y153" s="55"/>
      <c r="Z153" s="55">
        <v>44287</v>
      </c>
      <c r="AA153" s="55">
        <v>44287</v>
      </c>
      <c r="AB153" s="55">
        <v>44287</v>
      </c>
      <c r="AC153" s="55">
        <v>44502</v>
      </c>
      <c r="AD153" s="55">
        <v>44497</v>
      </c>
      <c r="AE153" s="55">
        <v>44287</v>
      </c>
      <c r="AF153" s="55"/>
      <c r="AG153" s="55"/>
      <c r="AH153" s="55">
        <v>44449</v>
      </c>
      <c r="AI153" s="55">
        <v>44378</v>
      </c>
      <c r="AJ153" s="55">
        <v>44378</v>
      </c>
      <c r="AK153" s="55"/>
      <c r="AL153" s="55"/>
      <c r="AM153" s="55">
        <v>44441</v>
      </c>
      <c r="AN153" s="55"/>
      <c r="AO153" s="55"/>
      <c r="AP153" s="55"/>
      <c r="AQ153" s="55"/>
      <c r="AR153" s="55">
        <v>44446</v>
      </c>
      <c r="AS153" s="55"/>
      <c r="AT153" s="55"/>
      <c r="AU153" s="55">
        <v>44495</v>
      </c>
      <c r="AV153" s="55"/>
      <c r="AW153" s="55">
        <v>44293</v>
      </c>
      <c r="AX153" s="55"/>
      <c r="AY153" s="55"/>
      <c r="AZ153" s="55"/>
      <c r="BA153" s="55">
        <v>44378</v>
      </c>
      <c r="BB153" s="55">
        <v>44329</v>
      </c>
      <c r="BC153" s="55"/>
      <c r="BD153" s="55"/>
      <c r="BE153" s="55"/>
      <c r="BF153" s="55"/>
      <c r="BG153" s="55"/>
      <c r="BH153" s="55"/>
      <c r="BI153" s="55"/>
      <c r="BJ153" s="55"/>
    </row>
    <row r="154" spans="1:62" x14ac:dyDescent="0.4">
      <c r="A154" s="5">
        <f t="shared" si="3"/>
        <v>34</v>
      </c>
      <c r="B154" s="3" t="s">
        <v>150</v>
      </c>
      <c r="C154" s="56">
        <v>43742</v>
      </c>
      <c r="D154" s="55"/>
      <c r="E154" s="55">
        <v>44435</v>
      </c>
      <c r="F154" s="55">
        <v>44435</v>
      </c>
      <c r="G154" s="55">
        <v>44442</v>
      </c>
      <c r="H154" s="56">
        <v>44097</v>
      </c>
      <c r="I154" s="55">
        <v>44448</v>
      </c>
      <c r="J154" s="55">
        <v>44435</v>
      </c>
      <c r="K154" s="55">
        <v>44497</v>
      </c>
      <c r="L154" s="55"/>
      <c r="M154" s="55"/>
      <c r="N154" s="56">
        <v>44025</v>
      </c>
      <c r="O154" s="56">
        <v>44025</v>
      </c>
      <c r="P154" s="56">
        <v>44126</v>
      </c>
      <c r="Q154" s="55">
        <v>44440</v>
      </c>
      <c r="R154" s="55"/>
      <c r="S154" s="55">
        <v>44502</v>
      </c>
      <c r="T154" s="56">
        <v>44123</v>
      </c>
      <c r="U154" s="56">
        <v>44130</v>
      </c>
      <c r="V154" s="56">
        <v>44125</v>
      </c>
      <c r="W154" s="55"/>
      <c r="X154" s="55">
        <v>44137</v>
      </c>
      <c r="Y154" s="55"/>
      <c r="Z154" s="55">
        <v>44498</v>
      </c>
      <c r="AA154" s="55">
        <v>44502</v>
      </c>
      <c r="AB154" s="55"/>
      <c r="AC154" s="55"/>
      <c r="AD154" s="55"/>
      <c r="AE154" s="55">
        <v>44504</v>
      </c>
      <c r="AF154" s="55"/>
      <c r="AG154" s="55">
        <v>44474</v>
      </c>
      <c r="AH154" s="55">
        <v>44462</v>
      </c>
      <c r="AI154" s="56">
        <v>44130</v>
      </c>
      <c r="AJ154" s="56">
        <v>44118</v>
      </c>
      <c r="AK154" s="55"/>
      <c r="AL154" s="55">
        <v>44442</v>
      </c>
      <c r="AM154" s="55">
        <v>44470</v>
      </c>
      <c r="AN154" s="55"/>
      <c r="AO154" s="55"/>
      <c r="AP154" s="55"/>
      <c r="AQ154" s="55"/>
      <c r="AR154" s="55">
        <v>44421</v>
      </c>
      <c r="AS154" s="55"/>
      <c r="AT154" s="55"/>
      <c r="AU154" s="55">
        <v>44466</v>
      </c>
      <c r="AV154" s="56">
        <v>44089</v>
      </c>
      <c r="AW154" s="55"/>
      <c r="AX154" s="55">
        <v>44144</v>
      </c>
      <c r="AY154" s="55"/>
      <c r="AZ154" s="55"/>
      <c r="BA154" s="56">
        <v>44103</v>
      </c>
      <c r="BB154" s="56">
        <v>44123</v>
      </c>
      <c r="BC154" s="55"/>
      <c r="BD154" s="55"/>
      <c r="BE154" s="55">
        <v>44462</v>
      </c>
      <c r="BF154" s="55"/>
      <c r="BG154" s="56">
        <v>44161</v>
      </c>
      <c r="BH154" s="55"/>
      <c r="BI154" s="55"/>
      <c r="BJ154" s="55"/>
    </row>
    <row r="155" spans="1:62" x14ac:dyDescent="0.4">
      <c r="A155" s="5">
        <f t="shared" si="3"/>
        <v>42</v>
      </c>
      <c r="B155" s="3" t="s">
        <v>151</v>
      </c>
      <c r="C155" s="55">
        <v>44425</v>
      </c>
      <c r="D155" s="55">
        <v>44425</v>
      </c>
      <c r="E155" s="55">
        <v>44425</v>
      </c>
      <c r="F155" s="55">
        <v>44414</v>
      </c>
      <c r="G155" s="55">
        <v>44484</v>
      </c>
      <c r="H155" s="55">
        <v>44400</v>
      </c>
      <c r="I155" s="55">
        <v>44427</v>
      </c>
      <c r="J155" s="55">
        <v>44425</v>
      </c>
      <c r="K155" s="55"/>
      <c r="L155" s="55">
        <v>44417</v>
      </c>
      <c r="M155" s="55">
        <v>44425</v>
      </c>
      <c r="N155" s="55">
        <v>44484</v>
      </c>
      <c r="O155" s="55"/>
      <c r="P155" s="55">
        <v>44425</v>
      </c>
      <c r="Q155" s="55">
        <v>44435</v>
      </c>
      <c r="R155" s="55"/>
      <c r="S155" s="55">
        <v>44425</v>
      </c>
      <c r="T155" s="55">
        <v>44400</v>
      </c>
      <c r="U155" s="55">
        <v>44433</v>
      </c>
      <c r="V155" s="55">
        <v>44400</v>
      </c>
      <c r="W155" s="55"/>
      <c r="X155" s="55">
        <v>44425</v>
      </c>
      <c r="Y155" s="55">
        <v>44400</v>
      </c>
      <c r="Z155" s="55">
        <v>44400</v>
      </c>
      <c r="AA155" s="55">
        <v>44425</v>
      </c>
      <c r="AB155" s="55">
        <v>44414</v>
      </c>
      <c r="AC155" s="55">
        <v>44417</v>
      </c>
      <c r="AD155" s="55"/>
      <c r="AE155" s="55"/>
      <c r="AF155" s="55"/>
      <c r="AG155" s="55">
        <v>44400</v>
      </c>
      <c r="AH155" s="55">
        <v>44425</v>
      </c>
      <c r="AI155" s="55">
        <v>44400</v>
      </c>
      <c r="AJ155" s="55">
        <v>44400</v>
      </c>
      <c r="AK155" s="55"/>
      <c r="AL155" s="56">
        <v>44400</v>
      </c>
      <c r="AM155" s="55">
        <v>44427</v>
      </c>
      <c r="AN155" s="55">
        <v>44425</v>
      </c>
      <c r="AO155" s="55"/>
      <c r="AP155" s="55">
        <v>44488</v>
      </c>
      <c r="AQ155" s="55">
        <v>44425</v>
      </c>
      <c r="AR155" s="55">
        <v>44488</v>
      </c>
      <c r="AS155" s="55">
        <v>44400</v>
      </c>
      <c r="AT155" s="55">
        <v>44490</v>
      </c>
      <c r="AU155" s="55">
        <v>44414</v>
      </c>
      <c r="AV155" s="55">
        <v>44484</v>
      </c>
      <c r="AW155" s="55">
        <v>44425</v>
      </c>
      <c r="AX155" s="55"/>
      <c r="AY155" s="55">
        <v>44425</v>
      </c>
      <c r="AZ155" s="55"/>
      <c r="BA155" s="55">
        <v>44484</v>
      </c>
      <c r="BB155" s="55">
        <v>44400</v>
      </c>
      <c r="BC155" s="55"/>
      <c r="BD155" s="55"/>
      <c r="BE155" s="55"/>
      <c r="BF155" s="55"/>
      <c r="BG155" s="55">
        <v>44400</v>
      </c>
      <c r="BH155" s="55"/>
      <c r="BI155" s="55"/>
      <c r="BJ155" s="55"/>
    </row>
    <row r="156" spans="1:62" x14ac:dyDescent="0.4">
      <c r="A156" s="5">
        <f t="shared" si="3"/>
        <v>34</v>
      </c>
      <c r="B156" s="3" t="s">
        <v>152</v>
      </c>
      <c r="C156" s="55">
        <v>44487</v>
      </c>
      <c r="D156" s="55">
        <v>44487</v>
      </c>
      <c r="E156" s="55">
        <v>44487</v>
      </c>
      <c r="F156" s="55">
        <v>44488</v>
      </c>
      <c r="G156" s="55">
        <v>44488</v>
      </c>
      <c r="H156" s="55">
        <v>44487</v>
      </c>
      <c r="I156" s="55">
        <v>44489</v>
      </c>
      <c r="J156" s="55">
        <v>44487</v>
      </c>
      <c r="K156" s="55">
        <v>44487</v>
      </c>
      <c r="L156" s="55">
        <v>44489</v>
      </c>
      <c r="M156" s="55">
        <v>44487</v>
      </c>
      <c r="N156" s="55">
        <v>44488</v>
      </c>
      <c r="O156" s="55"/>
      <c r="P156" s="55">
        <v>44487</v>
      </c>
      <c r="Q156" s="55">
        <v>44487</v>
      </c>
      <c r="R156" s="55"/>
      <c r="S156" s="55">
        <v>44487</v>
      </c>
      <c r="T156" s="55">
        <v>44487</v>
      </c>
      <c r="U156" s="55">
        <v>44487</v>
      </c>
      <c r="V156" s="55"/>
      <c r="W156" s="55"/>
      <c r="X156" s="55"/>
      <c r="Y156" s="55"/>
      <c r="Z156" s="55">
        <v>44487</v>
      </c>
      <c r="AA156" s="55">
        <v>44487</v>
      </c>
      <c r="AB156" s="55">
        <v>44488</v>
      </c>
      <c r="AC156" s="55"/>
      <c r="AD156" s="55"/>
      <c r="AE156" s="55">
        <v>44488</v>
      </c>
      <c r="AF156" s="55"/>
      <c r="AG156" s="55">
        <v>44487</v>
      </c>
      <c r="AH156" s="55">
        <v>44487</v>
      </c>
      <c r="AI156" s="55">
        <v>44487</v>
      </c>
      <c r="AJ156" s="55">
        <v>44487</v>
      </c>
      <c r="AK156" s="55">
        <v>44487</v>
      </c>
      <c r="AL156" s="55"/>
      <c r="AM156" s="55"/>
      <c r="AN156" s="55"/>
      <c r="AO156" s="55"/>
      <c r="AP156" s="55">
        <v>44487</v>
      </c>
      <c r="AQ156" s="55">
        <v>44487</v>
      </c>
      <c r="AR156" s="55"/>
      <c r="AS156" s="55"/>
      <c r="AT156" s="55"/>
      <c r="AU156" s="55">
        <v>44488</v>
      </c>
      <c r="AV156" s="55"/>
      <c r="AW156" s="55">
        <v>44487</v>
      </c>
      <c r="AX156" s="55"/>
      <c r="AY156" s="55">
        <v>44487</v>
      </c>
      <c r="AZ156" s="55"/>
      <c r="BA156" s="55">
        <v>44487</v>
      </c>
      <c r="BB156" s="55">
        <v>44487</v>
      </c>
      <c r="BC156" s="55"/>
      <c r="BD156" s="55"/>
      <c r="BE156" s="55"/>
      <c r="BF156" s="55"/>
      <c r="BG156" s="55">
        <v>44487</v>
      </c>
      <c r="BH156" s="55"/>
      <c r="BI156" s="55"/>
      <c r="BJ156" s="55"/>
    </row>
    <row r="157" spans="1:62" x14ac:dyDescent="0.4">
      <c r="A157" s="5">
        <f t="shared" si="3"/>
        <v>22</v>
      </c>
      <c r="B157" s="3" t="s">
        <v>153</v>
      </c>
      <c r="C157" s="56">
        <v>44207</v>
      </c>
      <c r="D157" s="56">
        <v>43657</v>
      </c>
      <c r="E157" s="56">
        <v>44207</v>
      </c>
      <c r="F157" s="56">
        <v>43370</v>
      </c>
      <c r="G157" s="56">
        <v>43370</v>
      </c>
      <c r="H157" s="56">
        <v>43657</v>
      </c>
      <c r="I157" s="55">
        <v>44207</v>
      </c>
      <c r="J157" s="56">
        <v>43339</v>
      </c>
      <c r="K157" s="55"/>
      <c r="L157" s="55"/>
      <c r="M157" s="56">
        <v>44207</v>
      </c>
      <c r="N157" s="56">
        <v>43657</v>
      </c>
      <c r="O157" s="55"/>
      <c r="P157" s="56">
        <v>43656</v>
      </c>
      <c r="Q157" s="55"/>
      <c r="R157" s="55"/>
      <c r="S157" s="55"/>
      <c r="T157" s="55">
        <v>44207</v>
      </c>
      <c r="U157" s="55">
        <v>44207</v>
      </c>
      <c r="V157" s="56">
        <v>43656</v>
      </c>
      <c r="W157" s="55"/>
      <c r="X157" s="55"/>
      <c r="Y157" s="55"/>
      <c r="Z157" s="55"/>
      <c r="AA157" s="56">
        <v>43657</v>
      </c>
      <c r="AB157" s="55">
        <v>44207</v>
      </c>
      <c r="AC157" s="56">
        <v>43656</v>
      </c>
      <c r="AD157" s="55"/>
      <c r="AE157" s="55"/>
      <c r="AF157" s="55"/>
      <c r="AG157" s="56">
        <v>44207</v>
      </c>
      <c r="AH157" s="55"/>
      <c r="AI157" s="56">
        <v>43609</v>
      </c>
      <c r="AJ157" s="56">
        <v>43609</v>
      </c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6">
        <v>44207</v>
      </c>
      <c r="AV157" s="55"/>
      <c r="AW157" s="55"/>
      <c r="AX157" s="55"/>
      <c r="AY157" s="55"/>
      <c r="AZ157" s="55"/>
      <c r="BA157" s="55"/>
      <c r="BB157" s="55"/>
      <c r="BC157" s="55"/>
      <c r="BD157" s="55"/>
      <c r="BE157" s="55"/>
      <c r="BF157" s="55"/>
      <c r="BG157" s="55"/>
      <c r="BH157" s="55">
        <v>44207</v>
      </c>
      <c r="BI157" s="55"/>
      <c r="BJ157" s="55"/>
    </row>
    <row r="158" spans="1:62" x14ac:dyDescent="0.4">
      <c r="A158" s="5">
        <f t="shared" si="3"/>
        <v>38</v>
      </c>
      <c r="B158" s="3" t="s">
        <v>154</v>
      </c>
      <c r="C158" s="55">
        <v>44463</v>
      </c>
      <c r="D158" s="55">
        <v>44463</v>
      </c>
      <c r="E158" s="55">
        <v>44495</v>
      </c>
      <c r="F158" s="55">
        <v>44495</v>
      </c>
      <c r="G158" s="55">
        <v>44495</v>
      </c>
      <c r="H158" s="55">
        <v>44495</v>
      </c>
      <c r="I158" s="55">
        <v>44495</v>
      </c>
      <c r="J158" s="55">
        <v>44495</v>
      </c>
      <c r="K158" s="55"/>
      <c r="L158" s="55">
        <v>44495</v>
      </c>
      <c r="M158" s="55">
        <v>44496</v>
      </c>
      <c r="N158" s="55">
        <v>44495</v>
      </c>
      <c r="O158" s="55">
        <v>44495</v>
      </c>
      <c r="P158" s="55">
        <v>44495</v>
      </c>
      <c r="Q158" s="55">
        <v>44495</v>
      </c>
      <c r="R158" s="55"/>
      <c r="S158" s="55">
        <v>44463</v>
      </c>
      <c r="T158" s="55">
        <v>44463</v>
      </c>
      <c r="U158" s="55">
        <v>44463</v>
      </c>
      <c r="V158" s="55">
        <v>44495</v>
      </c>
      <c r="W158" s="55"/>
      <c r="X158" s="55"/>
      <c r="Y158" s="55"/>
      <c r="Z158" s="55"/>
      <c r="AA158" s="55">
        <v>44463</v>
      </c>
      <c r="AB158" s="55">
        <v>44495</v>
      </c>
      <c r="AC158" s="55">
        <v>44495</v>
      </c>
      <c r="AD158" s="55">
        <v>44463</v>
      </c>
      <c r="AE158" s="55">
        <v>44463</v>
      </c>
      <c r="AF158" s="55"/>
      <c r="AG158" s="55">
        <v>44463</v>
      </c>
      <c r="AH158" s="55">
        <v>44463</v>
      </c>
      <c r="AI158" s="55">
        <v>44495</v>
      </c>
      <c r="AJ158" s="55">
        <v>44495</v>
      </c>
      <c r="AK158" s="55"/>
      <c r="AL158" s="55"/>
      <c r="AM158" s="55"/>
      <c r="AN158" s="55"/>
      <c r="AO158" s="55"/>
      <c r="AP158" s="55">
        <v>44463</v>
      </c>
      <c r="AQ158" s="55"/>
      <c r="AR158" s="55">
        <v>44463</v>
      </c>
      <c r="AS158" s="55"/>
      <c r="AT158" s="55"/>
      <c r="AU158" s="55">
        <v>44495</v>
      </c>
      <c r="AV158" s="55">
        <v>44463</v>
      </c>
      <c r="AW158" s="55">
        <v>44463</v>
      </c>
      <c r="AX158" s="55">
        <v>44496</v>
      </c>
      <c r="AY158" s="55">
        <v>44463</v>
      </c>
      <c r="AZ158" s="55"/>
      <c r="BA158" s="55">
        <v>44463</v>
      </c>
      <c r="BB158" s="55">
        <v>44463</v>
      </c>
      <c r="BC158" s="55">
        <v>44495</v>
      </c>
      <c r="BD158" s="55"/>
      <c r="BE158" s="55"/>
      <c r="BF158" s="55"/>
      <c r="BG158" s="55">
        <v>44495</v>
      </c>
      <c r="BH158" s="55"/>
      <c r="BI158" s="55"/>
      <c r="BJ158" s="55"/>
    </row>
    <row r="159" spans="1:62" x14ac:dyDescent="0.4">
      <c r="A159" s="5">
        <f t="shared" si="3"/>
        <v>37</v>
      </c>
      <c r="B159" s="3" t="s">
        <v>155</v>
      </c>
      <c r="C159" s="55">
        <v>44486</v>
      </c>
      <c r="D159" s="55">
        <v>44475</v>
      </c>
      <c r="E159" s="55">
        <v>44487</v>
      </c>
      <c r="F159" s="55">
        <v>44487</v>
      </c>
      <c r="G159" s="55">
        <v>44474</v>
      </c>
      <c r="H159" s="55">
        <v>44475</v>
      </c>
      <c r="I159" s="55">
        <v>44486</v>
      </c>
      <c r="J159" s="55">
        <v>44486</v>
      </c>
      <c r="K159" s="55">
        <v>44487</v>
      </c>
      <c r="L159" s="55">
        <v>44486</v>
      </c>
      <c r="M159" s="55">
        <v>44486</v>
      </c>
      <c r="N159" s="55">
        <v>44487</v>
      </c>
      <c r="O159" s="55"/>
      <c r="P159" s="55">
        <v>44487</v>
      </c>
      <c r="Q159" s="55">
        <v>44486</v>
      </c>
      <c r="R159" s="55">
        <v>44486</v>
      </c>
      <c r="S159" s="55">
        <v>44474</v>
      </c>
      <c r="T159" s="55">
        <v>44487</v>
      </c>
      <c r="U159" s="55">
        <v>44486</v>
      </c>
      <c r="V159" s="55">
        <v>44487</v>
      </c>
      <c r="W159" s="55"/>
      <c r="X159" s="55"/>
      <c r="Y159" s="55"/>
      <c r="Z159" s="55">
        <v>44486</v>
      </c>
      <c r="AA159" s="55">
        <v>44487</v>
      </c>
      <c r="AB159" s="55">
        <v>44476</v>
      </c>
      <c r="AC159" s="55"/>
      <c r="AD159" s="55">
        <v>44483</v>
      </c>
      <c r="AE159" s="55">
        <v>44482</v>
      </c>
      <c r="AF159" s="55"/>
      <c r="AG159" s="55"/>
      <c r="AH159" s="55">
        <v>44486</v>
      </c>
      <c r="AI159" s="55"/>
      <c r="AJ159" s="55">
        <v>44486</v>
      </c>
      <c r="AK159" s="55"/>
      <c r="AL159" s="55"/>
      <c r="AM159" s="55"/>
      <c r="AN159" s="55"/>
      <c r="AO159" s="55"/>
      <c r="AP159" s="55"/>
      <c r="AQ159" s="55"/>
      <c r="AR159" s="55">
        <v>44477</v>
      </c>
      <c r="AS159" s="55"/>
      <c r="AT159" s="55"/>
      <c r="AU159" s="55">
        <v>44486</v>
      </c>
      <c r="AV159" s="55"/>
      <c r="AW159" s="55">
        <v>44486</v>
      </c>
      <c r="AX159" s="55">
        <v>44486</v>
      </c>
      <c r="AY159" s="55">
        <v>44487</v>
      </c>
      <c r="AZ159" s="55"/>
      <c r="BA159" s="55">
        <v>44486</v>
      </c>
      <c r="BB159" s="55">
        <v>44487</v>
      </c>
      <c r="BC159" s="55"/>
      <c r="BD159" s="55"/>
      <c r="BE159" s="55">
        <v>44486</v>
      </c>
      <c r="BF159" s="55"/>
      <c r="BG159" s="55">
        <v>44486</v>
      </c>
      <c r="BH159" s="55">
        <v>44487</v>
      </c>
      <c r="BI159" s="55">
        <v>44486</v>
      </c>
      <c r="BJ159" s="55"/>
    </row>
    <row r="160" spans="1:62" x14ac:dyDescent="0.4">
      <c r="A160" s="5">
        <f t="shared" si="3"/>
        <v>36</v>
      </c>
      <c r="B160" s="3" t="s">
        <v>156</v>
      </c>
      <c r="C160" s="55">
        <v>44396</v>
      </c>
      <c r="D160" s="55">
        <v>44396</v>
      </c>
      <c r="E160" s="55">
        <v>44396</v>
      </c>
      <c r="F160" s="55">
        <v>44490</v>
      </c>
      <c r="G160" s="55">
        <v>44490</v>
      </c>
      <c r="H160" s="55">
        <v>44396</v>
      </c>
      <c r="I160" s="55">
        <v>44396</v>
      </c>
      <c r="J160" s="55">
        <v>44490</v>
      </c>
      <c r="K160" s="55">
        <v>44399</v>
      </c>
      <c r="L160" s="55">
        <v>44396</v>
      </c>
      <c r="M160" s="55">
        <v>44490</v>
      </c>
      <c r="N160" s="55">
        <v>44396</v>
      </c>
      <c r="O160" s="55"/>
      <c r="P160" s="55">
        <v>44399</v>
      </c>
      <c r="Q160" s="55">
        <v>44396</v>
      </c>
      <c r="R160" s="55">
        <v>44396</v>
      </c>
      <c r="S160" s="55">
        <v>44396</v>
      </c>
      <c r="T160" s="55">
        <v>44396</v>
      </c>
      <c r="U160" s="55">
        <v>44396</v>
      </c>
      <c r="V160" s="55">
        <v>44396</v>
      </c>
      <c r="W160" s="55"/>
      <c r="X160" s="55"/>
      <c r="Y160" s="55"/>
      <c r="Z160" s="55"/>
      <c r="AA160" s="55">
        <v>44396</v>
      </c>
      <c r="AB160" s="55">
        <v>44396</v>
      </c>
      <c r="AC160" s="55">
        <v>44396</v>
      </c>
      <c r="AD160" s="55">
        <v>44396</v>
      </c>
      <c r="AE160" s="55">
        <v>44396</v>
      </c>
      <c r="AF160" s="55"/>
      <c r="AG160" s="55">
        <v>44396</v>
      </c>
      <c r="AH160" s="55">
        <v>44399</v>
      </c>
      <c r="AI160" s="55"/>
      <c r="AJ160" s="55">
        <v>44396</v>
      </c>
      <c r="AK160" s="55"/>
      <c r="AL160" s="55"/>
      <c r="AM160" s="55">
        <v>44411</v>
      </c>
      <c r="AN160" s="55"/>
      <c r="AO160" s="55"/>
      <c r="AP160" s="55">
        <v>44396</v>
      </c>
      <c r="AQ160" s="55"/>
      <c r="AR160" s="55"/>
      <c r="AS160" s="55"/>
      <c r="AT160" s="55"/>
      <c r="AU160" s="55">
        <v>44396</v>
      </c>
      <c r="AV160" s="55">
        <v>44396</v>
      </c>
      <c r="AW160" s="55">
        <v>44396</v>
      </c>
      <c r="AX160" s="55"/>
      <c r="AY160" s="55">
        <v>44396</v>
      </c>
      <c r="AZ160" s="55"/>
      <c r="BA160" s="55">
        <v>44403</v>
      </c>
      <c r="BB160" s="55">
        <v>44396</v>
      </c>
      <c r="BC160" s="55"/>
      <c r="BD160" s="55"/>
      <c r="BE160" s="55"/>
      <c r="BF160" s="55"/>
      <c r="BG160" s="55">
        <v>44396</v>
      </c>
      <c r="BH160" s="55"/>
      <c r="BI160" s="55"/>
      <c r="BJ160" s="55"/>
    </row>
    <row r="161" spans="1:62" x14ac:dyDescent="0.4">
      <c r="A161" s="5">
        <f t="shared" si="3"/>
        <v>39</v>
      </c>
      <c r="B161" s="3" t="s">
        <v>157</v>
      </c>
      <c r="C161" s="55">
        <v>44399</v>
      </c>
      <c r="D161" s="55">
        <v>44398</v>
      </c>
      <c r="E161" s="55">
        <v>44399</v>
      </c>
      <c r="F161" s="55">
        <v>44504</v>
      </c>
      <c r="G161" s="55">
        <v>44488</v>
      </c>
      <c r="H161" s="55">
        <v>44491</v>
      </c>
      <c r="I161" s="55">
        <v>44488</v>
      </c>
      <c r="J161" s="56">
        <v>44399</v>
      </c>
      <c r="K161" s="55">
        <v>44399</v>
      </c>
      <c r="L161" s="55">
        <v>44399</v>
      </c>
      <c r="M161" s="56">
        <v>44399</v>
      </c>
      <c r="N161" s="55">
        <v>44403</v>
      </c>
      <c r="O161" s="55">
        <v>44398</v>
      </c>
      <c r="P161" s="55">
        <v>44398</v>
      </c>
      <c r="Q161" s="55">
        <v>44398</v>
      </c>
      <c r="R161" s="55">
        <v>44399</v>
      </c>
      <c r="S161" s="55">
        <v>44488</v>
      </c>
      <c r="T161" s="55">
        <v>44398</v>
      </c>
      <c r="U161" s="55">
        <v>44398</v>
      </c>
      <c r="V161" s="55">
        <v>44398</v>
      </c>
      <c r="W161" s="55"/>
      <c r="X161" s="55"/>
      <c r="Y161" s="55"/>
      <c r="Z161" s="55">
        <v>44488</v>
      </c>
      <c r="AA161" s="55">
        <v>44404</v>
      </c>
      <c r="AB161" s="55">
        <v>44398</v>
      </c>
      <c r="AC161" s="55">
        <v>44400</v>
      </c>
      <c r="AD161" s="55">
        <v>44398</v>
      </c>
      <c r="AE161" s="55">
        <v>44488</v>
      </c>
      <c r="AF161" s="55"/>
      <c r="AG161" s="55">
        <v>44398</v>
      </c>
      <c r="AH161" s="55"/>
      <c r="AI161" s="55">
        <v>44488</v>
      </c>
      <c r="AJ161" s="55">
        <v>44488</v>
      </c>
      <c r="AK161" s="55"/>
      <c r="AL161" s="55"/>
      <c r="AM161" s="55">
        <v>44398</v>
      </c>
      <c r="AN161" s="55"/>
      <c r="AO161" s="55"/>
      <c r="AP161" s="55">
        <v>44398</v>
      </c>
      <c r="AQ161" s="55"/>
      <c r="AR161" s="55">
        <v>44398</v>
      </c>
      <c r="AS161" s="55">
        <v>44398</v>
      </c>
      <c r="AT161" s="55"/>
      <c r="AU161" s="55">
        <v>44491</v>
      </c>
      <c r="AV161" s="55"/>
      <c r="AW161" s="55">
        <v>44398</v>
      </c>
      <c r="AX161" s="55"/>
      <c r="AY161" s="55">
        <v>44483</v>
      </c>
      <c r="AZ161" s="55"/>
      <c r="BA161" s="55"/>
      <c r="BB161" s="55">
        <v>44491</v>
      </c>
      <c r="BC161" s="55"/>
      <c r="BD161" s="55"/>
      <c r="BE161" s="55"/>
      <c r="BF161" s="55"/>
      <c r="BG161" s="55">
        <v>44398</v>
      </c>
      <c r="BH161" s="55">
        <v>44491</v>
      </c>
      <c r="BI161" s="55"/>
      <c r="BJ161" s="55"/>
    </row>
    <row r="162" spans="1:62" x14ac:dyDescent="0.4">
      <c r="A162" s="5">
        <f t="shared" si="3"/>
        <v>34</v>
      </c>
      <c r="B162" s="3" t="s">
        <v>158</v>
      </c>
      <c r="C162" s="55">
        <v>44487</v>
      </c>
      <c r="D162" s="55">
        <v>44489</v>
      </c>
      <c r="E162" s="55">
        <v>44487</v>
      </c>
      <c r="F162" s="55">
        <v>44440</v>
      </c>
      <c r="G162" s="55">
        <v>44454</v>
      </c>
      <c r="H162" s="55">
        <v>44481</v>
      </c>
      <c r="I162" s="55">
        <v>44482</v>
      </c>
      <c r="J162" s="55">
        <v>44468</v>
      </c>
      <c r="K162" s="55">
        <v>44484</v>
      </c>
      <c r="L162" s="55"/>
      <c r="M162" s="55">
        <v>44484</v>
      </c>
      <c r="N162" s="55">
        <v>44481</v>
      </c>
      <c r="O162" s="55"/>
      <c r="P162" s="55">
        <v>44488</v>
      </c>
      <c r="Q162" s="55">
        <v>44488</v>
      </c>
      <c r="R162" s="55"/>
      <c r="S162" s="55">
        <v>44481</v>
      </c>
      <c r="T162" s="55">
        <v>44484</v>
      </c>
      <c r="U162" s="55">
        <v>44484</v>
      </c>
      <c r="V162" s="55">
        <v>44480</v>
      </c>
      <c r="W162" s="55"/>
      <c r="X162" s="55"/>
      <c r="Y162" s="55"/>
      <c r="Z162" s="55"/>
      <c r="AA162" s="55">
        <v>44483</v>
      </c>
      <c r="AB162" s="55">
        <v>44466</v>
      </c>
      <c r="AC162" s="55"/>
      <c r="AD162" s="55"/>
      <c r="AE162" s="55">
        <v>44481</v>
      </c>
      <c r="AF162" s="55"/>
      <c r="AG162" s="55">
        <v>44487</v>
      </c>
      <c r="AH162" s="55">
        <v>44484</v>
      </c>
      <c r="AI162" s="55">
        <v>44488</v>
      </c>
      <c r="AJ162" s="55">
        <v>44488</v>
      </c>
      <c r="AK162" s="55"/>
      <c r="AL162" s="55"/>
      <c r="AM162" s="55"/>
      <c r="AN162" s="55"/>
      <c r="AO162" s="55"/>
      <c r="AP162" s="55">
        <v>44488</v>
      </c>
      <c r="AQ162" s="55"/>
      <c r="AR162" s="55">
        <v>44484</v>
      </c>
      <c r="AS162" s="55"/>
      <c r="AT162" s="55"/>
      <c r="AU162" s="55">
        <v>44484</v>
      </c>
      <c r="AV162" s="55"/>
      <c r="AW162" s="55">
        <v>44484</v>
      </c>
      <c r="AX162" s="55">
        <v>44476</v>
      </c>
      <c r="AY162" s="55">
        <v>44481</v>
      </c>
      <c r="AZ162" s="55"/>
      <c r="BA162" s="55">
        <v>44487</v>
      </c>
      <c r="BB162" s="55">
        <v>44475</v>
      </c>
      <c r="BC162" s="55"/>
      <c r="BD162" s="55"/>
      <c r="BE162" s="55"/>
      <c r="BF162" s="55"/>
      <c r="BG162" s="55">
        <v>44484</v>
      </c>
      <c r="BH162" s="55">
        <v>44488</v>
      </c>
      <c r="BI162" s="55"/>
      <c r="BJ162" s="55"/>
    </row>
    <row r="163" spans="1:62" x14ac:dyDescent="0.4">
      <c r="A163" s="5">
        <f t="shared" si="3"/>
        <v>36</v>
      </c>
      <c r="B163" s="3" t="s">
        <v>159</v>
      </c>
      <c r="C163" s="55">
        <v>44425</v>
      </c>
      <c r="D163" s="55">
        <v>44425</v>
      </c>
      <c r="E163" s="55">
        <v>44425</v>
      </c>
      <c r="F163" s="55">
        <v>44425</v>
      </c>
      <c r="G163" s="55">
        <v>44425</v>
      </c>
      <c r="H163" s="55">
        <v>44425</v>
      </c>
      <c r="I163" s="55">
        <v>44425</v>
      </c>
      <c r="J163" s="55">
        <v>44425</v>
      </c>
      <c r="K163" s="55">
        <v>44425</v>
      </c>
      <c r="L163" s="55">
        <v>44425</v>
      </c>
      <c r="M163" s="55">
        <v>44425</v>
      </c>
      <c r="N163" s="55">
        <v>44425</v>
      </c>
      <c r="O163" s="55"/>
      <c r="P163" s="55">
        <v>44425</v>
      </c>
      <c r="Q163" s="55">
        <v>44425</v>
      </c>
      <c r="R163" s="55">
        <v>44425</v>
      </c>
      <c r="S163" s="55">
        <v>44484</v>
      </c>
      <c r="T163" s="55">
        <v>44425</v>
      </c>
      <c r="U163" s="55">
        <v>44484</v>
      </c>
      <c r="V163" s="55">
        <v>44426</v>
      </c>
      <c r="W163" s="55"/>
      <c r="X163" s="55"/>
      <c r="Y163" s="55"/>
      <c r="Z163" s="55">
        <v>44426</v>
      </c>
      <c r="AA163" s="55"/>
      <c r="AB163" s="55">
        <v>44425</v>
      </c>
      <c r="AC163" s="55">
        <v>44425</v>
      </c>
      <c r="AD163" s="55">
        <v>44425</v>
      </c>
      <c r="AE163" s="55">
        <v>44484</v>
      </c>
      <c r="AF163" s="55"/>
      <c r="AG163" s="55"/>
      <c r="AH163" s="55"/>
      <c r="AI163" s="55">
        <v>44425</v>
      </c>
      <c r="AJ163" s="55">
        <v>44425</v>
      </c>
      <c r="AK163" s="55"/>
      <c r="AL163" s="55"/>
      <c r="AM163" s="55">
        <v>44425</v>
      </c>
      <c r="AN163" s="55"/>
      <c r="AO163" s="55"/>
      <c r="AP163" s="55"/>
      <c r="AQ163" s="55">
        <v>44426</v>
      </c>
      <c r="AR163" s="55"/>
      <c r="AS163" s="55"/>
      <c r="AT163" s="55"/>
      <c r="AU163" s="55"/>
      <c r="AV163" s="55">
        <v>44426</v>
      </c>
      <c r="AW163" s="55">
        <v>44425</v>
      </c>
      <c r="AX163" s="55"/>
      <c r="AY163" s="55">
        <v>44425</v>
      </c>
      <c r="AZ163" s="55"/>
      <c r="BA163" s="55">
        <v>44425</v>
      </c>
      <c r="BB163" s="55">
        <v>44425</v>
      </c>
      <c r="BC163" s="55">
        <v>44425</v>
      </c>
      <c r="BD163" s="55">
        <v>44425</v>
      </c>
      <c r="BE163" s="55"/>
      <c r="BF163" s="55"/>
      <c r="BG163" s="55">
        <v>44425</v>
      </c>
      <c r="BH163" s="55"/>
      <c r="BI163" s="55"/>
      <c r="BJ163" s="55"/>
    </row>
    <row r="164" spans="1:62" x14ac:dyDescent="0.4">
      <c r="A164" s="5">
        <f t="shared" si="3"/>
        <v>40</v>
      </c>
      <c r="B164" s="3" t="s">
        <v>160</v>
      </c>
      <c r="C164" s="55">
        <v>44490</v>
      </c>
      <c r="D164" s="55">
        <v>44368</v>
      </c>
      <c r="E164" s="55">
        <v>44490</v>
      </c>
      <c r="F164" s="55">
        <v>44491</v>
      </c>
      <c r="G164" s="55">
        <v>44482</v>
      </c>
      <c r="H164" s="55">
        <v>44490</v>
      </c>
      <c r="I164" s="55">
        <v>44307</v>
      </c>
      <c r="J164" s="55">
        <v>44488</v>
      </c>
      <c r="K164" s="55">
        <v>44403</v>
      </c>
      <c r="L164" s="55">
        <v>44490</v>
      </c>
      <c r="M164" s="55">
        <v>44477</v>
      </c>
      <c r="N164" s="55">
        <v>44375</v>
      </c>
      <c r="O164" s="55"/>
      <c r="P164" s="55">
        <v>44356</v>
      </c>
      <c r="Q164" s="55">
        <v>44354</v>
      </c>
      <c r="R164" s="55"/>
      <c r="S164" s="55">
        <v>44342</v>
      </c>
      <c r="T164" s="55">
        <v>44490</v>
      </c>
      <c r="U164" s="55">
        <v>44341</v>
      </c>
      <c r="V164" s="55">
        <v>44341</v>
      </c>
      <c r="W164" s="55"/>
      <c r="X164" s="55"/>
      <c r="Y164" s="55"/>
      <c r="Z164" s="55">
        <v>44484</v>
      </c>
      <c r="AA164" s="55">
        <v>44490</v>
      </c>
      <c r="AB164" s="55">
        <v>44490</v>
      </c>
      <c r="AC164" s="55">
        <v>44341</v>
      </c>
      <c r="AD164" s="55">
        <v>44358</v>
      </c>
      <c r="AE164" s="55"/>
      <c r="AF164" s="55"/>
      <c r="AG164" s="55">
        <v>44490</v>
      </c>
      <c r="AH164" s="55">
        <v>44490</v>
      </c>
      <c r="AI164" s="55">
        <v>44481</v>
      </c>
      <c r="AJ164" s="55">
        <v>44362</v>
      </c>
      <c r="AK164" s="55">
        <v>44403</v>
      </c>
      <c r="AL164" s="55"/>
      <c r="AM164" s="55">
        <v>44490</v>
      </c>
      <c r="AN164" s="55">
        <v>44490</v>
      </c>
      <c r="AO164" s="55"/>
      <c r="AP164" s="55">
        <v>44490</v>
      </c>
      <c r="AQ164" s="55"/>
      <c r="AR164" s="55">
        <v>44490</v>
      </c>
      <c r="AS164" s="55">
        <v>44403</v>
      </c>
      <c r="AT164" s="55"/>
      <c r="AU164" s="55">
        <v>44490</v>
      </c>
      <c r="AV164" s="55"/>
      <c r="AW164" s="55">
        <v>44341</v>
      </c>
      <c r="AX164" s="55">
        <v>44341</v>
      </c>
      <c r="AY164" s="55">
        <v>44490</v>
      </c>
      <c r="AZ164" s="55"/>
      <c r="BA164" s="55"/>
      <c r="BB164" s="55">
        <v>44403</v>
      </c>
      <c r="BC164" s="55"/>
      <c r="BD164" s="55"/>
      <c r="BE164" s="55">
        <v>44490</v>
      </c>
      <c r="BF164" s="55"/>
      <c r="BG164" s="55">
        <v>44490</v>
      </c>
      <c r="BH164" s="55"/>
      <c r="BI164" s="55"/>
      <c r="BJ164" s="55"/>
    </row>
    <row r="165" spans="1:62" x14ac:dyDescent="0.4">
      <c r="A165" s="5">
        <f t="shared" si="3"/>
        <v>38</v>
      </c>
      <c r="B165" s="3" t="s">
        <v>161</v>
      </c>
      <c r="C165" s="55">
        <v>44481</v>
      </c>
      <c r="D165" s="55">
        <v>44481</v>
      </c>
      <c r="E165" s="55">
        <v>44481</v>
      </c>
      <c r="F165" s="55">
        <v>44481</v>
      </c>
      <c r="G165" s="55">
        <v>44481</v>
      </c>
      <c r="H165" s="55">
        <v>44481</v>
      </c>
      <c r="I165" s="55">
        <v>44481</v>
      </c>
      <c r="J165" s="55">
        <v>44481</v>
      </c>
      <c r="K165" s="55">
        <v>44481</v>
      </c>
      <c r="L165" s="55">
        <v>44481</v>
      </c>
      <c r="M165" s="55">
        <v>44481</v>
      </c>
      <c r="N165" s="55">
        <v>44481</v>
      </c>
      <c r="O165" s="55"/>
      <c r="P165" s="55">
        <v>44482</v>
      </c>
      <c r="Q165" s="55">
        <v>44482</v>
      </c>
      <c r="R165" s="55">
        <v>44482</v>
      </c>
      <c r="S165" s="55">
        <v>44482</v>
      </c>
      <c r="T165" s="55">
        <v>44482</v>
      </c>
      <c r="U165" s="55">
        <v>44482</v>
      </c>
      <c r="V165" s="55">
        <v>44482</v>
      </c>
      <c r="W165" s="55"/>
      <c r="X165" s="55"/>
      <c r="Y165" s="55">
        <v>44482</v>
      </c>
      <c r="Z165" s="55"/>
      <c r="AA165" s="55">
        <v>44483</v>
      </c>
      <c r="AB165" s="55">
        <v>44482</v>
      </c>
      <c r="AC165" s="55">
        <v>44483</v>
      </c>
      <c r="AD165" s="55"/>
      <c r="AE165" s="55">
        <v>44482</v>
      </c>
      <c r="AF165" s="55"/>
      <c r="AG165" s="55"/>
      <c r="AH165" s="55"/>
      <c r="AI165" s="55">
        <v>44482</v>
      </c>
      <c r="AJ165" s="55">
        <v>44482</v>
      </c>
      <c r="AK165" s="55"/>
      <c r="AL165" s="55"/>
      <c r="AM165" s="55">
        <v>44483</v>
      </c>
      <c r="AN165" s="55">
        <v>44483</v>
      </c>
      <c r="AO165" s="55"/>
      <c r="AP165" s="55">
        <v>44482</v>
      </c>
      <c r="AQ165" s="55"/>
      <c r="AR165" s="55">
        <v>44483</v>
      </c>
      <c r="AS165" s="55">
        <v>44482</v>
      </c>
      <c r="AT165" s="55"/>
      <c r="AU165" s="55">
        <v>44482</v>
      </c>
      <c r="AV165" s="55"/>
      <c r="AW165" s="55">
        <v>44483</v>
      </c>
      <c r="AX165" s="55"/>
      <c r="AY165" s="55">
        <v>44482</v>
      </c>
      <c r="AZ165" s="55"/>
      <c r="BA165" s="55">
        <v>44483</v>
      </c>
      <c r="BB165" s="55">
        <v>44482</v>
      </c>
      <c r="BC165" s="55"/>
      <c r="BD165" s="55"/>
      <c r="BE165" s="55"/>
      <c r="BF165" s="55"/>
      <c r="BG165" s="55">
        <v>44482</v>
      </c>
      <c r="BH165" s="55"/>
      <c r="BI165" s="55"/>
      <c r="BJ165" s="55">
        <v>44489</v>
      </c>
    </row>
    <row r="166" spans="1:62" x14ac:dyDescent="0.4">
      <c r="A166" s="5">
        <f t="shared" si="3"/>
        <v>9</v>
      </c>
      <c r="B166" s="3" t="s">
        <v>162</v>
      </c>
      <c r="C166" s="55"/>
      <c r="D166" s="55"/>
      <c r="E166" s="55"/>
      <c r="F166" s="55"/>
      <c r="G166" s="55">
        <v>44489</v>
      </c>
      <c r="H166" s="55"/>
      <c r="I166" s="55">
        <v>44298</v>
      </c>
      <c r="J166" s="55"/>
      <c r="K166" s="55">
        <v>44463</v>
      </c>
      <c r="L166" s="55"/>
      <c r="M166" s="55">
        <v>44488</v>
      </c>
      <c r="N166" s="55"/>
      <c r="O166" s="55"/>
      <c r="P166" s="55"/>
      <c r="Q166" s="55"/>
      <c r="R166" s="55"/>
      <c r="S166" s="55">
        <v>44368</v>
      </c>
      <c r="T166" s="55"/>
      <c r="U166" s="55"/>
      <c r="V166" s="55"/>
      <c r="W166" s="55"/>
      <c r="X166" s="55"/>
      <c r="Y166" s="55"/>
      <c r="Z166" s="55"/>
      <c r="AA166" s="55">
        <v>44489</v>
      </c>
      <c r="AB166" s="55">
        <v>44494</v>
      </c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>
        <v>44489</v>
      </c>
      <c r="BJ166" s="55">
        <v>44489</v>
      </c>
    </row>
    <row r="167" spans="1:62" x14ac:dyDescent="0.4">
      <c r="A167" s="5">
        <f t="shared" si="3"/>
        <v>34</v>
      </c>
      <c r="B167" s="3" t="s">
        <v>163</v>
      </c>
      <c r="C167" s="55">
        <v>44445</v>
      </c>
      <c r="D167" s="55">
        <v>44440</v>
      </c>
      <c r="E167" s="55">
        <v>44463</v>
      </c>
      <c r="F167" s="55">
        <v>44481</v>
      </c>
      <c r="G167" s="55"/>
      <c r="H167" s="55">
        <v>44481</v>
      </c>
      <c r="I167" s="55">
        <v>44481</v>
      </c>
      <c r="J167" s="55">
        <v>44462</v>
      </c>
      <c r="K167" s="55"/>
      <c r="L167" s="55">
        <v>44419</v>
      </c>
      <c r="M167" s="55"/>
      <c r="N167" s="55">
        <v>44438</v>
      </c>
      <c r="O167" s="55">
        <v>44489</v>
      </c>
      <c r="P167" s="55">
        <v>44441</v>
      </c>
      <c r="Q167" s="55">
        <v>44481</v>
      </c>
      <c r="R167" s="55">
        <v>44440</v>
      </c>
      <c r="S167" s="55">
        <v>44440</v>
      </c>
      <c r="T167" s="55">
        <v>44481</v>
      </c>
      <c r="U167" s="55">
        <v>44481</v>
      </c>
      <c r="V167" s="55">
        <v>44481</v>
      </c>
      <c r="W167" s="55">
        <v>44477</v>
      </c>
      <c r="X167" s="55">
        <v>44481</v>
      </c>
      <c r="Y167" s="55">
        <v>44439</v>
      </c>
      <c r="Z167" s="55">
        <v>44434</v>
      </c>
      <c r="AA167" s="55">
        <v>44481</v>
      </c>
      <c r="AB167" s="55">
        <v>44481</v>
      </c>
      <c r="AC167" s="55"/>
      <c r="AD167" s="55">
        <v>44439</v>
      </c>
      <c r="AE167" s="55">
        <v>44481</v>
      </c>
      <c r="AF167" s="55"/>
      <c r="AG167" s="55">
        <v>44489</v>
      </c>
      <c r="AH167" s="55"/>
      <c r="AI167" s="55">
        <v>44439</v>
      </c>
      <c r="AJ167" s="55">
        <v>44439</v>
      </c>
      <c r="AK167" s="55"/>
      <c r="AL167" s="55">
        <v>44487</v>
      </c>
      <c r="AM167" s="55"/>
      <c r="AN167" s="55"/>
      <c r="AO167" s="55"/>
      <c r="AP167" s="55"/>
      <c r="AQ167" s="55"/>
      <c r="AR167" s="55"/>
      <c r="AS167" s="55"/>
      <c r="AT167" s="55"/>
      <c r="AU167" s="55">
        <v>44463</v>
      </c>
      <c r="AV167" s="55"/>
      <c r="AW167" s="55">
        <v>44481</v>
      </c>
      <c r="AX167" s="55">
        <v>44474</v>
      </c>
      <c r="AY167" s="55"/>
      <c r="AZ167" s="55"/>
      <c r="BA167" s="55"/>
      <c r="BB167" s="55">
        <v>44417</v>
      </c>
      <c r="BC167" s="55"/>
      <c r="BD167" s="55"/>
      <c r="BE167" s="55">
        <v>44445</v>
      </c>
      <c r="BF167" s="55"/>
      <c r="BG167" s="55"/>
      <c r="BH167" s="55"/>
      <c r="BI167" s="55"/>
      <c r="BJ167" s="55"/>
    </row>
    <row r="168" spans="1:62" x14ac:dyDescent="0.4">
      <c r="A168" s="5">
        <f t="shared" si="3"/>
        <v>42</v>
      </c>
      <c r="B168" s="3" t="s">
        <v>164</v>
      </c>
      <c r="C168" s="55">
        <v>44432</v>
      </c>
      <c r="D168" s="55">
        <v>44407</v>
      </c>
      <c r="E168" s="55">
        <v>44432</v>
      </c>
      <c r="F168" s="55">
        <v>44438</v>
      </c>
      <c r="G168" s="55">
        <v>44440</v>
      </c>
      <c r="H168" s="55">
        <v>44403</v>
      </c>
      <c r="I168" s="55">
        <v>44306</v>
      </c>
      <c r="J168" s="55">
        <v>44503</v>
      </c>
      <c r="K168" s="55"/>
      <c r="L168" s="55">
        <v>44308</v>
      </c>
      <c r="M168" s="55">
        <v>44454</v>
      </c>
      <c r="N168" s="55">
        <v>44389</v>
      </c>
      <c r="O168" s="55">
        <v>44397</v>
      </c>
      <c r="P168" s="55">
        <v>44483</v>
      </c>
      <c r="Q168" s="55">
        <v>44404</v>
      </c>
      <c r="R168" s="55">
        <v>44468</v>
      </c>
      <c r="S168" s="55">
        <v>44484</v>
      </c>
      <c r="T168" s="55">
        <v>44484</v>
      </c>
      <c r="U168" s="55">
        <v>44483</v>
      </c>
      <c r="V168" s="55">
        <v>44484</v>
      </c>
      <c r="W168" s="55"/>
      <c r="X168" s="55"/>
      <c r="Y168" s="55"/>
      <c r="Z168" s="55">
        <v>44483</v>
      </c>
      <c r="AA168" s="55">
        <v>44483</v>
      </c>
      <c r="AB168" s="55">
        <v>44483</v>
      </c>
      <c r="AC168" s="55">
        <v>44389</v>
      </c>
      <c r="AD168" s="55"/>
      <c r="AE168" s="55">
        <v>44403</v>
      </c>
      <c r="AF168" s="55"/>
      <c r="AG168" s="55">
        <v>44482</v>
      </c>
      <c r="AH168" s="55">
        <v>44493</v>
      </c>
      <c r="AI168" s="55">
        <v>44343</v>
      </c>
      <c r="AJ168" s="55">
        <v>44384</v>
      </c>
      <c r="AK168" s="55"/>
      <c r="AL168" s="55">
        <v>44445</v>
      </c>
      <c r="AM168" s="55">
        <v>44438</v>
      </c>
      <c r="AN168" s="55"/>
      <c r="AO168" s="55"/>
      <c r="AP168" s="55">
        <v>44481</v>
      </c>
      <c r="AQ168" s="55">
        <v>44216</v>
      </c>
      <c r="AR168" s="55">
        <v>44491</v>
      </c>
      <c r="AS168" s="55">
        <v>44491</v>
      </c>
      <c r="AT168" s="55"/>
      <c r="AU168" s="55">
        <v>44484</v>
      </c>
      <c r="AV168" s="55"/>
      <c r="AW168" s="55">
        <v>44493</v>
      </c>
      <c r="AX168" s="55">
        <v>44481</v>
      </c>
      <c r="AY168" s="55"/>
      <c r="AZ168" s="55"/>
      <c r="BA168" s="55">
        <v>44432</v>
      </c>
      <c r="BB168" s="55">
        <v>44438</v>
      </c>
      <c r="BC168" s="55"/>
      <c r="BD168" s="55"/>
      <c r="BE168" s="55">
        <v>44487</v>
      </c>
      <c r="BF168" s="55"/>
      <c r="BG168" s="55">
        <v>44482</v>
      </c>
      <c r="BH168" s="55">
        <v>44483</v>
      </c>
      <c r="BI168" s="55"/>
      <c r="BJ168" s="55"/>
    </row>
    <row r="169" spans="1:62" x14ac:dyDescent="0.4">
      <c r="A169" s="5">
        <f t="shared" si="3"/>
        <v>42</v>
      </c>
      <c r="B169" s="3" t="s">
        <v>165</v>
      </c>
      <c r="C169" s="55">
        <v>44456</v>
      </c>
      <c r="D169" s="55">
        <v>44456</v>
      </c>
      <c r="E169" s="55">
        <v>44456</v>
      </c>
      <c r="F169" s="55">
        <v>44454</v>
      </c>
      <c r="G169" s="55">
        <v>44477</v>
      </c>
      <c r="H169" s="55">
        <v>44455</v>
      </c>
      <c r="I169" s="55">
        <v>44456</v>
      </c>
      <c r="J169" s="55">
        <v>44454</v>
      </c>
      <c r="K169" s="55"/>
      <c r="L169" s="55">
        <v>44456</v>
      </c>
      <c r="M169" s="55">
        <v>44454</v>
      </c>
      <c r="N169" s="55">
        <v>44265</v>
      </c>
      <c r="O169" s="55"/>
      <c r="P169" s="55">
        <v>44456</v>
      </c>
      <c r="Q169" s="55">
        <v>44264</v>
      </c>
      <c r="R169" s="55">
        <v>44456</v>
      </c>
      <c r="S169" s="55">
        <v>44365</v>
      </c>
      <c r="T169" s="55">
        <v>44456</v>
      </c>
      <c r="U169" s="55">
        <v>44455</v>
      </c>
      <c r="V169" s="55">
        <v>44456</v>
      </c>
      <c r="W169" s="55"/>
      <c r="X169" s="55">
        <v>44264</v>
      </c>
      <c r="Y169" s="55">
        <v>44456</v>
      </c>
      <c r="Z169" s="55">
        <v>44477</v>
      </c>
      <c r="AA169" s="55">
        <v>44264</v>
      </c>
      <c r="AB169" s="55">
        <v>44456</v>
      </c>
      <c r="AC169" s="55">
        <v>44455</v>
      </c>
      <c r="AD169" s="55">
        <v>44266</v>
      </c>
      <c r="AE169" s="55">
        <v>44477</v>
      </c>
      <c r="AF169" s="55"/>
      <c r="AG169" s="55">
        <v>44477</v>
      </c>
      <c r="AH169" s="55">
        <v>44384</v>
      </c>
      <c r="AI169" s="55">
        <v>44477</v>
      </c>
      <c r="AJ169" s="55">
        <v>44375</v>
      </c>
      <c r="AK169" s="55">
        <v>44273</v>
      </c>
      <c r="AL169" s="55"/>
      <c r="AM169" s="55">
        <v>44364</v>
      </c>
      <c r="AN169" s="55"/>
      <c r="AO169" s="55"/>
      <c r="AP169" s="55"/>
      <c r="AQ169" s="55"/>
      <c r="AR169" s="55">
        <v>44456</v>
      </c>
      <c r="AS169" s="55"/>
      <c r="AT169" s="55"/>
      <c r="AU169" s="55">
        <v>44456</v>
      </c>
      <c r="AV169" s="55"/>
      <c r="AW169" s="55">
        <v>44264</v>
      </c>
      <c r="AX169" s="55">
        <v>44273</v>
      </c>
      <c r="AY169" s="55"/>
      <c r="AZ169" s="55"/>
      <c r="BA169" s="55">
        <v>44456</v>
      </c>
      <c r="BB169" s="55">
        <v>44448</v>
      </c>
      <c r="BC169" s="55">
        <v>44456</v>
      </c>
      <c r="BD169" s="55">
        <v>44448</v>
      </c>
      <c r="BE169" s="55"/>
      <c r="BF169" s="55">
        <v>44477</v>
      </c>
      <c r="BG169" s="55">
        <v>44456</v>
      </c>
      <c r="BH169" s="55"/>
      <c r="BI169" s="55"/>
      <c r="BJ169" s="55"/>
    </row>
    <row r="170" spans="1:62" x14ac:dyDescent="0.4">
      <c r="A170" s="5">
        <f t="shared" si="3"/>
        <v>35</v>
      </c>
      <c r="B170" s="3" t="s">
        <v>166</v>
      </c>
      <c r="C170" s="55">
        <v>44412</v>
      </c>
      <c r="D170" s="55">
        <v>44257</v>
      </c>
      <c r="E170" s="55">
        <v>44412</v>
      </c>
      <c r="F170" s="55">
        <v>44462</v>
      </c>
      <c r="G170" s="55">
        <v>44462</v>
      </c>
      <c r="H170" s="55">
        <v>44258</v>
      </c>
      <c r="I170" s="55">
        <v>44362</v>
      </c>
      <c r="J170" s="55">
        <v>44474</v>
      </c>
      <c r="K170" s="55"/>
      <c r="L170" s="55">
        <v>44362</v>
      </c>
      <c r="M170" s="55">
        <v>44462</v>
      </c>
      <c r="N170" s="55">
        <v>44258</v>
      </c>
      <c r="O170" s="55">
        <v>44259</v>
      </c>
      <c r="P170" s="55">
        <v>44259</v>
      </c>
      <c r="Q170" s="55">
        <v>44214</v>
      </c>
      <c r="R170" s="55">
        <v>44259</v>
      </c>
      <c r="S170" s="55">
        <v>44259</v>
      </c>
      <c r="T170" s="55">
        <v>44259</v>
      </c>
      <c r="U170" s="55">
        <v>44259</v>
      </c>
      <c r="V170" s="55">
        <v>44466</v>
      </c>
      <c r="W170" s="55"/>
      <c r="X170" s="55"/>
      <c r="Y170" s="55"/>
      <c r="Z170" s="55">
        <v>44260</v>
      </c>
      <c r="AA170" s="55">
        <v>44260</v>
      </c>
      <c r="AB170" s="55">
        <v>44260</v>
      </c>
      <c r="AC170" s="55"/>
      <c r="AD170" s="55">
        <v>44263</v>
      </c>
      <c r="AE170" s="55">
        <v>44260</v>
      </c>
      <c r="AF170" s="55"/>
      <c r="AG170" s="55"/>
      <c r="AH170" s="55">
        <v>44413</v>
      </c>
      <c r="AI170" s="55">
        <v>44215</v>
      </c>
      <c r="AJ170" s="55">
        <v>44215</v>
      </c>
      <c r="AK170" s="55"/>
      <c r="AL170" s="55"/>
      <c r="AM170" s="55"/>
      <c r="AN170" s="55"/>
      <c r="AO170" s="55"/>
      <c r="AP170" s="55">
        <v>44417</v>
      </c>
      <c r="AQ170" s="55">
        <v>44263</v>
      </c>
      <c r="AR170" s="55"/>
      <c r="AS170" s="55"/>
      <c r="AT170" s="55"/>
      <c r="AU170" s="55">
        <v>44417</v>
      </c>
      <c r="AV170" s="55">
        <v>44263</v>
      </c>
      <c r="AW170" s="55">
        <v>44263</v>
      </c>
      <c r="AX170" s="55"/>
      <c r="AY170" s="55">
        <v>44417</v>
      </c>
      <c r="AZ170" s="55"/>
      <c r="BA170" s="55">
        <v>44417</v>
      </c>
      <c r="BB170" s="55"/>
      <c r="BC170" s="55"/>
      <c r="BD170" s="55"/>
      <c r="BE170" s="55"/>
      <c r="BF170" s="55"/>
      <c r="BG170" s="55">
        <v>44382</v>
      </c>
      <c r="BH170" s="55"/>
      <c r="BI170" s="55"/>
      <c r="BJ170" s="55"/>
    </row>
    <row r="171" spans="1:62" x14ac:dyDescent="0.4">
      <c r="A171" s="5">
        <f t="shared" si="3"/>
        <v>37</v>
      </c>
      <c r="B171" s="3" t="s">
        <v>167</v>
      </c>
      <c r="C171" s="55">
        <v>44446</v>
      </c>
      <c r="D171" s="55">
        <v>44452</v>
      </c>
      <c r="E171" s="55">
        <v>44446</v>
      </c>
      <c r="F171" s="55">
        <v>44454</v>
      </c>
      <c r="G171" s="55">
        <v>44456</v>
      </c>
      <c r="H171" s="55">
        <v>44446</v>
      </c>
      <c r="I171" s="55">
        <v>44445</v>
      </c>
      <c r="J171" s="55">
        <v>44454</v>
      </c>
      <c r="K171" s="55">
        <v>44454</v>
      </c>
      <c r="L171" s="55">
        <v>44454</v>
      </c>
      <c r="M171" s="55">
        <v>44456</v>
      </c>
      <c r="N171" s="55">
        <v>44446</v>
      </c>
      <c r="O171" s="55">
        <v>44446</v>
      </c>
      <c r="P171" s="55">
        <v>44449</v>
      </c>
      <c r="Q171" s="55">
        <v>44452</v>
      </c>
      <c r="R171" s="55"/>
      <c r="S171" s="55">
        <v>44456</v>
      </c>
      <c r="T171" s="55">
        <v>44445</v>
      </c>
      <c r="U171" s="55">
        <v>44445</v>
      </c>
      <c r="V171" s="55">
        <v>44446</v>
      </c>
      <c r="W171" s="55"/>
      <c r="X171" s="55"/>
      <c r="Y171" s="55"/>
      <c r="Z171" s="55">
        <v>44498</v>
      </c>
      <c r="AA171" s="55">
        <v>44446</v>
      </c>
      <c r="AB171" s="55">
        <v>44446</v>
      </c>
      <c r="AC171" s="55">
        <v>44452</v>
      </c>
      <c r="AD171" s="55">
        <v>44457</v>
      </c>
      <c r="AE171" s="55">
        <v>44454</v>
      </c>
      <c r="AF171" s="55"/>
      <c r="AG171" s="55"/>
      <c r="AH171" s="55">
        <v>44454</v>
      </c>
      <c r="AI171" s="55">
        <v>44456</v>
      </c>
      <c r="AJ171" s="55">
        <v>44456</v>
      </c>
      <c r="AK171" s="55">
        <v>44456</v>
      </c>
      <c r="AL171" s="55"/>
      <c r="AM171" s="55"/>
      <c r="AN171" s="55"/>
      <c r="AO171" s="55"/>
      <c r="AP171" s="55"/>
      <c r="AQ171" s="55"/>
      <c r="AR171" s="55"/>
      <c r="AS171" s="55"/>
      <c r="AT171" s="55"/>
      <c r="AU171" s="55">
        <v>44454</v>
      </c>
      <c r="AV171" s="55"/>
      <c r="AW171" s="55">
        <v>44448</v>
      </c>
      <c r="AX171" s="55"/>
      <c r="AY171" s="55">
        <v>44470</v>
      </c>
      <c r="AZ171" s="55"/>
      <c r="BA171" s="55">
        <v>44447</v>
      </c>
      <c r="BB171" s="55">
        <v>44446</v>
      </c>
      <c r="BC171" s="55"/>
      <c r="BD171" s="55"/>
      <c r="BE171" s="55">
        <v>44454</v>
      </c>
      <c r="BF171" s="55"/>
      <c r="BG171" s="55">
        <v>44447</v>
      </c>
      <c r="BH171" s="55">
        <v>44503</v>
      </c>
      <c r="BI171" s="55"/>
      <c r="BJ171" s="55"/>
    </row>
    <row r="172" spans="1:62" x14ac:dyDescent="0.4">
      <c r="A172" s="5">
        <f t="shared" si="3"/>
        <v>26</v>
      </c>
      <c r="B172" s="3" t="s">
        <v>168</v>
      </c>
      <c r="C172" s="56">
        <v>44134</v>
      </c>
      <c r="D172" s="56">
        <v>42901</v>
      </c>
      <c r="E172" s="56">
        <v>42916</v>
      </c>
      <c r="F172" s="56">
        <v>42916</v>
      </c>
      <c r="G172" s="56">
        <v>42920</v>
      </c>
      <c r="H172" s="56">
        <v>42901</v>
      </c>
      <c r="I172" s="56">
        <v>42901</v>
      </c>
      <c r="J172" s="56">
        <v>42920</v>
      </c>
      <c r="K172" s="55"/>
      <c r="L172" s="56">
        <v>42916</v>
      </c>
      <c r="M172" s="56">
        <v>42915</v>
      </c>
      <c r="N172" s="56">
        <v>43248</v>
      </c>
      <c r="O172" s="56">
        <v>44098</v>
      </c>
      <c r="P172" s="56">
        <v>43370</v>
      </c>
      <c r="Q172" s="56">
        <v>44098</v>
      </c>
      <c r="R172" s="55"/>
      <c r="S172" s="56">
        <v>44098</v>
      </c>
      <c r="T172" s="56">
        <v>44098</v>
      </c>
      <c r="U172" s="56">
        <v>42915</v>
      </c>
      <c r="V172" s="56">
        <v>42920</v>
      </c>
      <c r="W172" s="55"/>
      <c r="X172" s="55"/>
      <c r="Y172" s="55"/>
      <c r="Z172" s="56">
        <v>44098</v>
      </c>
      <c r="AA172" s="55"/>
      <c r="AB172" s="56">
        <v>43739</v>
      </c>
      <c r="AC172" s="55"/>
      <c r="AD172" s="55"/>
      <c r="AE172" s="56">
        <v>42901</v>
      </c>
      <c r="AF172" s="55"/>
      <c r="AG172" s="56">
        <v>44134</v>
      </c>
      <c r="AH172" s="56">
        <v>44134</v>
      </c>
      <c r="AI172" s="56">
        <v>43370</v>
      </c>
      <c r="AJ172" s="56">
        <v>43370</v>
      </c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6">
        <v>44098</v>
      </c>
      <c r="BF172" s="55"/>
      <c r="BG172" s="55"/>
      <c r="BH172" s="55"/>
      <c r="BI172" s="55"/>
      <c r="BJ172" s="55"/>
    </row>
    <row r="173" spans="1:62" x14ac:dyDescent="0.4">
      <c r="A173" s="5">
        <f t="shared" si="3"/>
        <v>36</v>
      </c>
      <c r="B173" s="3" t="s">
        <v>169</v>
      </c>
      <c r="C173" s="55">
        <v>44468</v>
      </c>
      <c r="D173" s="55">
        <v>44294</v>
      </c>
      <c r="E173" s="55">
        <v>44477</v>
      </c>
      <c r="F173" s="56">
        <v>44294</v>
      </c>
      <c r="G173" s="55">
        <v>44482</v>
      </c>
      <c r="H173" s="55">
        <v>44489</v>
      </c>
      <c r="I173" s="55">
        <v>44375</v>
      </c>
      <c r="J173" s="55">
        <v>44462</v>
      </c>
      <c r="K173" s="55">
        <v>44360</v>
      </c>
      <c r="L173" s="55">
        <v>44363</v>
      </c>
      <c r="M173" s="55">
        <v>44440</v>
      </c>
      <c r="N173" s="55">
        <v>44302</v>
      </c>
      <c r="O173" s="55">
        <v>44489</v>
      </c>
      <c r="P173" s="55">
        <v>44293</v>
      </c>
      <c r="Q173" s="55">
        <v>44491</v>
      </c>
      <c r="R173" s="55"/>
      <c r="S173" s="55">
        <v>44376</v>
      </c>
      <c r="T173" s="55">
        <v>44293</v>
      </c>
      <c r="U173" s="55">
        <v>44483</v>
      </c>
      <c r="V173" s="55">
        <v>44376</v>
      </c>
      <c r="W173" s="55"/>
      <c r="X173" s="55"/>
      <c r="Y173" s="55"/>
      <c r="Z173" s="55"/>
      <c r="AA173" s="55"/>
      <c r="AB173" s="55">
        <v>44365</v>
      </c>
      <c r="AC173" s="55">
        <v>44365</v>
      </c>
      <c r="AD173" s="55">
        <v>44375</v>
      </c>
      <c r="AE173" s="55">
        <v>44489</v>
      </c>
      <c r="AF173" s="55">
        <v>44365</v>
      </c>
      <c r="AG173" s="55">
        <v>44385</v>
      </c>
      <c r="AH173" s="55">
        <v>44489</v>
      </c>
      <c r="AI173" s="55">
        <v>44272</v>
      </c>
      <c r="AJ173" s="55">
        <v>44294</v>
      </c>
      <c r="AK173" s="55">
        <v>44365</v>
      </c>
      <c r="AL173" s="55">
        <v>44491</v>
      </c>
      <c r="AM173" s="55">
        <v>44489</v>
      </c>
      <c r="AN173" s="55"/>
      <c r="AO173" s="55"/>
      <c r="AP173" s="55"/>
      <c r="AQ173" s="55"/>
      <c r="AR173" s="55">
        <v>44375</v>
      </c>
      <c r="AS173" s="55"/>
      <c r="AT173" s="55"/>
      <c r="AU173" s="55">
        <v>44375</v>
      </c>
      <c r="AV173" s="55"/>
      <c r="AW173" s="55">
        <v>44365</v>
      </c>
      <c r="AX173" s="55"/>
      <c r="AY173" s="55">
        <v>44385</v>
      </c>
      <c r="AZ173" s="55"/>
      <c r="BA173" s="55"/>
      <c r="BB173" s="55">
        <v>44385</v>
      </c>
      <c r="BC173" s="55"/>
      <c r="BD173" s="55"/>
      <c r="BE173" s="55"/>
      <c r="BF173" s="55"/>
      <c r="BG173" s="55"/>
      <c r="BH173" s="55"/>
      <c r="BI173" s="55"/>
      <c r="BJ173" s="55"/>
    </row>
    <row r="174" spans="1:62" x14ac:dyDescent="0.4">
      <c r="A174" s="5">
        <f t="shared" si="3"/>
        <v>38</v>
      </c>
      <c r="B174" s="3" t="s">
        <v>170</v>
      </c>
      <c r="C174" s="55">
        <v>44455</v>
      </c>
      <c r="D174" s="55">
        <v>44455</v>
      </c>
      <c r="E174" s="55">
        <v>44455</v>
      </c>
      <c r="F174" s="55">
        <v>44456</v>
      </c>
      <c r="G174" s="55">
        <v>44455</v>
      </c>
      <c r="H174" s="55">
        <v>44455</v>
      </c>
      <c r="I174" s="55">
        <v>44455</v>
      </c>
      <c r="J174" s="55">
        <v>44456</v>
      </c>
      <c r="K174" s="55">
        <v>44456</v>
      </c>
      <c r="L174" s="55">
        <v>44455</v>
      </c>
      <c r="M174" s="55">
        <v>44456</v>
      </c>
      <c r="N174" s="55">
        <v>44455</v>
      </c>
      <c r="O174" s="55"/>
      <c r="P174" s="55">
        <v>44456</v>
      </c>
      <c r="Q174" s="55">
        <v>44455</v>
      </c>
      <c r="R174" s="55"/>
      <c r="S174" s="55">
        <v>44455</v>
      </c>
      <c r="T174" s="55">
        <v>44455</v>
      </c>
      <c r="U174" s="55">
        <v>44455</v>
      </c>
      <c r="V174" s="55">
        <v>44456</v>
      </c>
      <c r="W174" s="55"/>
      <c r="X174" s="55"/>
      <c r="Y174" s="55">
        <v>44455</v>
      </c>
      <c r="Z174" s="55"/>
      <c r="AA174" s="55"/>
      <c r="AB174" s="55">
        <v>44455</v>
      </c>
      <c r="AC174" s="55">
        <v>44455</v>
      </c>
      <c r="AD174" s="55">
        <v>44455</v>
      </c>
      <c r="AE174" s="55">
        <v>44455</v>
      </c>
      <c r="AF174" s="55"/>
      <c r="AG174" s="55">
        <v>44455</v>
      </c>
      <c r="AH174" s="55"/>
      <c r="AI174" s="55">
        <v>44455</v>
      </c>
      <c r="AJ174" s="55">
        <v>44455</v>
      </c>
      <c r="AK174" s="55"/>
      <c r="AL174" s="55"/>
      <c r="AM174" s="55">
        <v>44455</v>
      </c>
      <c r="AN174" s="55">
        <v>44456</v>
      </c>
      <c r="AO174" s="55"/>
      <c r="AP174" s="55">
        <v>44455</v>
      </c>
      <c r="AQ174" s="55"/>
      <c r="AR174" s="55">
        <v>44455</v>
      </c>
      <c r="AS174" s="55">
        <v>44455</v>
      </c>
      <c r="AT174" s="55"/>
      <c r="AU174" s="55">
        <v>44456</v>
      </c>
      <c r="AV174" s="55"/>
      <c r="AW174" s="55">
        <v>44456</v>
      </c>
      <c r="AX174" s="55"/>
      <c r="AY174" s="55"/>
      <c r="AZ174" s="55"/>
      <c r="BA174" s="55">
        <v>44455</v>
      </c>
      <c r="BB174" s="55">
        <v>44456</v>
      </c>
      <c r="BC174" s="55"/>
      <c r="BD174" s="55"/>
      <c r="BE174" s="55">
        <v>44456</v>
      </c>
      <c r="BF174" s="55"/>
      <c r="BG174" s="55">
        <v>44455</v>
      </c>
      <c r="BH174" s="55">
        <v>44485</v>
      </c>
      <c r="BI174" s="55"/>
      <c r="BJ174" s="55"/>
    </row>
    <row r="175" spans="1:62" x14ac:dyDescent="0.4">
      <c r="A175" s="5">
        <f t="shared" si="3"/>
        <v>32</v>
      </c>
      <c r="B175" s="3" t="s">
        <v>171</v>
      </c>
      <c r="C175" s="55">
        <v>44433</v>
      </c>
      <c r="D175" s="55">
        <v>44387</v>
      </c>
      <c r="E175" s="55">
        <v>44441</v>
      </c>
      <c r="F175" s="55">
        <v>44489</v>
      </c>
      <c r="G175" s="55">
        <v>44503</v>
      </c>
      <c r="H175" s="55">
        <v>44387</v>
      </c>
      <c r="I175" s="55">
        <v>44432</v>
      </c>
      <c r="J175" s="55">
        <v>44441</v>
      </c>
      <c r="K175" s="55">
        <v>44432</v>
      </c>
      <c r="L175" s="55">
        <v>44392</v>
      </c>
      <c r="M175" s="55">
        <v>44432</v>
      </c>
      <c r="N175" s="55">
        <v>44391</v>
      </c>
      <c r="O175" s="55"/>
      <c r="P175" s="55">
        <v>44391</v>
      </c>
      <c r="Q175" s="55">
        <v>44173</v>
      </c>
      <c r="R175" s="55"/>
      <c r="S175" s="55">
        <v>44389</v>
      </c>
      <c r="T175" s="55">
        <v>44387</v>
      </c>
      <c r="U175" s="55">
        <v>44392</v>
      </c>
      <c r="V175" s="55">
        <v>44386</v>
      </c>
      <c r="W175" s="55"/>
      <c r="X175" s="55"/>
      <c r="Y175" s="55"/>
      <c r="Z175" s="55"/>
      <c r="AA175" s="55">
        <v>44389</v>
      </c>
      <c r="AB175" s="55">
        <v>44391</v>
      </c>
      <c r="AC175" s="55">
        <v>44187</v>
      </c>
      <c r="AD175" s="55">
        <v>44387</v>
      </c>
      <c r="AE175" s="55">
        <v>44394</v>
      </c>
      <c r="AF175" s="55"/>
      <c r="AG175" s="55"/>
      <c r="AH175" s="55"/>
      <c r="AI175" s="55"/>
      <c r="AJ175" s="55">
        <v>44387</v>
      </c>
      <c r="AK175" s="55"/>
      <c r="AL175" s="55"/>
      <c r="AM175" s="55"/>
      <c r="AN175" s="55"/>
      <c r="AO175" s="55"/>
      <c r="AP175" s="55"/>
      <c r="AQ175" s="55">
        <v>44187</v>
      </c>
      <c r="AR175" s="55"/>
      <c r="AS175" s="55">
        <v>44441</v>
      </c>
      <c r="AT175" s="55"/>
      <c r="AU175" s="55">
        <v>44427</v>
      </c>
      <c r="AV175" s="55">
        <v>44251</v>
      </c>
      <c r="AW175" s="55">
        <v>44387</v>
      </c>
      <c r="AX175" s="55"/>
      <c r="AY175" s="55"/>
      <c r="AZ175" s="55"/>
      <c r="BA175" s="55"/>
      <c r="BB175" s="55">
        <v>44427</v>
      </c>
      <c r="BC175" s="55"/>
      <c r="BD175" s="55"/>
      <c r="BE175" s="55"/>
      <c r="BF175" s="55"/>
      <c r="BG175" s="55">
        <v>44357</v>
      </c>
      <c r="BH175" s="55">
        <v>44494</v>
      </c>
      <c r="BI175" s="55"/>
      <c r="BJ175" s="55"/>
    </row>
    <row r="176" spans="1:62" x14ac:dyDescent="0.4">
      <c r="A176" s="5">
        <f t="shared" si="3"/>
        <v>32</v>
      </c>
      <c r="B176" s="3" t="s">
        <v>172</v>
      </c>
      <c r="C176" s="55">
        <v>44434</v>
      </c>
      <c r="D176" s="55">
        <v>44442</v>
      </c>
      <c r="E176" s="55">
        <v>44434</v>
      </c>
      <c r="F176" s="55">
        <v>44425</v>
      </c>
      <c r="G176" s="55">
        <v>44428</v>
      </c>
      <c r="H176" s="55">
        <v>44427</v>
      </c>
      <c r="I176" s="55">
        <v>44434</v>
      </c>
      <c r="J176" s="55">
        <v>44434</v>
      </c>
      <c r="K176" s="55">
        <v>44425</v>
      </c>
      <c r="L176" s="55">
        <v>44427</v>
      </c>
      <c r="M176" s="55">
        <v>44440</v>
      </c>
      <c r="N176" s="55">
        <v>44427</v>
      </c>
      <c r="O176" s="55"/>
      <c r="P176" s="55">
        <v>44482</v>
      </c>
      <c r="Q176" s="55">
        <v>44420</v>
      </c>
      <c r="R176" s="55"/>
      <c r="S176" s="55">
        <v>44428</v>
      </c>
      <c r="T176" s="55">
        <v>44483</v>
      </c>
      <c r="U176" s="55">
        <v>44481</v>
      </c>
      <c r="V176" s="55">
        <v>44425</v>
      </c>
      <c r="W176" s="55"/>
      <c r="X176" s="55"/>
      <c r="Y176" s="55"/>
      <c r="Z176" s="55"/>
      <c r="AA176" s="55">
        <v>44428</v>
      </c>
      <c r="AB176" s="55">
        <v>44481</v>
      </c>
      <c r="AC176" s="55">
        <v>44481</v>
      </c>
      <c r="AD176" s="55">
        <v>44483</v>
      </c>
      <c r="AE176" s="55">
        <v>44427</v>
      </c>
      <c r="AF176" s="55"/>
      <c r="AG176" s="55"/>
      <c r="AH176" s="55"/>
      <c r="AI176" s="55">
        <v>44425</v>
      </c>
      <c r="AJ176" s="55">
        <v>44425</v>
      </c>
      <c r="AK176" s="55"/>
      <c r="AL176" s="55"/>
      <c r="AM176" s="55"/>
      <c r="AN176" s="55"/>
      <c r="AO176" s="55"/>
      <c r="AP176" s="55"/>
      <c r="AQ176" s="55">
        <v>44482</v>
      </c>
      <c r="AR176" s="55">
        <v>44434</v>
      </c>
      <c r="AS176" s="55"/>
      <c r="AT176" s="55"/>
      <c r="AU176" s="55">
        <v>44420</v>
      </c>
      <c r="AV176" s="55"/>
      <c r="AW176" s="55">
        <v>44435</v>
      </c>
      <c r="AX176" s="55"/>
      <c r="AY176" s="55"/>
      <c r="AZ176" s="55"/>
      <c r="BA176" s="55">
        <v>44434</v>
      </c>
      <c r="BB176" s="55">
        <v>44425</v>
      </c>
      <c r="BC176" s="55"/>
      <c r="BD176" s="55"/>
      <c r="BE176" s="55"/>
      <c r="BF176" s="55"/>
      <c r="BG176" s="55"/>
      <c r="BH176" s="55">
        <v>44494</v>
      </c>
      <c r="BI176" s="55"/>
      <c r="BJ176" s="55"/>
    </row>
    <row r="177" spans="1:62" x14ac:dyDescent="0.4">
      <c r="A177" s="5">
        <f t="shared" si="3"/>
        <v>26</v>
      </c>
      <c r="B177" s="3" t="s">
        <v>173</v>
      </c>
      <c r="C177" s="55">
        <v>44490</v>
      </c>
      <c r="D177" s="55">
        <v>44490</v>
      </c>
      <c r="E177" s="55">
        <v>44490</v>
      </c>
      <c r="F177" s="55">
        <v>44490</v>
      </c>
      <c r="G177" s="55">
        <v>44490</v>
      </c>
      <c r="H177" s="55">
        <v>44490</v>
      </c>
      <c r="I177" s="55">
        <v>44490</v>
      </c>
      <c r="J177" s="55">
        <v>44490</v>
      </c>
      <c r="K177" s="55">
        <v>44490</v>
      </c>
      <c r="L177" s="55"/>
      <c r="M177" s="55"/>
      <c r="N177" s="55">
        <v>44490</v>
      </c>
      <c r="O177" s="55"/>
      <c r="P177" s="55">
        <v>44490</v>
      </c>
      <c r="Q177" s="55"/>
      <c r="R177" s="55"/>
      <c r="S177" s="55">
        <v>44490</v>
      </c>
      <c r="T177" s="55">
        <v>44490</v>
      </c>
      <c r="U177" s="55">
        <v>44490</v>
      </c>
      <c r="V177" s="55">
        <v>44490</v>
      </c>
      <c r="W177" s="55"/>
      <c r="X177" s="55"/>
      <c r="Y177" s="55">
        <v>44490</v>
      </c>
      <c r="Z177" s="55"/>
      <c r="AA177" s="55"/>
      <c r="AB177" s="55">
        <v>44490</v>
      </c>
      <c r="AC177" s="55">
        <v>44490</v>
      </c>
      <c r="AD177" s="55">
        <v>44490</v>
      </c>
      <c r="AE177" s="55">
        <v>44490</v>
      </c>
      <c r="AF177" s="55"/>
      <c r="AG177" s="55"/>
      <c r="AH177" s="55"/>
      <c r="AI177" s="55">
        <v>44490</v>
      </c>
      <c r="AJ177" s="55">
        <v>44490</v>
      </c>
      <c r="AK177" s="55"/>
      <c r="AL177" s="55"/>
      <c r="AM177" s="55">
        <v>44490</v>
      </c>
      <c r="AN177" s="55"/>
      <c r="AO177" s="55"/>
      <c r="AP177" s="55"/>
      <c r="AQ177" s="55"/>
      <c r="AR177" s="55"/>
      <c r="AS177" s="55"/>
      <c r="AT177" s="55"/>
      <c r="AU177" s="55">
        <v>44490</v>
      </c>
      <c r="AV177" s="55"/>
      <c r="AW177" s="55">
        <v>44490</v>
      </c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>
        <v>44490</v>
      </c>
      <c r="BI177" s="55"/>
      <c r="BJ177" s="55"/>
    </row>
    <row r="178" spans="1:62" x14ac:dyDescent="0.4">
      <c r="A178" s="5">
        <f t="shared" si="3"/>
        <v>33</v>
      </c>
      <c r="B178" s="3" t="s">
        <v>174</v>
      </c>
      <c r="C178" s="55">
        <v>44490</v>
      </c>
      <c r="D178" s="55">
        <v>44490</v>
      </c>
      <c r="E178" s="55">
        <v>44490</v>
      </c>
      <c r="F178" s="55">
        <v>44490</v>
      </c>
      <c r="G178" s="55">
        <v>44490</v>
      </c>
      <c r="H178" s="55">
        <v>44490</v>
      </c>
      <c r="I178" s="55">
        <v>44491</v>
      </c>
      <c r="J178" s="55">
        <v>44490</v>
      </c>
      <c r="K178" s="55">
        <v>44491</v>
      </c>
      <c r="L178" s="55">
        <v>44491</v>
      </c>
      <c r="M178" s="55">
        <v>44490</v>
      </c>
      <c r="N178" s="55">
        <v>44490</v>
      </c>
      <c r="O178" s="55"/>
      <c r="P178" s="55">
        <v>44497</v>
      </c>
      <c r="Q178" s="55"/>
      <c r="R178" s="55"/>
      <c r="S178" s="55">
        <v>44490</v>
      </c>
      <c r="T178" s="55">
        <v>44490</v>
      </c>
      <c r="U178" s="55">
        <v>44491</v>
      </c>
      <c r="V178" s="55">
        <v>44490</v>
      </c>
      <c r="W178" s="55"/>
      <c r="X178" s="55"/>
      <c r="Y178" s="55">
        <v>44491</v>
      </c>
      <c r="Z178" s="55"/>
      <c r="AA178" s="55">
        <v>44490</v>
      </c>
      <c r="AB178" s="55">
        <v>44490</v>
      </c>
      <c r="AC178" s="55"/>
      <c r="AD178" s="55">
        <v>44490</v>
      </c>
      <c r="AE178" s="55">
        <v>44502</v>
      </c>
      <c r="AF178" s="55"/>
      <c r="AG178" s="55"/>
      <c r="AH178" s="55">
        <v>44490</v>
      </c>
      <c r="AI178" s="55">
        <v>44490</v>
      </c>
      <c r="AJ178" s="55">
        <v>44490</v>
      </c>
      <c r="AK178" s="55"/>
      <c r="AL178" s="55"/>
      <c r="AM178" s="55">
        <v>44497</v>
      </c>
      <c r="AN178" s="55"/>
      <c r="AO178" s="55"/>
      <c r="AP178" s="55"/>
      <c r="AQ178" s="55"/>
      <c r="AR178" s="55"/>
      <c r="AS178" s="55"/>
      <c r="AT178" s="55"/>
      <c r="AU178" s="55">
        <v>44490</v>
      </c>
      <c r="AV178" s="55"/>
      <c r="AW178" s="55">
        <v>44497</v>
      </c>
      <c r="AX178" s="55"/>
      <c r="AY178" s="55"/>
      <c r="AZ178" s="55">
        <v>44490</v>
      </c>
      <c r="BA178" s="55">
        <v>44490</v>
      </c>
      <c r="BB178" s="55">
        <v>44490</v>
      </c>
      <c r="BC178" s="55"/>
      <c r="BD178" s="55"/>
      <c r="BE178" s="55">
        <v>44497</v>
      </c>
      <c r="BF178" s="55"/>
      <c r="BG178" s="55"/>
      <c r="BH178" s="55">
        <v>44490</v>
      </c>
      <c r="BI178" s="55"/>
      <c r="BJ178" s="55"/>
    </row>
    <row r="179" spans="1:62" x14ac:dyDescent="0.4">
      <c r="A179" s="5">
        <f t="shared" si="3"/>
        <v>34</v>
      </c>
      <c r="B179" s="3" t="s">
        <v>175</v>
      </c>
      <c r="C179" s="55">
        <v>44494</v>
      </c>
      <c r="D179" s="55">
        <v>44186</v>
      </c>
      <c r="E179" s="55">
        <v>44494</v>
      </c>
      <c r="F179" s="56">
        <v>44186</v>
      </c>
      <c r="G179" s="56">
        <v>44186</v>
      </c>
      <c r="H179" s="55">
        <v>44183</v>
      </c>
      <c r="I179" s="55">
        <v>44494</v>
      </c>
      <c r="J179" s="55">
        <v>44494</v>
      </c>
      <c r="K179" s="55"/>
      <c r="L179" s="55">
        <v>44497</v>
      </c>
      <c r="M179" s="55">
        <v>44497</v>
      </c>
      <c r="N179" s="55">
        <v>44186</v>
      </c>
      <c r="O179" s="55">
        <v>44186</v>
      </c>
      <c r="P179" s="55">
        <v>44186</v>
      </c>
      <c r="Q179" s="55"/>
      <c r="R179" s="55"/>
      <c r="S179" s="55">
        <v>44186</v>
      </c>
      <c r="T179" s="55">
        <v>44494</v>
      </c>
      <c r="U179" s="55">
        <v>44186</v>
      </c>
      <c r="V179" s="55">
        <v>44183</v>
      </c>
      <c r="W179" s="55"/>
      <c r="X179" s="55"/>
      <c r="Y179" s="55"/>
      <c r="Z179" s="55">
        <v>44172</v>
      </c>
      <c r="AA179" s="55">
        <v>44186</v>
      </c>
      <c r="AB179" s="55">
        <v>44186</v>
      </c>
      <c r="AC179" s="55">
        <v>44186</v>
      </c>
      <c r="AD179" s="55">
        <v>44186</v>
      </c>
      <c r="AE179" s="55">
        <v>44186</v>
      </c>
      <c r="AF179" s="55"/>
      <c r="AG179" s="55"/>
      <c r="AH179" s="55">
        <v>44494</v>
      </c>
      <c r="AI179" s="55">
        <v>44172</v>
      </c>
      <c r="AJ179" s="55">
        <v>44172</v>
      </c>
      <c r="AK179" s="55"/>
      <c r="AL179" s="55"/>
      <c r="AM179" s="56">
        <v>44186</v>
      </c>
      <c r="AN179" s="55"/>
      <c r="AO179" s="55"/>
      <c r="AP179" s="55"/>
      <c r="AQ179" s="55"/>
      <c r="AR179" s="55"/>
      <c r="AS179" s="55"/>
      <c r="AT179" s="55">
        <v>44495</v>
      </c>
      <c r="AU179" s="55">
        <v>44494</v>
      </c>
      <c r="AV179" s="55">
        <v>44186</v>
      </c>
      <c r="AW179" s="55">
        <v>44186</v>
      </c>
      <c r="AX179" s="55"/>
      <c r="AY179" s="55"/>
      <c r="AZ179" s="55"/>
      <c r="BA179" s="55"/>
      <c r="BB179" s="55">
        <v>44495</v>
      </c>
      <c r="BC179" s="55"/>
      <c r="BD179" s="55"/>
      <c r="BE179" s="55"/>
      <c r="BF179" s="55"/>
      <c r="BG179" s="55">
        <v>44494</v>
      </c>
      <c r="BH179" s="55">
        <v>44496</v>
      </c>
      <c r="BI179" s="55"/>
      <c r="BJ179" s="55"/>
    </row>
    <row r="180" spans="1:62" x14ac:dyDescent="0.4">
      <c r="A180" s="5">
        <f t="shared" si="3"/>
        <v>32</v>
      </c>
      <c r="B180" s="3" t="s">
        <v>176</v>
      </c>
      <c r="C180" s="55">
        <v>44320</v>
      </c>
      <c r="D180" s="55">
        <v>44336</v>
      </c>
      <c r="E180" s="55">
        <v>44320</v>
      </c>
      <c r="F180" s="55">
        <v>44439</v>
      </c>
      <c r="G180" s="55">
        <v>44439</v>
      </c>
      <c r="H180" s="55">
        <v>44320</v>
      </c>
      <c r="I180" s="55">
        <v>44340</v>
      </c>
      <c r="J180" s="55">
        <v>44439</v>
      </c>
      <c r="K180" s="55">
        <v>44439</v>
      </c>
      <c r="L180" s="55">
        <v>44340</v>
      </c>
      <c r="M180" s="55">
        <v>44439</v>
      </c>
      <c r="N180" s="55">
        <v>44362</v>
      </c>
      <c r="O180" s="55"/>
      <c r="P180" s="55">
        <v>44368</v>
      </c>
      <c r="Q180" s="55">
        <v>44368</v>
      </c>
      <c r="R180" s="55"/>
      <c r="S180" s="55">
        <v>44368</v>
      </c>
      <c r="T180" s="55">
        <v>44362</v>
      </c>
      <c r="U180" s="55">
        <v>44368</v>
      </c>
      <c r="V180" s="55">
        <v>44368</v>
      </c>
      <c r="W180" s="55"/>
      <c r="X180" s="55"/>
      <c r="Y180" s="55"/>
      <c r="Z180" s="55">
        <v>44368</v>
      </c>
      <c r="AA180" s="55">
        <v>44368</v>
      </c>
      <c r="AB180" s="55">
        <v>44368</v>
      </c>
      <c r="AC180" s="55">
        <v>44362</v>
      </c>
      <c r="AD180" s="55">
        <v>44368</v>
      </c>
      <c r="AE180" s="55"/>
      <c r="AF180" s="55"/>
      <c r="AG180" s="55"/>
      <c r="AH180" s="55">
        <v>44355</v>
      </c>
      <c r="AI180" s="55">
        <v>44340</v>
      </c>
      <c r="AJ180" s="55">
        <v>44340</v>
      </c>
      <c r="AK180" s="55"/>
      <c r="AL180" s="55"/>
      <c r="AM180" s="55">
        <v>44336</v>
      </c>
      <c r="AN180" s="55"/>
      <c r="AO180" s="55"/>
      <c r="AP180" s="55"/>
      <c r="AQ180" s="55"/>
      <c r="AR180" s="55">
        <v>44355</v>
      </c>
      <c r="AS180" s="55"/>
      <c r="AT180" s="55"/>
      <c r="AU180" s="55">
        <v>44355</v>
      </c>
      <c r="AV180" s="55"/>
      <c r="AW180" s="55">
        <v>44368</v>
      </c>
      <c r="AX180" s="55"/>
      <c r="AY180" s="55"/>
      <c r="AZ180" s="55"/>
      <c r="BA180" s="55"/>
      <c r="BB180" s="55">
        <v>44355</v>
      </c>
      <c r="BC180" s="55"/>
      <c r="BD180" s="55"/>
      <c r="BE180" s="55"/>
      <c r="BF180" s="55"/>
      <c r="BG180" s="55">
        <v>44355</v>
      </c>
      <c r="BH180" s="55"/>
      <c r="BI180" s="55"/>
      <c r="BJ180" s="55"/>
    </row>
    <row r="181" spans="1:62" x14ac:dyDescent="0.4">
      <c r="A181" s="5">
        <f t="shared" si="3"/>
        <v>9</v>
      </c>
      <c r="B181" s="3" t="s">
        <v>177</v>
      </c>
      <c r="C181" s="55"/>
      <c r="D181" s="56">
        <v>43633</v>
      </c>
      <c r="E181" s="55"/>
      <c r="F181" s="56">
        <v>44153</v>
      </c>
      <c r="G181" s="56">
        <v>44153</v>
      </c>
      <c r="H181" s="55"/>
      <c r="I181" s="55">
        <v>44490</v>
      </c>
      <c r="J181" s="55"/>
      <c r="K181" s="55"/>
      <c r="L181" s="55"/>
      <c r="M181" s="55"/>
      <c r="N181" s="55"/>
      <c r="O181" s="55"/>
      <c r="P181" s="55"/>
      <c r="Q181" s="55"/>
      <c r="R181" s="55"/>
      <c r="S181" s="56">
        <v>44127</v>
      </c>
      <c r="T181" s="55"/>
      <c r="U181" s="55">
        <v>44189</v>
      </c>
      <c r="V181" s="56">
        <v>43630</v>
      </c>
      <c r="W181" s="55"/>
      <c r="X181" s="55"/>
      <c r="Y181" s="55"/>
      <c r="Z181" s="55"/>
      <c r="AA181" s="55"/>
      <c r="AB181" s="55">
        <v>44495</v>
      </c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>
        <v>44221</v>
      </c>
      <c r="BJ181" s="55"/>
    </row>
    <row r="182" spans="1:62" x14ac:dyDescent="0.4">
      <c r="A182" s="5">
        <f t="shared" si="3"/>
        <v>38</v>
      </c>
      <c r="B182" s="3" t="s">
        <v>178</v>
      </c>
      <c r="C182" s="55">
        <v>44489</v>
      </c>
      <c r="D182" s="55">
        <v>44489</v>
      </c>
      <c r="E182" s="55">
        <v>44489</v>
      </c>
      <c r="F182" s="55">
        <v>44488</v>
      </c>
      <c r="G182" s="55">
        <v>44488</v>
      </c>
      <c r="H182" s="55">
        <v>44489</v>
      </c>
      <c r="I182" s="55">
        <v>44488</v>
      </c>
      <c r="J182" s="55">
        <v>44489</v>
      </c>
      <c r="K182" s="55">
        <v>44489</v>
      </c>
      <c r="L182" s="55">
        <v>44489</v>
      </c>
      <c r="M182" s="55">
        <v>44488</v>
      </c>
      <c r="N182" s="55">
        <v>44491</v>
      </c>
      <c r="O182" s="55">
        <v>44467</v>
      </c>
      <c r="P182" s="56">
        <v>44118</v>
      </c>
      <c r="Q182" s="55">
        <v>44489</v>
      </c>
      <c r="R182" s="55">
        <v>44488</v>
      </c>
      <c r="S182" s="55">
        <v>44488</v>
      </c>
      <c r="T182" s="55"/>
      <c r="U182" s="55">
        <v>44489</v>
      </c>
      <c r="V182" s="55">
        <v>44489</v>
      </c>
      <c r="W182" s="55"/>
      <c r="X182" s="55">
        <v>44489</v>
      </c>
      <c r="Y182" s="55"/>
      <c r="Z182" s="55">
        <v>44488</v>
      </c>
      <c r="AA182" s="55">
        <v>44489</v>
      </c>
      <c r="AB182" s="55">
        <v>44489</v>
      </c>
      <c r="AC182" s="55">
        <v>44498</v>
      </c>
      <c r="AD182" s="55">
        <v>44489</v>
      </c>
      <c r="AE182" s="55">
        <v>44490</v>
      </c>
      <c r="AF182" s="55"/>
      <c r="AG182" s="55">
        <v>44488</v>
      </c>
      <c r="AH182" s="55">
        <v>44489</v>
      </c>
      <c r="AI182" s="55">
        <v>44488</v>
      </c>
      <c r="AJ182" s="55">
        <v>44488</v>
      </c>
      <c r="AK182" s="55"/>
      <c r="AL182" s="55"/>
      <c r="AM182" s="55">
        <v>44498</v>
      </c>
      <c r="AN182" s="55"/>
      <c r="AO182" s="55"/>
      <c r="AP182" s="55">
        <v>44498</v>
      </c>
      <c r="AQ182" s="55"/>
      <c r="AR182" s="55"/>
      <c r="AS182" s="55"/>
      <c r="AT182" s="55"/>
      <c r="AU182" s="55">
        <v>44489</v>
      </c>
      <c r="AV182" s="55"/>
      <c r="AW182" s="55">
        <v>44489</v>
      </c>
      <c r="AX182" s="55"/>
      <c r="AY182" s="55"/>
      <c r="AZ182" s="55"/>
      <c r="BA182" s="55">
        <v>44489</v>
      </c>
      <c r="BB182" s="55">
        <v>44490</v>
      </c>
      <c r="BC182" s="55"/>
      <c r="BD182" s="55"/>
      <c r="BE182" s="55">
        <v>44488</v>
      </c>
      <c r="BF182" s="55"/>
      <c r="BG182" s="55">
        <v>44489</v>
      </c>
      <c r="BH182" s="55"/>
      <c r="BI182" s="55"/>
      <c r="BJ182" s="55"/>
    </row>
    <row r="183" spans="1:62" x14ac:dyDescent="0.4">
      <c r="A183" s="5">
        <f t="shared" si="3"/>
        <v>47</v>
      </c>
      <c r="B183" s="3" t="s">
        <v>179</v>
      </c>
      <c r="C183" s="55">
        <v>44372</v>
      </c>
      <c r="D183" s="56">
        <v>43406</v>
      </c>
      <c r="E183" s="55">
        <v>44476</v>
      </c>
      <c r="F183" s="56">
        <v>43629</v>
      </c>
      <c r="G183" s="55">
        <v>44503</v>
      </c>
      <c r="H183" s="55">
        <v>44494</v>
      </c>
      <c r="I183" s="55">
        <v>44475</v>
      </c>
      <c r="J183" s="56">
        <v>44127</v>
      </c>
      <c r="K183" s="56">
        <v>44174</v>
      </c>
      <c r="L183" s="56">
        <v>44134</v>
      </c>
      <c r="M183" s="55">
        <v>44497</v>
      </c>
      <c r="N183" s="55">
        <v>44474</v>
      </c>
      <c r="O183" s="55">
        <v>44404</v>
      </c>
      <c r="P183" s="56">
        <v>43629</v>
      </c>
      <c r="Q183" s="56">
        <v>43738</v>
      </c>
      <c r="R183" s="56">
        <v>43545</v>
      </c>
      <c r="S183" s="55">
        <v>44397</v>
      </c>
      <c r="T183" s="55">
        <v>44392</v>
      </c>
      <c r="U183" s="55">
        <v>44491</v>
      </c>
      <c r="V183" s="55">
        <v>44385</v>
      </c>
      <c r="W183" s="55">
        <v>44434</v>
      </c>
      <c r="X183" s="55">
        <v>44397</v>
      </c>
      <c r="Y183" s="55"/>
      <c r="Z183" s="55">
        <v>44137</v>
      </c>
      <c r="AA183" s="55">
        <v>44468</v>
      </c>
      <c r="AB183" s="55">
        <v>44482</v>
      </c>
      <c r="AC183" s="56">
        <v>44134</v>
      </c>
      <c r="AD183" s="56">
        <v>44133</v>
      </c>
      <c r="AE183" s="55">
        <v>44179</v>
      </c>
      <c r="AF183" s="56">
        <v>43082</v>
      </c>
      <c r="AG183" s="56">
        <v>44134</v>
      </c>
      <c r="AH183" s="56">
        <v>44134</v>
      </c>
      <c r="AI183" s="55">
        <v>44168</v>
      </c>
      <c r="AJ183" s="55">
        <v>44167</v>
      </c>
      <c r="AK183" s="55"/>
      <c r="AL183" s="55"/>
      <c r="AM183" s="56">
        <v>44134</v>
      </c>
      <c r="AN183" s="56">
        <v>44145</v>
      </c>
      <c r="AO183" s="55"/>
      <c r="AP183" s="55"/>
      <c r="AQ183" s="55">
        <v>44397</v>
      </c>
      <c r="AR183" s="55"/>
      <c r="AS183" s="56">
        <v>44133</v>
      </c>
      <c r="AT183" s="55"/>
      <c r="AU183" s="55">
        <v>44476</v>
      </c>
      <c r="AV183" s="55"/>
      <c r="AW183" s="56">
        <v>44134</v>
      </c>
      <c r="AX183" s="55">
        <v>44413</v>
      </c>
      <c r="AY183" s="55">
        <v>44491</v>
      </c>
      <c r="AZ183" s="55"/>
      <c r="BA183" s="55">
        <v>44411</v>
      </c>
      <c r="BB183" s="55">
        <v>44490</v>
      </c>
      <c r="BC183" s="55">
        <v>44491</v>
      </c>
      <c r="BD183" s="55">
        <v>44491</v>
      </c>
      <c r="BE183" s="56">
        <v>44137</v>
      </c>
      <c r="BF183" s="55"/>
      <c r="BG183" s="55">
        <v>44497</v>
      </c>
      <c r="BH183" s="55"/>
      <c r="BI183" s="55"/>
      <c r="BJ183" s="55"/>
    </row>
    <row r="184" spans="1:62" x14ac:dyDescent="0.4">
      <c r="A184" s="5">
        <f t="shared" si="3"/>
        <v>47</v>
      </c>
      <c r="B184" s="3" t="s">
        <v>180</v>
      </c>
      <c r="C184" s="55">
        <v>44449</v>
      </c>
      <c r="D184" s="55">
        <v>44453</v>
      </c>
      <c r="E184" s="55">
        <v>44453</v>
      </c>
      <c r="F184" s="55">
        <v>44501</v>
      </c>
      <c r="G184" s="55">
        <v>44501</v>
      </c>
      <c r="H184" s="55">
        <v>44412</v>
      </c>
      <c r="I184" s="55">
        <v>44412</v>
      </c>
      <c r="J184" s="55">
        <v>44491</v>
      </c>
      <c r="K184" s="55">
        <v>44413</v>
      </c>
      <c r="L184" s="55">
        <v>44412</v>
      </c>
      <c r="M184" s="55">
        <v>44494</v>
      </c>
      <c r="N184" s="55">
        <v>44417</v>
      </c>
      <c r="O184" s="55">
        <v>44413</v>
      </c>
      <c r="P184" s="55">
        <v>44413</v>
      </c>
      <c r="Q184" s="55">
        <v>44412</v>
      </c>
      <c r="R184" s="55">
        <v>44413</v>
      </c>
      <c r="S184" s="55">
        <v>44413</v>
      </c>
      <c r="T184" s="55">
        <v>44412</v>
      </c>
      <c r="U184" s="55">
        <v>44417</v>
      </c>
      <c r="V184" s="55">
        <v>44167</v>
      </c>
      <c r="W184" s="55"/>
      <c r="X184" s="55"/>
      <c r="Y184" s="55"/>
      <c r="Z184" s="55">
        <v>44412</v>
      </c>
      <c r="AA184" s="55">
        <v>44412</v>
      </c>
      <c r="AB184" s="55">
        <v>44412</v>
      </c>
      <c r="AC184" s="55">
        <v>44412</v>
      </c>
      <c r="AD184" s="55">
        <v>44453</v>
      </c>
      <c r="AE184" s="55">
        <v>44413</v>
      </c>
      <c r="AF184" s="55"/>
      <c r="AG184" s="55">
        <v>44453</v>
      </c>
      <c r="AH184" s="55">
        <v>44413</v>
      </c>
      <c r="AI184" s="55">
        <v>44412</v>
      </c>
      <c r="AJ184" s="55">
        <v>44412</v>
      </c>
      <c r="AK184" s="55">
        <v>44413</v>
      </c>
      <c r="AL184" s="55">
        <v>44494</v>
      </c>
      <c r="AM184" s="55">
        <v>44491</v>
      </c>
      <c r="AN184" s="55">
        <v>44362</v>
      </c>
      <c r="AO184" s="55"/>
      <c r="AP184" s="55">
        <v>44413</v>
      </c>
      <c r="AQ184" s="55">
        <v>44413</v>
      </c>
      <c r="AR184" s="55"/>
      <c r="AS184" s="55">
        <v>44362</v>
      </c>
      <c r="AT184" s="55"/>
      <c r="AU184" s="55">
        <v>44413</v>
      </c>
      <c r="AV184" s="55">
        <v>44494</v>
      </c>
      <c r="AW184" s="55">
        <v>44413</v>
      </c>
      <c r="AX184" s="55">
        <v>44413</v>
      </c>
      <c r="AY184" s="55">
        <v>44412</v>
      </c>
      <c r="AZ184" s="55"/>
      <c r="BA184" s="55">
        <v>44412</v>
      </c>
      <c r="BB184" s="55">
        <v>44412</v>
      </c>
      <c r="BC184" s="55">
        <v>44412</v>
      </c>
      <c r="BD184" s="55"/>
      <c r="BE184" s="55">
        <v>44491</v>
      </c>
      <c r="BF184" s="55"/>
      <c r="BG184" s="55">
        <v>44362</v>
      </c>
      <c r="BH184" s="55"/>
      <c r="BI184" s="55"/>
      <c r="BJ184" s="55"/>
    </row>
    <row r="185" spans="1:62" x14ac:dyDescent="0.4">
      <c r="A185" s="5">
        <f t="shared" si="3"/>
        <v>22</v>
      </c>
      <c r="B185" s="3" t="s">
        <v>199</v>
      </c>
      <c r="C185" s="56">
        <v>44026</v>
      </c>
      <c r="D185" s="56">
        <v>43733</v>
      </c>
      <c r="E185" s="56">
        <v>44026</v>
      </c>
      <c r="F185" s="56">
        <v>43740</v>
      </c>
      <c r="G185" s="55"/>
      <c r="H185" s="56">
        <v>43733</v>
      </c>
      <c r="I185" s="56">
        <v>44026</v>
      </c>
      <c r="J185" s="56">
        <v>42843</v>
      </c>
      <c r="K185" s="55"/>
      <c r="L185" s="56">
        <v>44027</v>
      </c>
      <c r="M185" s="56">
        <v>43734</v>
      </c>
      <c r="N185" s="55"/>
      <c r="O185" s="56">
        <v>44026</v>
      </c>
      <c r="P185" s="56">
        <v>43745</v>
      </c>
      <c r="Q185" s="55"/>
      <c r="R185" s="55"/>
      <c r="S185" s="56">
        <v>44026</v>
      </c>
      <c r="T185" s="56">
        <v>44026</v>
      </c>
      <c r="U185" s="55"/>
      <c r="V185" s="55"/>
      <c r="W185" s="55"/>
      <c r="X185" s="55"/>
      <c r="Y185" s="55"/>
      <c r="Z185" s="55"/>
      <c r="AA185" s="56">
        <v>44026</v>
      </c>
      <c r="AB185" s="56">
        <v>44026</v>
      </c>
      <c r="AC185" s="56">
        <v>44026</v>
      </c>
      <c r="AD185" s="55"/>
      <c r="AE185" s="55"/>
      <c r="AF185" s="55"/>
      <c r="AG185" s="55"/>
      <c r="AH185" s="55"/>
      <c r="AI185" s="56">
        <v>44026</v>
      </c>
      <c r="AJ185" s="56">
        <v>44026</v>
      </c>
      <c r="AK185" s="55"/>
      <c r="AL185" s="55"/>
      <c r="AM185" s="56">
        <v>44026</v>
      </c>
      <c r="AN185" s="55"/>
      <c r="AO185" s="55"/>
      <c r="AP185" s="55"/>
      <c r="AQ185" s="55"/>
      <c r="AR185" s="55"/>
      <c r="AS185" s="55"/>
      <c r="AT185" s="55"/>
      <c r="AU185" s="56">
        <v>43738</v>
      </c>
      <c r="AV185" s="55"/>
      <c r="AW185" s="56">
        <v>44026</v>
      </c>
      <c r="AX185" s="55"/>
      <c r="AY185" s="55"/>
      <c r="AZ185" s="55"/>
      <c r="BA185" s="56">
        <v>44026</v>
      </c>
      <c r="BB185" s="55"/>
      <c r="BC185" s="55"/>
      <c r="BD185" s="55"/>
      <c r="BE185" s="55"/>
      <c r="BF185" s="55"/>
      <c r="BG185" s="55"/>
      <c r="BH185" s="55"/>
      <c r="BI185" s="55"/>
      <c r="BJ185" s="55"/>
    </row>
    <row r="186" spans="1:62" x14ac:dyDescent="0.4">
      <c r="A186" s="5">
        <f t="shared" si="3"/>
        <v>40</v>
      </c>
      <c r="B186" s="3" t="s">
        <v>181</v>
      </c>
      <c r="C186" s="55">
        <v>44465</v>
      </c>
      <c r="D186" s="55">
        <v>44467</v>
      </c>
      <c r="E186" s="55">
        <v>44465</v>
      </c>
      <c r="F186" s="55">
        <v>44434</v>
      </c>
      <c r="G186" s="55">
        <v>44476</v>
      </c>
      <c r="H186" s="55">
        <v>44467</v>
      </c>
      <c r="I186" s="55">
        <v>44271</v>
      </c>
      <c r="J186" s="55">
        <v>44463</v>
      </c>
      <c r="K186" s="55">
        <v>44427</v>
      </c>
      <c r="L186" s="55">
        <v>44284</v>
      </c>
      <c r="M186" s="55">
        <v>44449</v>
      </c>
      <c r="N186" s="55">
        <v>44467</v>
      </c>
      <c r="O186" s="55">
        <v>44476</v>
      </c>
      <c r="P186" s="55">
        <v>44467</v>
      </c>
      <c r="Q186" s="55">
        <v>44337</v>
      </c>
      <c r="R186" s="55">
        <v>44288</v>
      </c>
      <c r="S186" s="55"/>
      <c r="T186" s="55">
        <v>44467</v>
      </c>
      <c r="U186" s="55">
        <v>44467</v>
      </c>
      <c r="V186" s="55">
        <v>44467</v>
      </c>
      <c r="W186" s="55"/>
      <c r="X186" s="55">
        <v>44467</v>
      </c>
      <c r="Y186" s="55"/>
      <c r="Z186" s="55">
        <v>44438</v>
      </c>
      <c r="AA186" s="55">
        <v>44454</v>
      </c>
      <c r="AB186" s="55">
        <v>44467</v>
      </c>
      <c r="AC186" s="55">
        <v>44495</v>
      </c>
      <c r="AD186" s="55">
        <v>44272</v>
      </c>
      <c r="AE186" s="55">
        <v>44467</v>
      </c>
      <c r="AF186" s="55"/>
      <c r="AG186" s="55">
        <v>44465</v>
      </c>
      <c r="AH186" s="55">
        <v>44465</v>
      </c>
      <c r="AI186" s="55">
        <v>44270</v>
      </c>
      <c r="AJ186" s="55">
        <v>44270</v>
      </c>
      <c r="AK186" s="55"/>
      <c r="AL186" s="55"/>
      <c r="AM186" s="55">
        <v>44468</v>
      </c>
      <c r="AN186" s="55"/>
      <c r="AO186" s="55"/>
      <c r="AP186" s="55">
        <v>44454</v>
      </c>
      <c r="AQ186" s="55"/>
      <c r="AR186" s="55"/>
      <c r="AS186" s="55"/>
      <c r="AT186" s="55"/>
      <c r="AU186" s="55">
        <v>44465</v>
      </c>
      <c r="AV186" s="55"/>
      <c r="AW186" s="55">
        <v>44237</v>
      </c>
      <c r="AX186" s="55">
        <v>44495</v>
      </c>
      <c r="AY186" s="55">
        <v>44383</v>
      </c>
      <c r="AZ186" s="55"/>
      <c r="BA186" s="55">
        <v>44465</v>
      </c>
      <c r="BB186" s="55">
        <v>44465</v>
      </c>
      <c r="BC186" s="55">
        <v>44465</v>
      </c>
      <c r="BD186" s="55"/>
      <c r="BE186" s="55"/>
      <c r="BF186" s="55"/>
      <c r="BG186" s="55">
        <v>44330</v>
      </c>
      <c r="BH186" s="55"/>
      <c r="BI186" s="55"/>
      <c r="BJ186" s="55"/>
    </row>
    <row r="187" spans="1:62" x14ac:dyDescent="0.4">
      <c r="A187" s="5">
        <f t="shared" si="3"/>
        <v>36</v>
      </c>
      <c r="B187" s="3" t="s">
        <v>182</v>
      </c>
      <c r="C187" s="55">
        <v>44421</v>
      </c>
      <c r="D187" s="55">
        <v>44180</v>
      </c>
      <c r="E187" s="55">
        <v>44421</v>
      </c>
      <c r="F187" s="55">
        <v>44501</v>
      </c>
      <c r="G187" s="55">
        <v>44501</v>
      </c>
      <c r="H187" s="55">
        <v>44494</v>
      </c>
      <c r="I187" s="55">
        <v>44333</v>
      </c>
      <c r="J187" s="55">
        <v>44468</v>
      </c>
      <c r="K187" s="55"/>
      <c r="L187" s="55">
        <v>44263</v>
      </c>
      <c r="M187" s="55">
        <v>44501</v>
      </c>
      <c r="N187" s="55">
        <v>44368</v>
      </c>
      <c r="O187" s="55">
        <v>44433</v>
      </c>
      <c r="P187" s="55">
        <v>44468</v>
      </c>
      <c r="Q187" s="55">
        <v>44376</v>
      </c>
      <c r="R187" s="55">
        <v>44468</v>
      </c>
      <c r="S187" s="55">
        <v>44462</v>
      </c>
      <c r="T187" s="55">
        <v>44468</v>
      </c>
      <c r="U187" s="55">
        <v>44488</v>
      </c>
      <c r="V187" s="55">
        <v>44433</v>
      </c>
      <c r="W187" s="55"/>
      <c r="X187" s="55"/>
      <c r="Y187" s="55"/>
      <c r="Z187" s="55">
        <v>44468</v>
      </c>
      <c r="AA187" s="55"/>
      <c r="AB187" s="55">
        <v>44468</v>
      </c>
      <c r="AC187" s="55">
        <v>44376</v>
      </c>
      <c r="AD187" s="55">
        <v>44378</v>
      </c>
      <c r="AE187" s="55">
        <v>44462</v>
      </c>
      <c r="AF187" s="55"/>
      <c r="AG187" s="55"/>
      <c r="AH187" s="55">
        <v>44433</v>
      </c>
      <c r="AI187" s="55">
        <v>44378</v>
      </c>
      <c r="AJ187" s="55">
        <v>44378</v>
      </c>
      <c r="AK187" s="55"/>
      <c r="AL187" s="55"/>
      <c r="AM187" s="55">
        <v>44488</v>
      </c>
      <c r="AN187" s="55">
        <v>44488</v>
      </c>
      <c r="AO187" s="55"/>
      <c r="AP187" s="55">
        <v>44433</v>
      </c>
      <c r="AQ187" s="55"/>
      <c r="AR187" s="55"/>
      <c r="AS187" s="55">
        <v>44421</v>
      </c>
      <c r="AT187" s="55"/>
      <c r="AU187" s="55">
        <v>44421</v>
      </c>
      <c r="AV187" s="55"/>
      <c r="AW187" s="55">
        <v>44376</v>
      </c>
      <c r="AX187" s="55">
        <v>44480</v>
      </c>
      <c r="AY187" s="55"/>
      <c r="AZ187" s="55"/>
      <c r="BA187" s="55"/>
      <c r="BB187" s="55">
        <v>44494</v>
      </c>
      <c r="BC187" s="55"/>
      <c r="BD187" s="55"/>
      <c r="BE187" s="55"/>
      <c r="BF187" s="55"/>
      <c r="BG187" s="55">
        <v>44421</v>
      </c>
      <c r="BH187" s="55"/>
      <c r="BI187" s="55"/>
      <c r="BJ187" s="55"/>
    </row>
    <row r="188" spans="1:62" x14ac:dyDescent="0.4">
      <c r="A188" s="5">
        <f t="shared" si="3"/>
        <v>39</v>
      </c>
      <c r="B188" s="3" t="s">
        <v>183</v>
      </c>
      <c r="C188" s="55">
        <v>44491</v>
      </c>
      <c r="D188" s="55">
        <v>44491</v>
      </c>
      <c r="E188" s="55">
        <v>44491</v>
      </c>
      <c r="F188" s="55">
        <v>44491</v>
      </c>
      <c r="G188" s="55">
        <v>44491</v>
      </c>
      <c r="H188" s="55">
        <v>44491</v>
      </c>
      <c r="I188" s="55">
        <v>44491</v>
      </c>
      <c r="J188" s="55">
        <v>44491</v>
      </c>
      <c r="K188" s="55"/>
      <c r="L188" s="55">
        <v>44491</v>
      </c>
      <c r="M188" s="55">
        <v>44491</v>
      </c>
      <c r="N188" s="55">
        <v>44491</v>
      </c>
      <c r="O188" s="55">
        <v>44491</v>
      </c>
      <c r="P188" s="55">
        <v>44448</v>
      </c>
      <c r="Q188" s="55">
        <v>44491</v>
      </c>
      <c r="R188" s="55"/>
      <c r="S188" s="55">
        <v>44448</v>
      </c>
      <c r="T188" s="55">
        <v>44491</v>
      </c>
      <c r="U188" s="55">
        <v>44491</v>
      </c>
      <c r="V188" s="55">
        <v>44491</v>
      </c>
      <c r="W188" s="55"/>
      <c r="X188" s="55"/>
      <c r="Y188" s="55">
        <v>44491</v>
      </c>
      <c r="Z188" s="55">
        <v>44491</v>
      </c>
      <c r="AA188" s="55"/>
      <c r="AB188" s="55">
        <v>44491</v>
      </c>
      <c r="AC188" s="55">
        <v>44448</v>
      </c>
      <c r="AD188" s="55">
        <v>44491</v>
      </c>
      <c r="AE188" s="55"/>
      <c r="AF188" s="55"/>
      <c r="AG188" s="55"/>
      <c r="AH188" s="55">
        <v>44491</v>
      </c>
      <c r="AI188" s="55">
        <v>44491</v>
      </c>
      <c r="AJ188" s="55">
        <v>44491</v>
      </c>
      <c r="AK188" s="55"/>
      <c r="AL188" s="55"/>
      <c r="AM188" s="55"/>
      <c r="AN188" s="55">
        <v>44491</v>
      </c>
      <c r="AO188" s="55"/>
      <c r="AP188" s="55">
        <v>44491</v>
      </c>
      <c r="AQ188" s="55"/>
      <c r="AR188" s="55">
        <v>44491</v>
      </c>
      <c r="AS188" s="55">
        <v>44491</v>
      </c>
      <c r="AT188" s="55"/>
      <c r="AU188" s="55">
        <v>44491</v>
      </c>
      <c r="AV188" s="55"/>
      <c r="AW188" s="55">
        <v>44491</v>
      </c>
      <c r="AX188" s="55">
        <v>44475</v>
      </c>
      <c r="AY188" s="55"/>
      <c r="AZ188" s="55"/>
      <c r="BA188" s="55">
        <v>44491</v>
      </c>
      <c r="BB188" s="55">
        <v>44491</v>
      </c>
      <c r="BC188" s="55"/>
      <c r="BD188" s="55"/>
      <c r="BE188" s="55">
        <v>44491</v>
      </c>
      <c r="BF188" s="55"/>
      <c r="BG188" s="55">
        <v>44491</v>
      </c>
      <c r="BH188" s="55">
        <v>44491</v>
      </c>
      <c r="BI188" s="55"/>
      <c r="BJ188" s="55">
        <v>44491</v>
      </c>
    </row>
    <row r="189" spans="1:62" x14ac:dyDescent="0.4">
      <c r="A189" s="5">
        <f t="shared" si="3"/>
        <v>36</v>
      </c>
      <c r="B189" s="3" t="s">
        <v>184</v>
      </c>
      <c r="C189" s="55">
        <v>44490</v>
      </c>
      <c r="D189" s="55">
        <v>44490</v>
      </c>
      <c r="E189" s="55"/>
      <c r="F189" s="56">
        <v>44187</v>
      </c>
      <c r="G189" s="56">
        <v>44187</v>
      </c>
      <c r="H189" s="55">
        <v>44187</v>
      </c>
      <c r="I189" s="55">
        <v>44187</v>
      </c>
      <c r="J189" s="56">
        <v>44187</v>
      </c>
      <c r="K189" s="55">
        <v>44490</v>
      </c>
      <c r="L189" s="55">
        <v>44187</v>
      </c>
      <c r="M189" s="56">
        <v>44187</v>
      </c>
      <c r="N189" s="55">
        <v>44187</v>
      </c>
      <c r="O189" s="55"/>
      <c r="P189" s="55">
        <v>44187</v>
      </c>
      <c r="Q189" s="55">
        <v>44187</v>
      </c>
      <c r="R189" s="55"/>
      <c r="S189" s="55">
        <v>44187</v>
      </c>
      <c r="T189" s="55">
        <v>44187</v>
      </c>
      <c r="U189" s="55">
        <v>44187</v>
      </c>
      <c r="V189" s="55">
        <v>44187</v>
      </c>
      <c r="W189" s="55"/>
      <c r="X189" s="55"/>
      <c r="Y189" s="55">
        <v>44490</v>
      </c>
      <c r="Z189" s="55"/>
      <c r="AA189" s="55">
        <v>44187</v>
      </c>
      <c r="AB189" s="55">
        <v>44490</v>
      </c>
      <c r="AC189" s="56">
        <v>43725</v>
      </c>
      <c r="AD189" s="55">
        <v>44187</v>
      </c>
      <c r="AE189" s="55">
        <v>44187</v>
      </c>
      <c r="AF189" s="55">
        <v>44490</v>
      </c>
      <c r="AG189" s="55"/>
      <c r="AH189" s="56">
        <v>44187</v>
      </c>
      <c r="AI189" s="55">
        <v>44187</v>
      </c>
      <c r="AJ189" s="55">
        <v>44502</v>
      </c>
      <c r="AK189" s="55"/>
      <c r="AL189" s="55"/>
      <c r="AM189" s="55"/>
      <c r="AN189" s="55">
        <v>44502</v>
      </c>
      <c r="AO189" s="55"/>
      <c r="AP189" s="55">
        <v>44490</v>
      </c>
      <c r="AQ189" s="55"/>
      <c r="AR189" s="55">
        <v>44491</v>
      </c>
      <c r="AS189" s="55"/>
      <c r="AT189" s="55"/>
      <c r="AU189" s="56">
        <v>44187</v>
      </c>
      <c r="AV189" s="55"/>
      <c r="AW189" s="55">
        <v>44502</v>
      </c>
      <c r="AX189" s="55"/>
      <c r="AY189" s="56">
        <v>44026</v>
      </c>
      <c r="AZ189" s="55"/>
      <c r="BA189" s="55">
        <v>44491</v>
      </c>
      <c r="BB189" s="55">
        <v>44491</v>
      </c>
      <c r="BC189" s="55"/>
      <c r="BD189" s="55"/>
      <c r="BE189" s="55"/>
      <c r="BF189" s="55"/>
      <c r="BG189" s="55">
        <v>44491</v>
      </c>
      <c r="BH189" s="55"/>
      <c r="BI189" s="55"/>
      <c r="BJ189" s="55"/>
    </row>
    <row r="190" spans="1:62" x14ac:dyDescent="0.4">
      <c r="A190" s="5">
        <f t="shared" si="3"/>
        <v>27</v>
      </c>
      <c r="B190" s="3" t="s">
        <v>185</v>
      </c>
      <c r="C190" s="55">
        <v>44464</v>
      </c>
      <c r="D190" s="55">
        <v>44491</v>
      </c>
      <c r="E190" s="55">
        <v>44464</v>
      </c>
      <c r="F190" s="55">
        <v>44491</v>
      </c>
      <c r="G190" s="55">
        <v>44490</v>
      </c>
      <c r="H190" s="55">
        <v>44490</v>
      </c>
      <c r="I190" s="55">
        <v>44490</v>
      </c>
      <c r="J190" s="55">
        <v>44490</v>
      </c>
      <c r="K190" s="55">
        <v>44491</v>
      </c>
      <c r="L190" s="55">
        <v>44490</v>
      </c>
      <c r="M190" s="55"/>
      <c r="N190" s="55"/>
      <c r="O190" s="55">
        <v>44489</v>
      </c>
      <c r="P190" s="55"/>
      <c r="Q190" s="55">
        <v>44490</v>
      </c>
      <c r="R190" s="55">
        <v>44489</v>
      </c>
      <c r="S190" s="55">
        <v>44489</v>
      </c>
      <c r="T190" s="55">
        <v>44489</v>
      </c>
      <c r="U190" s="55">
        <v>44489</v>
      </c>
      <c r="V190" s="55">
        <v>44491</v>
      </c>
      <c r="W190" s="55"/>
      <c r="X190" s="55"/>
      <c r="Y190" s="55"/>
      <c r="Z190" s="55">
        <v>44489</v>
      </c>
      <c r="AA190" s="55">
        <v>44489</v>
      </c>
      <c r="AB190" s="55">
        <v>44489</v>
      </c>
      <c r="AC190" s="55"/>
      <c r="AD190" s="55">
        <v>44489</v>
      </c>
      <c r="AE190" s="55"/>
      <c r="AF190" s="55"/>
      <c r="AG190" s="55"/>
      <c r="AH190" s="55"/>
      <c r="AI190" s="55">
        <v>44489</v>
      </c>
      <c r="AJ190" s="55">
        <v>44489</v>
      </c>
      <c r="AK190" s="55"/>
      <c r="AL190" s="55"/>
      <c r="AM190" s="55"/>
      <c r="AN190" s="55"/>
      <c r="AO190" s="55"/>
      <c r="AP190" s="55"/>
      <c r="AQ190" s="55"/>
      <c r="AR190" s="55">
        <v>44464</v>
      </c>
      <c r="AS190" s="55"/>
      <c r="AT190" s="55"/>
      <c r="AU190" s="55">
        <v>44489</v>
      </c>
      <c r="AV190" s="55"/>
      <c r="AW190" s="55">
        <v>44464</v>
      </c>
      <c r="AX190" s="55"/>
      <c r="AY190" s="55"/>
      <c r="AZ190" s="55"/>
      <c r="BA190" s="55"/>
      <c r="BB190" s="55"/>
      <c r="BC190" s="55"/>
      <c r="BD190" s="55"/>
      <c r="BE190" s="55"/>
      <c r="BF190" s="55"/>
      <c r="BG190" s="55">
        <v>44464</v>
      </c>
      <c r="BH190" s="55"/>
      <c r="BI190" s="55"/>
      <c r="BJ190" s="55"/>
    </row>
    <row r="191" spans="1:62" x14ac:dyDescent="0.4">
      <c r="A191" s="5">
        <f t="shared" si="3"/>
        <v>26</v>
      </c>
      <c r="B191" s="3" t="s">
        <v>186</v>
      </c>
      <c r="C191" s="55">
        <v>44406</v>
      </c>
      <c r="D191" s="55">
        <v>44390</v>
      </c>
      <c r="E191" s="55">
        <v>44340</v>
      </c>
      <c r="F191" s="55"/>
      <c r="G191" s="55"/>
      <c r="H191" s="55"/>
      <c r="I191" s="55">
        <v>44313</v>
      </c>
      <c r="J191" s="55">
        <v>44487</v>
      </c>
      <c r="K191" s="55">
        <v>44487</v>
      </c>
      <c r="L191" s="55">
        <v>44314</v>
      </c>
      <c r="M191" s="55">
        <v>44498</v>
      </c>
      <c r="N191" s="55">
        <v>44187</v>
      </c>
      <c r="O191" s="55"/>
      <c r="P191" s="55"/>
      <c r="Q191" s="55">
        <v>44406</v>
      </c>
      <c r="R191" s="55">
        <v>44391</v>
      </c>
      <c r="S191" s="55">
        <v>44391</v>
      </c>
      <c r="T191" s="55">
        <v>44494</v>
      </c>
      <c r="U191" s="55">
        <v>44390</v>
      </c>
      <c r="V191" s="55"/>
      <c r="W191" s="55"/>
      <c r="X191" s="55"/>
      <c r="Y191" s="55"/>
      <c r="Z191" s="55">
        <v>44494</v>
      </c>
      <c r="AA191" s="55"/>
      <c r="AB191" s="55">
        <v>44187</v>
      </c>
      <c r="AC191" s="55">
        <v>44497</v>
      </c>
      <c r="AD191" s="55">
        <v>44497</v>
      </c>
      <c r="AE191" s="55">
        <v>44494</v>
      </c>
      <c r="AF191" s="55"/>
      <c r="AG191" s="55"/>
      <c r="AH191" s="55">
        <v>44497</v>
      </c>
      <c r="AI191" s="55">
        <v>44390</v>
      </c>
      <c r="AJ191" s="55">
        <v>44390</v>
      </c>
      <c r="AK191" s="55"/>
      <c r="AL191" s="55"/>
      <c r="AM191" s="55"/>
      <c r="AN191" s="55"/>
      <c r="AO191" s="55"/>
      <c r="AP191" s="55"/>
      <c r="AQ191" s="55"/>
      <c r="AR191" s="55"/>
      <c r="AS191" s="55"/>
      <c r="AT191" s="55"/>
      <c r="AU191" s="55">
        <v>44340</v>
      </c>
      <c r="AV191" s="55"/>
      <c r="AW191" s="55">
        <v>44494</v>
      </c>
      <c r="AX191" s="55"/>
      <c r="AY191" s="55"/>
      <c r="AZ191" s="55"/>
      <c r="BA191" s="55"/>
      <c r="BB191" s="55">
        <v>44336</v>
      </c>
      <c r="BC191" s="55"/>
      <c r="BD191" s="55"/>
      <c r="BE191" s="55"/>
      <c r="BF191" s="55"/>
      <c r="BG191" s="55">
        <v>44336</v>
      </c>
      <c r="BH191" s="55"/>
      <c r="BI191" s="55"/>
      <c r="BJ191" s="55"/>
    </row>
    <row r="192" spans="1:62" x14ac:dyDescent="0.4">
      <c r="A192" s="5">
        <f t="shared" si="3"/>
        <v>39</v>
      </c>
      <c r="B192" s="3" t="s">
        <v>187</v>
      </c>
      <c r="C192" s="55">
        <v>44462</v>
      </c>
      <c r="D192" s="55">
        <v>44186</v>
      </c>
      <c r="E192" s="55">
        <v>44462</v>
      </c>
      <c r="F192" s="55">
        <v>44453</v>
      </c>
      <c r="G192" s="55">
        <v>44453</v>
      </c>
      <c r="H192" s="55">
        <v>44186</v>
      </c>
      <c r="I192" s="55">
        <v>44462</v>
      </c>
      <c r="J192" s="55">
        <v>44453</v>
      </c>
      <c r="K192" s="55">
        <v>44453</v>
      </c>
      <c r="L192" s="55">
        <v>44462</v>
      </c>
      <c r="M192" s="55">
        <v>44453</v>
      </c>
      <c r="N192" s="55">
        <v>44187</v>
      </c>
      <c r="O192" s="55">
        <v>44186</v>
      </c>
      <c r="P192" s="55">
        <v>44186</v>
      </c>
      <c r="Q192" s="55">
        <v>44186</v>
      </c>
      <c r="R192" s="55">
        <v>44186</v>
      </c>
      <c r="S192" s="55">
        <v>44186</v>
      </c>
      <c r="T192" s="55">
        <v>44186</v>
      </c>
      <c r="U192" s="55">
        <v>44186</v>
      </c>
      <c r="V192" s="55">
        <v>44186</v>
      </c>
      <c r="W192" s="55"/>
      <c r="X192" s="55"/>
      <c r="Y192" s="55"/>
      <c r="Z192" s="55">
        <v>44186</v>
      </c>
      <c r="AA192" s="55"/>
      <c r="AB192" s="55">
        <v>44186</v>
      </c>
      <c r="AC192" s="55">
        <v>44186</v>
      </c>
      <c r="AD192" s="55">
        <v>44186</v>
      </c>
      <c r="AE192" s="55">
        <v>44187</v>
      </c>
      <c r="AF192" s="55"/>
      <c r="AG192" s="55"/>
      <c r="AH192" s="55">
        <v>44462</v>
      </c>
      <c r="AI192" s="55">
        <v>44186</v>
      </c>
      <c r="AJ192" s="55">
        <v>44186</v>
      </c>
      <c r="AK192" s="55">
        <v>44468</v>
      </c>
      <c r="AL192" s="55"/>
      <c r="AM192" s="55">
        <v>44462</v>
      </c>
      <c r="AN192" s="55"/>
      <c r="AO192" s="55"/>
      <c r="AP192" s="55"/>
      <c r="AQ192" s="55"/>
      <c r="AR192" s="55">
        <v>44462</v>
      </c>
      <c r="AS192" s="55"/>
      <c r="AT192" s="55"/>
      <c r="AU192" s="55">
        <v>44462</v>
      </c>
      <c r="AV192" s="55">
        <v>44186</v>
      </c>
      <c r="AW192" s="55">
        <v>44186</v>
      </c>
      <c r="AX192" s="55"/>
      <c r="AY192" s="55"/>
      <c r="AZ192" s="55"/>
      <c r="BA192" s="55">
        <v>44468</v>
      </c>
      <c r="BB192" s="55">
        <v>44462</v>
      </c>
      <c r="BC192" s="55"/>
      <c r="BD192" s="55"/>
      <c r="BE192" s="55"/>
      <c r="BF192" s="55"/>
      <c r="BG192" s="55">
        <v>44462</v>
      </c>
      <c r="BH192" s="55">
        <v>44488</v>
      </c>
      <c r="BI192" s="55"/>
      <c r="BJ192" s="55">
        <v>44488</v>
      </c>
    </row>
    <row r="193" spans="1:62" x14ac:dyDescent="0.4">
      <c r="A193" s="5">
        <f t="shared" si="3"/>
        <v>17</v>
      </c>
      <c r="B193" s="3" t="s">
        <v>188</v>
      </c>
      <c r="C193" s="55">
        <v>44341</v>
      </c>
      <c r="D193" s="55">
        <v>44497</v>
      </c>
      <c r="E193" s="55">
        <v>44497</v>
      </c>
      <c r="F193" s="55"/>
      <c r="G193" s="55">
        <v>44433</v>
      </c>
      <c r="H193" s="55"/>
      <c r="I193" s="55">
        <v>44369</v>
      </c>
      <c r="J193" s="55"/>
      <c r="K193" s="55">
        <v>44343</v>
      </c>
      <c r="L193" s="55"/>
      <c r="M193" s="55">
        <v>44489</v>
      </c>
      <c r="N193" s="55"/>
      <c r="O193" s="55"/>
      <c r="P193" s="55">
        <v>44497</v>
      </c>
      <c r="Q193" s="55"/>
      <c r="R193" s="55"/>
      <c r="S193" s="55"/>
      <c r="T193" s="55">
        <v>44489</v>
      </c>
      <c r="U193" s="55">
        <v>44337</v>
      </c>
      <c r="V193" s="55">
        <v>44390</v>
      </c>
      <c r="W193" s="55"/>
      <c r="X193" s="55"/>
      <c r="Y193" s="55"/>
      <c r="Z193" s="55"/>
      <c r="AA193" s="55">
        <v>44497</v>
      </c>
      <c r="AB193" s="55">
        <v>44497</v>
      </c>
      <c r="AC193" s="55"/>
      <c r="AD193" s="55"/>
      <c r="AE193" s="55"/>
      <c r="AF193" s="55"/>
      <c r="AG193" s="55"/>
      <c r="AH193" s="55">
        <v>44341</v>
      </c>
      <c r="AI193" s="55">
        <v>44390</v>
      </c>
      <c r="AJ193" s="55">
        <v>44390</v>
      </c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5"/>
      <c r="AX193" s="55"/>
      <c r="AY193" s="55"/>
      <c r="AZ193" s="55"/>
      <c r="BA193" s="55"/>
      <c r="BB193" s="55">
        <v>44497</v>
      </c>
      <c r="BC193" s="55"/>
      <c r="BD193" s="55"/>
      <c r="BE193" s="55"/>
      <c r="BF193" s="55"/>
      <c r="BG193" s="55"/>
      <c r="BH193" s="55"/>
      <c r="BI193" s="55"/>
      <c r="BJ193" s="55"/>
    </row>
    <row r="194" spans="1:62" x14ac:dyDescent="0.4">
      <c r="A194" s="5">
        <f t="shared" si="3"/>
        <v>34</v>
      </c>
      <c r="B194" s="3" t="s">
        <v>189</v>
      </c>
      <c r="C194" s="55">
        <v>44322</v>
      </c>
      <c r="D194" s="55">
        <v>44466</v>
      </c>
      <c r="E194" s="55">
        <v>44446</v>
      </c>
      <c r="F194" s="55">
        <v>44431</v>
      </c>
      <c r="G194" s="55">
        <v>44449</v>
      </c>
      <c r="H194" s="55">
        <v>44186</v>
      </c>
      <c r="I194" s="55">
        <v>44504</v>
      </c>
      <c r="J194" s="55">
        <v>44449</v>
      </c>
      <c r="K194" s="56">
        <v>44235</v>
      </c>
      <c r="L194" s="55">
        <v>44449</v>
      </c>
      <c r="M194" s="55">
        <v>44449</v>
      </c>
      <c r="N194" s="55">
        <v>44187</v>
      </c>
      <c r="O194" s="55">
        <v>44432</v>
      </c>
      <c r="P194" s="55">
        <v>44243</v>
      </c>
      <c r="Q194" s="55">
        <v>44314</v>
      </c>
      <c r="R194" s="55"/>
      <c r="S194" s="55"/>
      <c r="T194" s="55">
        <v>44187</v>
      </c>
      <c r="U194" s="55">
        <v>44327</v>
      </c>
      <c r="V194" s="55">
        <v>44235</v>
      </c>
      <c r="W194" s="55"/>
      <c r="X194" s="55"/>
      <c r="Y194" s="55"/>
      <c r="Z194" s="55">
        <v>44235</v>
      </c>
      <c r="AA194" s="55"/>
      <c r="AB194" s="55">
        <v>44232</v>
      </c>
      <c r="AC194" s="55">
        <v>44187</v>
      </c>
      <c r="AD194" s="55"/>
      <c r="AE194" s="55">
        <v>44243</v>
      </c>
      <c r="AF194" s="55"/>
      <c r="AG194" s="55"/>
      <c r="AH194" s="56">
        <v>44186</v>
      </c>
      <c r="AI194" s="55">
        <v>44449</v>
      </c>
      <c r="AJ194" s="55">
        <v>44503</v>
      </c>
      <c r="AK194" s="55"/>
      <c r="AL194" s="55"/>
      <c r="AM194" s="55"/>
      <c r="AN194" s="55"/>
      <c r="AO194" s="55"/>
      <c r="AP194" s="55">
        <v>44463</v>
      </c>
      <c r="AQ194" s="55">
        <v>44299</v>
      </c>
      <c r="AR194" s="56">
        <v>44306</v>
      </c>
      <c r="AS194" s="55"/>
      <c r="AT194" s="55"/>
      <c r="AU194" s="55">
        <v>44322</v>
      </c>
      <c r="AV194" s="55"/>
      <c r="AW194" s="55">
        <v>44249</v>
      </c>
      <c r="AX194" s="55">
        <v>44232</v>
      </c>
      <c r="AY194" s="55">
        <v>44449</v>
      </c>
      <c r="AZ194" s="55"/>
      <c r="BA194" s="55"/>
      <c r="BB194" s="55">
        <v>44432</v>
      </c>
      <c r="BC194" s="55"/>
      <c r="BD194" s="55"/>
      <c r="BE194" s="55"/>
      <c r="BF194" s="55"/>
      <c r="BG194" s="55"/>
      <c r="BH194" s="55">
        <v>44187</v>
      </c>
      <c r="BI194" s="55"/>
      <c r="BJ194" s="55"/>
    </row>
    <row r="195" spans="1:62" x14ac:dyDescent="0.4">
      <c r="A195" s="5">
        <f t="shared" si="3"/>
        <v>36</v>
      </c>
      <c r="B195" s="3" t="s">
        <v>190</v>
      </c>
      <c r="C195" s="55">
        <v>44426</v>
      </c>
      <c r="D195" s="55">
        <v>44431</v>
      </c>
      <c r="E195" s="55">
        <v>44431</v>
      </c>
      <c r="F195" s="55">
        <v>44431</v>
      </c>
      <c r="G195" s="55">
        <v>44431</v>
      </c>
      <c r="H195" s="55">
        <v>44431</v>
      </c>
      <c r="I195" s="55">
        <v>44431</v>
      </c>
      <c r="J195" s="55">
        <v>44431</v>
      </c>
      <c r="K195" s="55">
        <v>44420</v>
      </c>
      <c r="L195" s="55">
        <v>44431</v>
      </c>
      <c r="M195" s="55">
        <v>44431</v>
      </c>
      <c r="N195" s="55">
        <v>44426</v>
      </c>
      <c r="O195" s="55"/>
      <c r="P195" s="55">
        <v>44334</v>
      </c>
      <c r="Q195" s="55">
        <v>44431</v>
      </c>
      <c r="R195" s="55"/>
      <c r="S195" s="55">
        <v>44431</v>
      </c>
      <c r="T195" s="55">
        <v>44431</v>
      </c>
      <c r="U195" s="55">
        <v>44431</v>
      </c>
      <c r="V195" s="55">
        <v>44431</v>
      </c>
      <c r="W195" s="55"/>
      <c r="X195" s="55"/>
      <c r="Y195" s="55"/>
      <c r="Z195" s="55">
        <v>44426</v>
      </c>
      <c r="AA195" s="55">
        <v>44420</v>
      </c>
      <c r="AB195" s="55">
        <v>44420</v>
      </c>
      <c r="AC195" s="55">
        <v>44431</v>
      </c>
      <c r="AD195" s="55">
        <v>44431</v>
      </c>
      <c r="AE195" s="55">
        <v>44431</v>
      </c>
      <c r="AF195" s="55"/>
      <c r="AG195" s="55"/>
      <c r="AH195" s="55">
        <v>44426</v>
      </c>
      <c r="AI195" s="55">
        <v>44420</v>
      </c>
      <c r="AJ195" s="55">
        <v>44420</v>
      </c>
      <c r="AK195" s="55"/>
      <c r="AL195" s="55"/>
      <c r="AM195" s="55">
        <v>44431</v>
      </c>
      <c r="AN195" s="55"/>
      <c r="AO195" s="55"/>
      <c r="AP195" s="55">
        <v>44426</v>
      </c>
      <c r="AQ195" s="55"/>
      <c r="AR195" s="56">
        <v>44266</v>
      </c>
      <c r="AS195" s="55">
        <v>44431</v>
      </c>
      <c r="AT195" s="55"/>
      <c r="AU195" s="55">
        <v>44426</v>
      </c>
      <c r="AV195" s="55"/>
      <c r="AW195" s="55">
        <v>44426</v>
      </c>
      <c r="AX195" s="55"/>
      <c r="AY195" s="55"/>
      <c r="AZ195" s="55"/>
      <c r="BA195" s="55"/>
      <c r="BB195" s="55">
        <v>44431</v>
      </c>
      <c r="BC195" s="55">
        <v>44426</v>
      </c>
      <c r="BD195" s="55"/>
      <c r="BE195" s="55"/>
      <c r="BF195" s="55"/>
      <c r="BG195" s="55">
        <v>44426</v>
      </c>
      <c r="BH195" s="55"/>
      <c r="BI195" s="55"/>
      <c r="BJ195" s="55"/>
    </row>
    <row r="196" spans="1:62" x14ac:dyDescent="0.4">
      <c r="A196" s="5">
        <f t="shared" si="3"/>
        <v>32</v>
      </c>
      <c r="B196" s="3" t="s">
        <v>191</v>
      </c>
      <c r="C196" s="55">
        <v>44425</v>
      </c>
      <c r="D196" s="55">
        <v>44160</v>
      </c>
      <c r="E196" s="55">
        <v>44425</v>
      </c>
      <c r="F196" s="55">
        <v>44491</v>
      </c>
      <c r="G196" s="55">
        <v>44503</v>
      </c>
      <c r="H196" s="55">
        <v>44158</v>
      </c>
      <c r="I196" s="55">
        <v>44330</v>
      </c>
      <c r="J196" s="55">
        <v>44504</v>
      </c>
      <c r="K196" s="55"/>
      <c r="L196" s="55">
        <v>44504</v>
      </c>
      <c r="M196" s="55">
        <v>44491</v>
      </c>
      <c r="N196" s="55">
        <v>44160</v>
      </c>
      <c r="O196" s="55"/>
      <c r="P196" s="55">
        <v>44158</v>
      </c>
      <c r="Q196" s="55">
        <v>44160</v>
      </c>
      <c r="R196" s="55"/>
      <c r="S196" s="55">
        <v>44504</v>
      </c>
      <c r="T196" s="55">
        <v>44158</v>
      </c>
      <c r="U196" s="55">
        <v>44162</v>
      </c>
      <c r="V196" s="55">
        <v>44158</v>
      </c>
      <c r="W196" s="55"/>
      <c r="X196" s="55"/>
      <c r="Y196" s="55"/>
      <c r="Z196" s="55">
        <v>44160</v>
      </c>
      <c r="AA196" s="55"/>
      <c r="AB196" s="55">
        <v>44503</v>
      </c>
      <c r="AC196" s="55">
        <v>44503</v>
      </c>
      <c r="AD196" s="55">
        <v>44155</v>
      </c>
      <c r="AE196" s="55">
        <v>44504</v>
      </c>
      <c r="AF196" s="55"/>
      <c r="AG196" s="55">
        <v>44425</v>
      </c>
      <c r="AH196" s="55">
        <v>44425</v>
      </c>
      <c r="AI196" s="55">
        <v>44160</v>
      </c>
      <c r="AJ196" s="55">
        <v>44160</v>
      </c>
      <c r="AK196" s="55"/>
      <c r="AL196" s="55"/>
      <c r="AM196" s="55">
        <v>44425</v>
      </c>
      <c r="AN196" s="55">
        <v>44425</v>
      </c>
      <c r="AO196" s="55"/>
      <c r="AP196" s="55"/>
      <c r="AQ196" s="55"/>
      <c r="AR196" s="55"/>
      <c r="AS196" s="55"/>
      <c r="AT196" s="55"/>
      <c r="AU196" s="55">
        <v>44425</v>
      </c>
      <c r="AV196" s="55"/>
      <c r="AW196" s="55">
        <v>44161</v>
      </c>
      <c r="AX196" s="55"/>
      <c r="AY196" s="55"/>
      <c r="AZ196" s="55"/>
      <c r="BA196" s="55">
        <v>44425</v>
      </c>
      <c r="BB196" s="55"/>
      <c r="BC196" s="55"/>
      <c r="BD196" s="55"/>
      <c r="BE196" s="55"/>
      <c r="BF196" s="55"/>
      <c r="BG196" s="55">
        <v>44425</v>
      </c>
      <c r="BH196" s="55"/>
      <c r="BI196" s="55"/>
      <c r="BJ196" s="55"/>
    </row>
    <row r="197" spans="1:62" x14ac:dyDescent="0.4">
      <c r="A197" s="5">
        <f t="shared" si="3"/>
        <v>31</v>
      </c>
      <c r="B197" s="3" t="s">
        <v>192</v>
      </c>
      <c r="C197" s="55">
        <v>44435</v>
      </c>
      <c r="D197" s="55">
        <v>44418</v>
      </c>
      <c r="E197" s="55">
        <v>44435</v>
      </c>
      <c r="F197" s="55">
        <v>44432</v>
      </c>
      <c r="G197" s="55">
        <v>44446</v>
      </c>
      <c r="H197" s="55">
        <v>44435</v>
      </c>
      <c r="I197" s="55">
        <v>44447</v>
      </c>
      <c r="J197" s="55">
        <v>44448</v>
      </c>
      <c r="K197" s="55"/>
      <c r="L197" s="55">
        <v>44448</v>
      </c>
      <c r="M197" s="55">
        <v>44432</v>
      </c>
      <c r="N197" s="55"/>
      <c r="O197" s="55"/>
      <c r="P197" s="55">
        <v>44445</v>
      </c>
      <c r="Q197" s="55">
        <v>44448</v>
      </c>
      <c r="R197" s="55">
        <v>44432</v>
      </c>
      <c r="S197" s="55">
        <v>44432</v>
      </c>
      <c r="T197" s="55">
        <v>44435</v>
      </c>
      <c r="U197" s="55">
        <v>44448</v>
      </c>
      <c r="V197" s="55">
        <v>44435</v>
      </c>
      <c r="W197" s="55"/>
      <c r="X197" s="55"/>
      <c r="Y197" s="55"/>
      <c r="Z197" s="55"/>
      <c r="AA197" s="55">
        <v>44435</v>
      </c>
      <c r="AB197" s="55">
        <v>44435</v>
      </c>
      <c r="AC197" s="55">
        <v>44435</v>
      </c>
      <c r="AD197" s="55"/>
      <c r="AE197" s="55">
        <v>44435</v>
      </c>
      <c r="AF197" s="55">
        <v>44446</v>
      </c>
      <c r="AG197" s="55"/>
      <c r="AH197" s="55">
        <v>44435</v>
      </c>
      <c r="AI197" s="55">
        <v>44448</v>
      </c>
      <c r="AJ197" s="55">
        <v>44448</v>
      </c>
      <c r="AK197" s="55"/>
      <c r="AL197" s="55"/>
      <c r="AM197" s="55"/>
      <c r="AN197" s="55"/>
      <c r="AO197" s="55"/>
      <c r="AP197" s="55"/>
      <c r="AQ197" s="55"/>
      <c r="AR197" s="55"/>
      <c r="AS197" s="55">
        <v>44446</v>
      </c>
      <c r="AT197" s="55"/>
      <c r="AU197" s="55">
        <v>44446</v>
      </c>
      <c r="AV197" s="55"/>
      <c r="AW197" s="55">
        <v>44446</v>
      </c>
      <c r="AX197" s="55"/>
      <c r="AY197" s="55"/>
      <c r="AZ197" s="55"/>
      <c r="BA197" s="55"/>
      <c r="BB197" s="55">
        <v>44448</v>
      </c>
      <c r="BC197" s="55"/>
      <c r="BD197" s="55">
        <v>44446</v>
      </c>
      <c r="BE197" s="55">
        <v>44446</v>
      </c>
      <c r="BF197" s="55"/>
      <c r="BG197" s="55"/>
      <c r="BH197" s="55"/>
      <c r="BI197" s="55"/>
      <c r="BJ197" s="55"/>
    </row>
    <row r="198" spans="1:62" x14ac:dyDescent="0.4">
      <c r="A198" s="5">
        <f t="shared" ref="A198:A252" si="4">COUNT(C198:BJ198)</f>
        <v>39</v>
      </c>
      <c r="B198" s="3" t="s">
        <v>193</v>
      </c>
      <c r="C198" s="55">
        <v>44391</v>
      </c>
      <c r="D198" s="55">
        <v>44464</v>
      </c>
      <c r="E198" s="55">
        <v>44382</v>
      </c>
      <c r="F198" s="55">
        <v>44464</v>
      </c>
      <c r="G198" s="55">
        <v>44452</v>
      </c>
      <c r="H198" s="55">
        <v>44464</v>
      </c>
      <c r="I198" s="55">
        <v>44355</v>
      </c>
      <c r="J198" s="55">
        <v>44464</v>
      </c>
      <c r="K198" s="55">
        <v>44341</v>
      </c>
      <c r="L198" s="55">
        <v>44355</v>
      </c>
      <c r="M198" s="55">
        <v>44452</v>
      </c>
      <c r="N198" s="55">
        <v>44464</v>
      </c>
      <c r="O198" s="55"/>
      <c r="P198" s="55">
        <v>44464</v>
      </c>
      <c r="Q198" s="55">
        <v>44400</v>
      </c>
      <c r="R198" s="55">
        <v>44391</v>
      </c>
      <c r="S198" s="55">
        <v>44464</v>
      </c>
      <c r="T198" s="55">
        <v>44464</v>
      </c>
      <c r="U198" s="55"/>
      <c r="V198" s="55">
        <v>44464</v>
      </c>
      <c r="W198" s="55"/>
      <c r="X198" s="55">
        <v>44464</v>
      </c>
      <c r="Y198" s="55"/>
      <c r="Z198" s="55">
        <v>44464</v>
      </c>
      <c r="AA198" s="55">
        <v>44464</v>
      </c>
      <c r="AB198" s="55">
        <v>44391</v>
      </c>
      <c r="AC198" s="55">
        <v>44464</v>
      </c>
      <c r="AD198" s="55">
        <v>44400</v>
      </c>
      <c r="AE198" s="55">
        <v>44477</v>
      </c>
      <c r="AF198" s="55">
        <v>44391</v>
      </c>
      <c r="AG198" s="55"/>
      <c r="AH198" s="55">
        <v>44357</v>
      </c>
      <c r="AI198" s="55">
        <v>44396</v>
      </c>
      <c r="AJ198" s="55">
        <v>44396</v>
      </c>
      <c r="AK198" s="55"/>
      <c r="AL198" s="55"/>
      <c r="AM198" s="55"/>
      <c r="AN198" s="55">
        <v>44393</v>
      </c>
      <c r="AO198" s="55"/>
      <c r="AP198" s="55">
        <v>44391</v>
      </c>
      <c r="AQ198" s="55">
        <v>44391</v>
      </c>
      <c r="AR198" s="55"/>
      <c r="AS198" s="55">
        <v>44391</v>
      </c>
      <c r="AT198" s="55"/>
      <c r="AU198" s="55">
        <v>44356</v>
      </c>
      <c r="AV198" s="55"/>
      <c r="AW198" s="55">
        <v>44362</v>
      </c>
      <c r="AX198" s="55">
        <v>44464</v>
      </c>
      <c r="AY198" s="55"/>
      <c r="AZ198" s="55"/>
      <c r="BA198" s="55">
        <v>44393</v>
      </c>
      <c r="BB198" s="55">
        <v>44356</v>
      </c>
      <c r="BC198" s="55"/>
      <c r="BD198" s="55"/>
      <c r="BE198" s="55"/>
      <c r="BF198" s="55"/>
      <c r="BG198" s="55">
        <v>44391</v>
      </c>
      <c r="BH198" s="55"/>
      <c r="BI198" s="55"/>
      <c r="BJ198" s="55"/>
    </row>
    <row r="199" spans="1:62" x14ac:dyDescent="0.4">
      <c r="A199" s="5">
        <f t="shared" si="4"/>
        <v>38</v>
      </c>
      <c r="B199" s="3" t="s">
        <v>194</v>
      </c>
      <c r="C199" s="55">
        <v>44467</v>
      </c>
      <c r="D199" s="55">
        <v>44259</v>
      </c>
      <c r="E199" s="55">
        <v>44455</v>
      </c>
      <c r="F199" s="56">
        <v>44403</v>
      </c>
      <c r="G199" s="56">
        <v>44398</v>
      </c>
      <c r="H199" s="55">
        <v>44466</v>
      </c>
      <c r="I199" s="55">
        <v>44404</v>
      </c>
      <c r="J199" s="55">
        <v>44462</v>
      </c>
      <c r="K199" s="55">
        <v>44462</v>
      </c>
      <c r="L199" s="55">
        <v>44463</v>
      </c>
      <c r="M199" s="56">
        <v>44398</v>
      </c>
      <c r="N199" s="55">
        <v>44463</v>
      </c>
      <c r="O199" s="55">
        <v>44454</v>
      </c>
      <c r="P199" s="55">
        <v>44463</v>
      </c>
      <c r="Q199" s="55">
        <v>44455</v>
      </c>
      <c r="R199" s="55">
        <v>44463</v>
      </c>
      <c r="S199" s="55">
        <v>44462</v>
      </c>
      <c r="T199" s="55">
        <v>44467</v>
      </c>
      <c r="U199" s="56">
        <v>44102</v>
      </c>
      <c r="V199" s="55">
        <v>44463</v>
      </c>
      <c r="W199" s="55"/>
      <c r="X199" s="55"/>
      <c r="Y199" s="55">
        <v>44455</v>
      </c>
      <c r="Z199" s="55">
        <v>44466</v>
      </c>
      <c r="AA199" s="55">
        <v>44463</v>
      </c>
      <c r="AB199" s="55">
        <v>44414</v>
      </c>
      <c r="AC199" s="55">
        <v>44463</v>
      </c>
      <c r="AD199" s="55">
        <v>44466</v>
      </c>
      <c r="AE199" s="56">
        <v>44102</v>
      </c>
      <c r="AF199" s="55"/>
      <c r="AG199" s="55">
        <v>44455</v>
      </c>
      <c r="AH199" s="55">
        <v>44463</v>
      </c>
      <c r="AI199" s="55">
        <v>44454</v>
      </c>
      <c r="AJ199" s="55">
        <v>44467</v>
      </c>
      <c r="AK199" s="55"/>
      <c r="AL199" s="55"/>
      <c r="AM199" s="55"/>
      <c r="AN199" s="55">
        <v>44462</v>
      </c>
      <c r="AO199" s="55"/>
      <c r="AP199" s="55"/>
      <c r="AQ199" s="55"/>
      <c r="AR199" s="55">
        <v>44455</v>
      </c>
      <c r="AS199" s="55"/>
      <c r="AT199" s="55"/>
      <c r="AU199" s="55">
        <v>44463</v>
      </c>
      <c r="AV199" s="56">
        <v>44102</v>
      </c>
      <c r="AW199" s="55">
        <v>44454</v>
      </c>
      <c r="AX199" s="55"/>
      <c r="AY199" s="55"/>
      <c r="AZ199" s="55"/>
      <c r="BA199" s="55">
        <v>44455</v>
      </c>
      <c r="BB199" s="55">
        <v>44455</v>
      </c>
      <c r="BC199" s="55"/>
      <c r="BD199" s="55"/>
      <c r="BE199" s="55"/>
      <c r="BF199" s="55"/>
      <c r="BG199" s="55"/>
      <c r="BH199" s="55"/>
      <c r="BI199" s="55"/>
      <c r="BJ199" s="55"/>
    </row>
    <row r="200" spans="1:62" x14ac:dyDescent="0.4">
      <c r="A200" s="5">
        <f t="shared" si="4"/>
        <v>36</v>
      </c>
      <c r="B200" s="3" t="s">
        <v>195</v>
      </c>
      <c r="C200" s="55">
        <v>44489</v>
      </c>
      <c r="D200" s="55">
        <v>44186</v>
      </c>
      <c r="E200" s="55">
        <v>44364</v>
      </c>
      <c r="F200" s="55">
        <v>44448</v>
      </c>
      <c r="G200" s="55">
        <v>44482</v>
      </c>
      <c r="H200" s="55">
        <v>44264</v>
      </c>
      <c r="I200" s="55">
        <v>44307</v>
      </c>
      <c r="J200" s="55">
        <v>44449</v>
      </c>
      <c r="K200" s="55">
        <v>44364</v>
      </c>
      <c r="L200" s="55">
        <v>44186</v>
      </c>
      <c r="M200" s="55">
        <v>44449</v>
      </c>
      <c r="N200" s="55">
        <v>44273</v>
      </c>
      <c r="O200" s="55"/>
      <c r="P200" s="55">
        <v>44270</v>
      </c>
      <c r="Q200" s="55">
        <v>44264</v>
      </c>
      <c r="R200" s="55">
        <v>44383</v>
      </c>
      <c r="S200" s="55">
        <v>44186</v>
      </c>
      <c r="T200" s="55">
        <v>44364</v>
      </c>
      <c r="U200" s="55">
        <v>44186</v>
      </c>
      <c r="V200" s="55">
        <v>44264</v>
      </c>
      <c r="W200" s="55"/>
      <c r="X200" s="55"/>
      <c r="Y200" s="55"/>
      <c r="Z200" s="55"/>
      <c r="AA200" s="55">
        <v>44154</v>
      </c>
      <c r="AB200" s="55">
        <v>44487</v>
      </c>
      <c r="AC200" s="55">
        <v>44186</v>
      </c>
      <c r="AD200" s="55">
        <v>44371</v>
      </c>
      <c r="AE200" s="55">
        <v>44186</v>
      </c>
      <c r="AF200" s="55"/>
      <c r="AG200" s="55"/>
      <c r="AH200" s="55">
        <v>44490</v>
      </c>
      <c r="AI200" s="55">
        <v>44186</v>
      </c>
      <c r="AJ200" s="55">
        <v>44186</v>
      </c>
      <c r="AK200" s="55"/>
      <c r="AL200" s="55"/>
      <c r="AM200" s="55"/>
      <c r="AN200" s="55"/>
      <c r="AO200" s="55"/>
      <c r="AP200" s="55">
        <v>44489</v>
      </c>
      <c r="AQ200" s="55">
        <v>44489</v>
      </c>
      <c r="AR200" s="55">
        <v>44491</v>
      </c>
      <c r="AS200" s="55"/>
      <c r="AT200" s="55"/>
      <c r="AU200" s="55">
        <v>44449</v>
      </c>
      <c r="AV200" s="55">
        <v>44489</v>
      </c>
      <c r="AW200" s="55">
        <v>44489</v>
      </c>
      <c r="AX200" s="55">
        <v>44488</v>
      </c>
      <c r="AY200" s="55"/>
      <c r="AZ200" s="55"/>
      <c r="BA200" s="55"/>
      <c r="BB200" s="55">
        <v>44382</v>
      </c>
      <c r="BC200" s="55"/>
      <c r="BD200" s="55"/>
      <c r="BE200" s="55"/>
      <c r="BF200" s="55"/>
      <c r="BG200" s="55">
        <v>44489</v>
      </c>
      <c r="BH200" s="55"/>
      <c r="BI200" s="55"/>
      <c r="BJ200" s="55"/>
    </row>
    <row r="201" spans="1:62" x14ac:dyDescent="0.4">
      <c r="A201" s="5">
        <f t="shared" si="4"/>
        <v>34</v>
      </c>
      <c r="B201" s="3" t="s">
        <v>196</v>
      </c>
      <c r="C201" s="55">
        <v>44397</v>
      </c>
      <c r="D201" s="56">
        <v>44103</v>
      </c>
      <c r="E201" s="56">
        <v>44102</v>
      </c>
      <c r="F201" s="56">
        <v>43746</v>
      </c>
      <c r="G201" s="56">
        <v>43746</v>
      </c>
      <c r="H201" s="56">
        <v>43746</v>
      </c>
      <c r="I201" s="56">
        <v>44102</v>
      </c>
      <c r="J201" s="56">
        <v>43745</v>
      </c>
      <c r="K201" s="55"/>
      <c r="L201" s="56">
        <v>44102</v>
      </c>
      <c r="M201" s="55"/>
      <c r="N201" s="56">
        <v>44102</v>
      </c>
      <c r="O201" s="55"/>
      <c r="P201" s="56">
        <v>44103</v>
      </c>
      <c r="Q201" s="56">
        <v>44102</v>
      </c>
      <c r="R201" s="56">
        <v>44102</v>
      </c>
      <c r="S201" s="56">
        <v>44102</v>
      </c>
      <c r="T201" s="56">
        <v>44102</v>
      </c>
      <c r="U201" s="56">
        <v>44103</v>
      </c>
      <c r="V201" s="55"/>
      <c r="W201" s="55"/>
      <c r="X201" s="55"/>
      <c r="Y201" s="55"/>
      <c r="Z201" s="56">
        <v>44102</v>
      </c>
      <c r="AA201" s="55">
        <v>44487</v>
      </c>
      <c r="AB201" s="55">
        <v>44483</v>
      </c>
      <c r="AC201" s="56">
        <v>44102</v>
      </c>
      <c r="AD201" s="56">
        <v>44102</v>
      </c>
      <c r="AE201" s="56">
        <v>44102</v>
      </c>
      <c r="AF201" s="55"/>
      <c r="AG201" s="55"/>
      <c r="AH201" s="56">
        <v>44102</v>
      </c>
      <c r="AI201" s="56">
        <v>44102</v>
      </c>
      <c r="AJ201" s="56">
        <v>44102</v>
      </c>
      <c r="AK201" s="55"/>
      <c r="AL201" s="55"/>
      <c r="AM201" s="56">
        <v>44102</v>
      </c>
      <c r="AN201" s="55"/>
      <c r="AO201" s="55"/>
      <c r="AP201" s="55"/>
      <c r="AQ201" s="55"/>
      <c r="AR201" s="55"/>
      <c r="AS201" s="55"/>
      <c r="AT201" s="55"/>
      <c r="AU201" s="56">
        <v>44102</v>
      </c>
      <c r="AV201" s="55"/>
      <c r="AW201" s="56">
        <v>44102</v>
      </c>
      <c r="AX201" s="56">
        <v>44102</v>
      </c>
      <c r="AY201" s="55"/>
      <c r="AZ201" s="55"/>
      <c r="BA201" s="56">
        <v>44102</v>
      </c>
      <c r="BB201" s="56">
        <v>44102</v>
      </c>
      <c r="BC201" s="55"/>
      <c r="BD201" s="55"/>
      <c r="BE201" s="56">
        <v>43746</v>
      </c>
      <c r="BF201" s="55"/>
      <c r="BG201" s="56">
        <v>44102</v>
      </c>
      <c r="BH201" s="56">
        <v>44103</v>
      </c>
      <c r="BI201" s="55"/>
      <c r="BJ201" s="55"/>
    </row>
    <row r="202" spans="1:62" x14ac:dyDescent="0.4">
      <c r="A202" s="5">
        <f t="shared" si="4"/>
        <v>23</v>
      </c>
      <c r="B202" s="3" t="s">
        <v>197</v>
      </c>
      <c r="C202" s="55">
        <v>44353</v>
      </c>
      <c r="D202" s="55">
        <v>44162</v>
      </c>
      <c r="E202" s="55">
        <v>44353</v>
      </c>
      <c r="F202" s="55">
        <v>44426</v>
      </c>
      <c r="G202" s="55">
        <v>44463</v>
      </c>
      <c r="H202" s="55">
        <v>44162</v>
      </c>
      <c r="I202" s="55">
        <v>44366</v>
      </c>
      <c r="J202" s="55">
        <v>44426</v>
      </c>
      <c r="K202" s="55"/>
      <c r="L202" s="55">
        <v>44366</v>
      </c>
      <c r="M202" s="55"/>
      <c r="N202" s="55">
        <v>44162</v>
      </c>
      <c r="O202" s="55"/>
      <c r="P202" s="55">
        <v>44162</v>
      </c>
      <c r="Q202" s="55"/>
      <c r="R202" s="55"/>
      <c r="S202" s="55">
        <v>44245</v>
      </c>
      <c r="T202" s="55">
        <v>44161</v>
      </c>
      <c r="U202" s="55"/>
      <c r="V202" s="55">
        <v>44222</v>
      </c>
      <c r="W202" s="55"/>
      <c r="X202" s="55"/>
      <c r="Y202" s="55"/>
      <c r="Z202" s="55">
        <v>44162</v>
      </c>
      <c r="AA202" s="55"/>
      <c r="AB202" s="55">
        <v>44161</v>
      </c>
      <c r="AC202" s="55">
        <v>44162</v>
      </c>
      <c r="AD202" s="55"/>
      <c r="AE202" s="55">
        <v>44231</v>
      </c>
      <c r="AF202" s="55"/>
      <c r="AG202" s="55"/>
      <c r="AH202" s="55"/>
      <c r="AI202" s="55"/>
      <c r="AJ202" s="55">
        <v>44162</v>
      </c>
      <c r="AK202" s="55"/>
      <c r="AL202" s="55"/>
      <c r="AM202" s="55">
        <v>44353</v>
      </c>
      <c r="AN202" s="55"/>
      <c r="AO202" s="55"/>
      <c r="AP202" s="55"/>
      <c r="AQ202" s="55"/>
      <c r="AR202" s="55"/>
      <c r="AS202" s="55"/>
      <c r="AT202" s="55"/>
      <c r="AU202" s="55">
        <v>44341</v>
      </c>
      <c r="AV202" s="55"/>
      <c r="AW202" s="55"/>
      <c r="AX202" s="55"/>
      <c r="AY202" s="55"/>
      <c r="AZ202" s="55"/>
      <c r="BA202" s="55"/>
      <c r="BB202" s="55"/>
      <c r="BC202" s="55"/>
      <c r="BD202" s="55"/>
      <c r="BE202" s="55">
        <v>44353</v>
      </c>
      <c r="BF202" s="55"/>
      <c r="BG202" s="55">
        <v>44463</v>
      </c>
      <c r="BH202" s="55"/>
      <c r="BI202" s="55"/>
      <c r="BJ202" s="55"/>
    </row>
    <row r="203" spans="1:62" x14ac:dyDescent="0.4">
      <c r="A203" s="5">
        <f t="shared" si="4"/>
        <v>23</v>
      </c>
      <c r="B203" s="3" t="s">
        <v>198</v>
      </c>
      <c r="C203" s="55"/>
      <c r="D203" s="55">
        <v>44329</v>
      </c>
      <c r="E203" s="55">
        <v>44329</v>
      </c>
      <c r="F203" s="55">
        <v>44467</v>
      </c>
      <c r="G203" s="55"/>
      <c r="H203" s="55">
        <v>44251</v>
      </c>
      <c r="I203" s="55">
        <v>44497</v>
      </c>
      <c r="J203" s="55"/>
      <c r="K203" s="56">
        <v>43949</v>
      </c>
      <c r="L203" s="55">
        <v>44329</v>
      </c>
      <c r="M203" s="55"/>
      <c r="N203" s="55">
        <v>44180</v>
      </c>
      <c r="O203" s="55">
        <v>44329</v>
      </c>
      <c r="P203" s="55">
        <v>44329</v>
      </c>
      <c r="Q203" s="55"/>
      <c r="R203" s="55"/>
      <c r="S203" s="55">
        <v>44467</v>
      </c>
      <c r="T203" s="55">
        <v>44467</v>
      </c>
      <c r="U203" s="55">
        <v>44188</v>
      </c>
      <c r="V203" s="55">
        <v>44329</v>
      </c>
      <c r="W203" s="55"/>
      <c r="X203" s="55"/>
      <c r="Y203" s="55"/>
      <c r="Z203" s="55"/>
      <c r="AA203" s="55">
        <v>44497</v>
      </c>
      <c r="AB203" s="55">
        <v>44175</v>
      </c>
      <c r="AC203" s="55">
        <v>44329</v>
      </c>
      <c r="AD203" s="55">
        <v>44475</v>
      </c>
      <c r="AE203" s="55">
        <v>44497</v>
      </c>
      <c r="AF203" s="55"/>
      <c r="AG203" s="55"/>
      <c r="AH203" s="55">
        <v>44497</v>
      </c>
      <c r="AI203" s="55"/>
      <c r="AJ203" s="55">
        <v>44467</v>
      </c>
      <c r="AK203" s="55"/>
      <c r="AL203" s="55"/>
      <c r="AM203" s="55"/>
      <c r="AN203" s="55"/>
      <c r="AO203" s="55"/>
      <c r="AP203" s="55"/>
      <c r="AQ203" s="55"/>
      <c r="AR203" s="55"/>
      <c r="AS203" s="55">
        <v>44329</v>
      </c>
      <c r="AT203" s="55"/>
      <c r="AU203" s="55">
        <v>44483</v>
      </c>
      <c r="AV203" s="55"/>
      <c r="AW203" s="55"/>
      <c r="AX203" s="55"/>
      <c r="AY203" s="55"/>
      <c r="AZ203" s="55"/>
      <c r="BA203" s="55"/>
      <c r="BB203" s="55"/>
      <c r="BC203" s="55"/>
      <c r="BD203" s="55"/>
      <c r="BE203" s="55"/>
      <c r="BF203" s="55"/>
      <c r="BG203" s="55"/>
      <c r="BH203" s="55"/>
      <c r="BI203" s="55"/>
      <c r="BJ203" s="55"/>
    </row>
    <row r="204" spans="1:62" x14ac:dyDescent="0.4">
      <c r="A204" s="5">
        <f t="shared" si="4"/>
        <v>8</v>
      </c>
      <c r="B204" s="3" t="s">
        <v>200</v>
      </c>
      <c r="C204" s="55"/>
      <c r="D204" s="55"/>
      <c r="E204" s="55"/>
      <c r="F204" s="55"/>
      <c r="G204" s="55"/>
      <c r="H204" s="55"/>
      <c r="I204" s="55">
        <v>44446</v>
      </c>
      <c r="J204" s="55"/>
      <c r="K204" s="55">
        <v>44447</v>
      </c>
      <c r="L204" s="55">
        <v>44447</v>
      </c>
      <c r="M204" s="55">
        <v>44448</v>
      </c>
      <c r="N204" s="55"/>
      <c r="O204" s="55">
        <v>44161</v>
      </c>
      <c r="P204" s="55"/>
      <c r="Q204" s="55"/>
      <c r="R204" s="55"/>
      <c r="S204" s="55">
        <v>44448</v>
      </c>
      <c r="T204" s="55"/>
      <c r="U204" s="55"/>
      <c r="V204" s="55"/>
      <c r="W204" s="55"/>
      <c r="X204" s="55"/>
      <c r="Y204" s="55"/>
      <c r="Z204" s="55"/>
      <c r="AA204" s="55"/>
      <c r="AB204" s="55">
        <v>44496</v>
      </c>
      <c r="AC204" s="55"/>
      <c r="AD204" s="55"/>
      <c r="AE204" s="55"/>
      <c r="AF204" s="55"/>
      <c r="AG204" s="55"/>
      <c r="AH204" s="55"/>
      <c r="AI204" s="55"/>
      <c r="AJ204" s="55"/>
      <c r="AK204" s="55"/>
      <c r="AL204" s="55"/>
      <c r="AM204" s="55"/>
      <c r="AN204" s="55"/>
      <c r="AO204" s="55"/>
      <c r="AP204" s="55"/>
      <c r="AQ204" s="55"/>
      <c r="AR204" s="55"/>
      <c r="AS204" s="55"/>
      <c r="AT204" s="55"/>
      <c r="AU204" s="55"/>
      <c r="AV204" s="55"/>
      <c r="AW204" s="55"/>
      <c r="AX204" s="55"/>
      <c r="AY204" s="55"/>
      <c r="AZ204" s="55"/>
      <c r="BA204" s="55"/>
      <c r="BB204" s="55"/>
      <c r="BC204" s="55"/>
      <c r="BD204" s="55"/>
      <c r="BE204" s="55"/>
      <c r="BF204" s="55"/>
      <c r="BG204" s="55"/>
      <c r="BH204" s="55"/>
      <c r="BI204" s="55"/>
      <c r="BJ204" s="55">
        <v>44326</v>
      </c>
    </row>
    <row r="205" spans="1:62" x14ac:dyDescent="0.4">
      <c r="A205" s="5">
        <f t="shared" si="4"/>
        <v>43</v>
      </c>
      <c r="B205" s="3" t="s">
        <v>201</v>
      </c>
      <c r="C205" s="55">
        <v>44329</v>
      </c>
      <c r="D205" s="55">
        <v>44235</v>
      </c>
      <c r="E205" s="55">
        <v>44327</v>
      </c>
      <c r="F205" s="55">
        <v>44489</v>
      </c>
      <c r="G205" s="55">
        <v>44414</v>
      </c>
      <c r="H205" s="55">
        <v>44497</v>
      </c>
      <c r="I205" s="55">
        <v>44327</v>
      </c>
      <c r="J205" s="55">
        <v>44466</v>
      </c>
      <c r="K205" s="55">
        <v>44453</v>
      </c>
      <c r="L205" s="55">
        <v>44327</v>
      </c>
      <c r="M205" s="55">
        <v>44491</v>
      </c>
      <c r="N205" s="56">
        <v>44134</v>
      </c>
      <c r="O205" s="55">
        <v>44462</v>
      </c>
      <c r="P205" s="55">
        <v>44483</v>
      </c>
      <c r="Q205" s="55">
        <v>44474</v>
      </c>
      <c r="R205" s="56">
        <v>44133</v>
      </c>
      <c r="S205" s="55">
        <v>44236</v>
      </c>
      <c r="T205" s="55">
        <v>44453</v>
      </c>
      <c r="U205" s="55">
        <v>44196</v>
      </c>
      <c r="V205" s="55">
        <v>44454</v>
      </c>
      <c r="W205" s="55"/>
      <c r="X205" s="55"/>
      <c r="Y205" s="55">
        <v>44327</v>
      </c>
      <c r="Z205" s="56">
        <v>44133</v>
      </c>
      <c r="AA205" s="56">
        <v>44131</v>
      </c>
      <c r="AB205" s="55">
        <v>44356</v>
      </c>
      <c r="AC205" s="55">
        <v>44467</v>
      </c>
      <c r="AD205" s="55"/>
      <c r="AE205" s="55">
        <v>44357</v>
      </c>
      <c r="AF205" s="55"/>
      <c r="AG205" s="55">
        <v>44357</v>
      </c>
      <c r="AH205" s="55">
        <v>44454</v>
      </c>
      <c r="AI205" s="55">
        <v>44236</v>
      </c>
      <c r="AJ205" s="55">
        <v>44356</v>
      </c>
      <c r="AK205" s="55"/>
      <c r="AL205" s="55"/>
      <c r="AM205" s="55">
        <v>44484</v>
      </c>
      <c r="AN205" s="55">
        <v>44327</v>
      </c>
      <c r="AO205" s="55"/>
      <c r="AP205" s="55">
        <v>44488</v>
      </c>
      <c r="AQ205" s="56">
        <v>44132</v>
      </c>
      <c r="AR205" s="55">
        <v>44328</v>
      </c>
      <c r="AS205" s="55">
        <v>44328</v>
      </c>
      <c r="AT205" s="55"/>
      <c r="AU205" s="55">
        <v>44469</v>
      </c>
      <c r="AV205" s="55"/>
      <c r="AW205" s="56">
        <v>44133</v>
      </c>
      <c r="AX205" s="55"/>
      <c r="AY205" s="55">
        <v>44329</v>
      </c>
      <c r="AZ205" s="55"/>
      <c r="BA205" s="55">
        <v>44327</v>
      </c>
      <c r="BB205" s="55">
        <v>44501</v>
      </c>
      <c r="BC205" s="55"/>
      <c r="BD205" s="55"/>
      <c r="BE205" s="56">
        <v>44307</v>
      </c>
      <c r="BF205" s="55"/>
      <c r="BG205" s="55">
        <v>44327</v>
      </c>
      <c r="BH205" s="55"/>
      <c r="BI205" s="55"/>
      <c r="BJ205" s="55"/>
    </row>
    <row r="206" spans="1:62" x14ac:dyDescent="0.4">
      <c r="A206" s="5">
        <f t="shared" si="4"/>
        <v>34</v>
      </c>
      <c r="B206" s="3" t="s">
        <v>202</v>
      </c>
      <c r="C206" s="55">
        <v>44489</v>
      </c>
      <c r="D206" s="55">
        <v>44490</v>
      </c>
      <c r="E206" s="55">
        <v>44475</v>
      </c>
      <c r="F206" s="55">
        <v>44477</v>
      </c>
      <c r="G206" s="55">
        <v>44477</v>
      </c>
      <c r="H206" s="55">
        <v>44482</v>
      </c>
      <c r="I206" s="55">
        <v>44477</v>
      </c>
      <c r="J206" s="55">
        <v>44477</v>
      </c>
      <c r="K206" s="55">
        <v>44468</v>
      </c>
      <c r="L206" s="55">
        <v>44477</v>
      </c>
      <c r="M206" s="55">
        <v>44477</v>
      </c>
      <c r="N206" s="55">
        <v>44476</v>
      </c>
      <c r="O206" s="55"/>
      <c r="P206" s="55">
        <v>44477</v>
      </c>
      <c r="Q206" s="55"/>
      <c r="R206" s="55">
        <v>44470</v>
      </c>
      <c r="S206" s="55">
        <v>44482</v>
      </c>
      <c r="T206" s="55">
        <v>44481</v>
      </c>
      <c r="U206" s="55">
        <v>44477</v>
      </c>
      <c r="V206" s="56">
        <v>44131</v>
      </c>
      <c r="W206" s="55"/>
      <c r="X206" s="55">
        <v>44484</v>
      </c>
      <c r="Y206" s="55"/>
      <c r="Z206" s="55"/>
      <c r="AA206" s="55">
        <v>44470</v>
      </c>
      <c r="AB206" s="55">
        <v>44475</v>
      </c>
      <c r="AC206" s="55">
        <v>44477</v>
      </c>
      <c r="AD206" s="55">
        <v>44477</v>
      </c>
      <c r="AE206" s="55"/>
      <c r="AF206" s="55"/>
      <c r="AG206" s="55">
        <v>44474</v>
      </c>
      <c r="AH206" s="55">
        <v>44481</v>
      </c>
      <c r="AI206" s="55">
        <v>44481</v>
      </c>
      <c r="AJ206" s="55">
        <v>44481</v>
      </c>
      <c r="AK206" s="55"/>
      <c r="AL206" s="55"/>
      <c r="AM206" s="55">
        <v>44482</v>
      </c>
      <c r="AN206" s="55"/>
      <c r="AO206" s="55"/>
      <c r="AP206" s="55"/>
      <c r="AQ206" s="55"/>
      <c r="AR206" s="55"/>
      <c r="AS206" s="55"/>
      <c r="AT206" s="55"/>
      <c r="AU206" s="55">
        <v>44482</v>
      </c>
      <c r="AV206" s="55"/>
      <c r="AW206" s="55">
        <v>44481</v>
      </c>
      <c r="AX206" s="55">
        <v>44470</v>
      </c>
      <c r="AY206" s="55">
        <v>44469</v>
      </c>
      <c r="AZ206" s="55"/>
      <c r="BA206" s="55"/>
      <c r="BB206" s="55">
        <v>44470</v>
      </c>
      <c r="BC206" s="55">
        <v>44477</v>
      </c>
      <c r="BD206" s="55"/>
      <c r="BE206" s="55"/>
      <c r="BF206" s="55"/>
      <c r="BG206" s="55"/>
      <c r="BH206" s="55"/>
      <c r="BI206" s="55"/>
      <c r="BJ206" s="55"/>
    </row>
    <row r="207" spans="1:62" x14ac:dyDescent="0.4">
      <c r="A207" s="5">
        <f t="shared" si="4"/>
        <v>36</v>
      </c>
      <c r="B207" s="3" t="s">
        <v>203</v>
      </c>
      <c r="C207" s="55">
        <v>44473</v>
      </c>
      <c r="D207" s="55">
        <v>44456</v>
      </c>
      <c r="E207" s="55">
        <v>44466</v>
      </c>
      <c r="F207" s="55">
        <v>44472</v>
      </c>
      <c r="G207" s="55">
        <v>44466</v>
      </c>
      <c r="H207" s="55">
        <v>44454</v>
      </c>
      <c r="I207" s="55">
        <v>44456</v>
      </c>
      <c r="J207" s="55">
        <v>44467</v>
      </c>
      <c r="K207" s="55">
        <v>44456</v>
      </c>
      <c r="L207" s="56">
        <v>43907</v>
      </c>
      <c r="M207" s="55">
        <v>44469</v>
      </c>
      <c r="N207" s="55">
        <v>44452</v>
      </c>
      <c r="O207" s="55"/>
      <c r="P207" s="55">
        <v>44466</v>
      </c>
      <c r="Q207" s="56">
        <v>43725</v>
      </c>
      <c r="R207" s="55">
        <v>44479</v>
      </c>
      <c r="S207" s="55">
        <v>44469</v>
      </c>
      <c r="T207" s="55">
        <v>44466</v>
      </c>
      <c r="U207" s="55">
        <v>44456</v>
      </c>
      <c r="V207" s="55">
        <v>44466</v>
      </c>
      <c r="W207" s="55"/>
      <c r="X207" s="55"/>
      <c r="Y207" s="55">
        <v>44467</v>
      </c>
      <c r="Z207" s="55">
        <v>44466</v>
      </c>
      <c r="AA207" s="55">
        <v>44466</v>
      </c>
      <c r="AB207" s="55">
        <v>44452</v>
      </c>
      <c r="AC207" s="55"/>
      <c r="AD207" s="55">
        <v>44491</v>
      </c>
      <c r="AE207" s="55"/>
      <c r="AF207" s="55"/>
      <c r="AG207" s="55">
        <v>44464</v>
      </c>
      <c r="AH207" s="55">
        <v>44467</v>
      </c>
      <c r="AI207" s="55">
        <v>44466</v>
      </c>
      <c r="AJ207" s="55">
        <v>44466</v>
      </c>
      <c r="AK207" s="55"/>
      <c r="AL207" s="55"/>
      <c r="AM207" s="55">
        <v>44467</v>
      </c>
      <c r="AN207" s="55"/>
      <c r="AO207" s="55"/>
      <c r="AP207" s="55"/>
      <c r="AQ207" s="55">
        <v>44454</v>
      </c>
      <c r="AR207" s="55">
        <v>44468</v>
      </c>
      <c r="AS207" s="55"/>
      <c r="AT207" s="55"/>
      <c r="AU207" s="55">
        <v>44469</v>
      </c>
      <c r="AV207" s="55"/>
      <c r="AW207" s="55">
        <v>44455</v>
      </c>
      <c r="AX207" s="55"/>
      <c r="AY207" s="55"/>
      <c r="AZ207" s="55"/>
      <c r="BA207" s="55"/>
      <c r="BB207" s="55">
        <v>44454</v>
      </c>
      <c r="BC207" s="55"/>
      <c r="BD207" s="55"/>
      <c r="BE207" s="55"/>
      <c r="BF207" s="55"/>
      <c r="BG207" s="55">
        <v>44468</v>
      </c>
      <c r="BH207" s="56">
        <v>43735</v>
      </c>
      <c r="BI207" s="55"/>
      <c r="BJ207" s="55"/>
    </row>
    <row r="208" spans="1:62" x14ac:dyDescent="0.4">
      <c r="A208" s="5">
        <f t="shared" si="4"/>
        <v>30</v>
      </c>
      <c r="B208" s="3" t="s">
        <v>204</v>
      </c>
      <c r="C208" s="55">
        <v>44452</v>
      </c>
      <c r="D208" s="55">
        <v>44438</v>
      </c>
      <c r="E208" s="55">
        <v>44438</v>
      </c>
      <c r="F208" s="55">
        <v>44447</v>
      </c>
      <c r="G208" s="55">
        <v>44445</v>
      </c>
      <c r="H208" s="55">
        <v>44438</v>
      </c>
      <c r="I208" s="55">
        <v>44413</v>
      </c>
      <c r="J208" s="55">
        <v>44433</v>
      </c>
      <c r="K208" s="55">
        <v>44433</v>
      </c>
      <c r="L208" s="55">
        <v>44161</v>
      </c>
      <c r="M208" s="55">
        <v>44452</v>
      </c>
      <c r="N208" s="55">
        <v>44166</v>
      </c>
      <c r="O208" s="55">
        <v>44483</v>
      </c>
      <c r="P208" s="55">
        <v>44452</v>
      </c>
      <c r="Q208" s="55"/>
      <c r="R208" s="55"/>
      <c r="S208" s="55">
        <v>44497</v>
      </c>
      <c r="T208" s="55">
        <v>44439</v>
      </c>
      <c r="U208" s="55">
        <v>44440</v>
      </c>
      <c r="V208" s="55"/>
      <c r="W208" s="55"/>
      <c r="X208" s="55">
        <v>44377</v>
      </c>
      <c r="Y208" s="55"/>
      <c r="Z208" s="55">
        <v>44377</v>
      </c>
      <c r="AA208" s="55">
        <v>44382</v>
      </c>
      <c r="AB208" s="55">
        <v>44440</v>
      </c>
      <c r="AC208" s="55">
        <v>44434</v>
      </c>
      <c r="AD208" s="55"/>
      <c r="AE208" s="55">
        <v>44400</v>
      </c>
      <c r="AF208" s="55"/>
      <c r="AG208" s="55"/>
      <c r="AH208" s="55">
        <v>44452</v>
      </c>
      <c r="AI208" s="55"/>
      <c r="AJ208" s="55">
        <v>44377</v>
      </c>
      <c r="AK208" s="55"/>
      <c r="AL208" s="55"/>
      <c r="AM208" s="55">
        <v>44348</v>
      </c>
      <c r="AN208" s="55"/>
      <c r="AO208" s="55"/>
      <c r="AP208" s="55"/>
      <c r="AQ208" s="55"/>
      <c r="AR208" s="55"/>
      <c r="AS208" s="55"/>
      <c r="AT208" s="55"/>
      <c r="AU208" s="55">
        <v>44446</v>
      </c>
      <c r="AV208" s="55"/>
      <c r="AW208" s="55"/>
      <c r="AX208" s="55"/>
      <c r="AY208" s="55"/>
      <c r="AZ208" s="55"/>
      <c r="BA208" s="55">
        <v>44383</v>
      </c>
      <c r="BB208" s="55">
        <v>44340</v>
      </c>
      <c r="BC208" s="55"/>
      <c r="BD208" s="55"/>
      <c r="BE208" s="55"/>
      <c r="BF208" s="55"/>
      <c r="BG208" s="55">
        <v>44497</v>
      </c>
      <c r="BH208" s="55"/>
      <c r="BI208" s="55"/>
      <c r="BJ208" s="55"/>
    </row>
    <row r="209" spans="1:62" x14ac:dyDescent="0.4">
      <c r="A209" s="5">
        <f t="shared" si="4"/>
        <v>37</v>
      </c>
      <c r="B209" s="3" t="s">
        <v>216</v>
      </c>
      <c r="C209" s="55">
        <v>44357</v>
      </c>
      <c r="D209" s="55">
        <v>44356</v>
      </c>
      <c r="E209" s="55">
        <v>44490</v>
      </c>
      <c r="F209" s="55">
        <v>44417</v>
      </c>
      <c r="G209" s="55">
        <v>44484</v>
      </c>
      <c r="H209" s="55">
        <v>44497</v>
      </c>
      <c r="I209" s="55">
        <v>44305</v>
      </c>
      <c r="J209" s="55">
        <v>44425</v>
      </c>
      <c r="K209" s="55">
        <v>44489</v>
      </c>
      <c r="L209" s="55">
        <v>44490</v>
      </c>
      <c r="M209" s="55">
        <v>44419</v>
      </c>
      <c r="N209" s="55">
        <v>44370</v>
      </c>
      <c r="O209" s="55">
        <v>44369</v>
      </c>
      <c r="P209" s="55">
        <v>44356</v>
      </c>
      <c r="Q209" s="55">
        <v>44375</v>
      </c>
      <c r="R209" s="55">
        <v>44362</v>
      </c>
      <c r="S209" s="55">
        <v>44438</v>
      </c>
      <c r="T209" s="55">
        <v>44491</v>
      </c>
      <c r="U209" s="55">
        <v>44490</v>
      </c>
      <c r="V209" s="55">
        <v>44490</v>
      </c>
      <c r="W209" s="55"/>
      <c r="X209" s="55"/>
      <c r="Y209" s="55"/>
      <c r="Z209" s="55">
        <v>44490</v>
      </c>
      <c r="AA209" s="55">
        <v>44490</v>
      </c>
      <c r="AB209" s="55">
        <v>44375</v>
      </c>
      <c r="AC209" s="55"/>
      <c r="AD209" s="55">
        <v>44490</v>
      </c>
      <c r="AE209" s="55"/>
      <c r="AF209" s="55"/>
      <c r="AG209" s="55">
        <v>44489</v>
      </c>
      <c r="AH209" s="55">
        <v>44490</v>
      </c>
      <c r="AI209" s="55">
        <v>44495</v>
      </c>
      <c r="AJ209" s="55">
        <v>44375</v>
      </c>
      <c r="AK209" s="55">
        <v>44496</v>
      </c>
      <c r="AL209" s="55"/>
      <c r="AM209" s="55">
        <v>44417</v>
      </c>
      <c r="AN209" s="55"/>
      <c r="AO209" s="55"/>
      <c r="AP209" s="55"/>
      <c r="AQ209" s="55"/>
      <c r="AR209" s="55">
        <v>44357</v>
      </c>
      <c r="AS209" s="55"/>
      <c r="AT209" s="55"/>
      <c r="AU209" s="55">
        <v>44361</v>
      </c>
      <c r="AV209" s="55"/>
      <c r="AW209" s="55">
        <v>44496</v>
      </c>
      <c r="AX209" s="55">
        <v>44497</v>
      </c>
      <c r="AY209" s="55">
        <v>44490</v>
      </c>
      <c r="AZ209" s="55"/>
      <c r="BA209" s="55"/>
      <c r="BB209" s="55"/>
      <c r="BC209" s="55">
        <v>44496</v>
      </c>
      <c r="BD209" s="55"/>
      <c r="BE209" s="55"/>
      <c r="BF209" s="55"/>
      <c r="BG209" s="55"/>
      <c r="BH209" s="55">
        <v>44497</v>
      </c>
      <c r="BI209" s="55"/>
      <c r="BJ209" s="55"/>
    </row>
    <row r="210" spans="1:62" x14ac:dyDescent="0.4">
      <c r="A210" s="5">
        <f t="shared" si="4"/>
        <v>35</v>
      </c>
      <c r="B210" s="3" t="s">
        <v>217</v>
      </c>
      <c r="C210" s="56">
        <v>44092</v>
      </c>
      <c r="D210" s="55">
        <v>44377</v>
      </c>
      <c r="E210" s="56">
        <v>44064</v>
      </c>
      <c r="F210" s="55">
        <v>44497</v>
      </c>
      <c r="G210" s="55">
        <v>44489</v>
      </c>
      <c r="H210" s="55">
        <v>44496</v>
      </c>
      <c r="I210" s="55">
        <v>44491</v>
      </c>
      <c r="J210" s="55">
        <v>44495</v>
      </c>
      <c r="K210" s="55"/>
      <c r="L210" s="55">
        <v>44497</v>
      </c>
      <c r="M210" s="55">
        <v>44498</v>
      </c>
      <c r="N210" s="55">
        <v>44494</v>
      </c>
      <c r="O210" s="56">
        <v>44022</v>
      </c>
      <c r="P210" s="56">
        <v>42884</v>
      </c>
      <c r="Q210" s="55">
        <v>44496</v>
      </c>
      <c r="R210" s="56">
        <v>44034</v>
      </c>
      <c r="S210" s="56">
        <v>44034</v>
      </c>
      <c r="T210" s="55">
        <v>44498</v>
      </c>
      <c r="U210" s="56">
        <v>44034</v>
      </c>
      <c r="V210" s="55">
        <v>44498</v>
      </c>
      <c r="W210" s="55"/>
      <c r="X210" s="55"/>
      <c r="Y210" s="55"/>
      <c r="Z210" s="55"/>
      <c r="AA210" s="55"/>
      <c r="AB210" s="55">
        <v>44484</v>
      </c>
      <c r="AC210" s="55">
        <v>44498</v>
      </c>
      <c r="AD210" s="55">
        <v>44153</v>
      </c>
      <c r="AE210" s="55">
        <v>44497</v>
      </c>
      <c r="AF210" s="55"/>
      <c r="AG210" s="55"/>
      <c r="AH210" s="56">
        <v>44089</v>
      </c>
      <c r="AI210" s="56">
        <v>44026</v>
      </c>
      <c r="AJ210" s="56">
        <v>44026</v>
      </c>
      <c r="AK210" s="55"/>
      <c r="AL210" s="55"/>
      <c r="AM210" s="56">
        <v>44033</v>
      </c>
      <c r="AN210" s="55"/>
      <c r="AO210" s="55"/>
      <c r="AP210" s="55"/>
      <c r="AQ210" s="55"/>
      <c r="AR210" s="56">
        <v>44153</v>
      </c>
      <c r="AS210" s="55"/>
      <c r="AT210" s="55"/>
      <c r="AU210" s="56">
        <v>44034</v>
      </c>
      <c r="AV210" s="55"/>
      <c r="AW210" s="56">
        <v>44034</v>
      </c>
      <c r="AX210" s="55"/>
      <c r="AY210" s="55"/>
      <c r="AZ210" s="55"/>
      <c r="BA210" s="56">
        <v>44092</v>
      </c>
      <c r="BB210" s="55">
        <v>44496</v>
      </c>
      <c r="BC210" s="55"/>
      <c r="BD210" s="55">
        <v>44482</v>
      </c>
      <c r="BE210" s="55">
        <v>44497</v>
      </c>
      <c r="BF210" s="55"/>
      <c r="BG210" s="55"/>
      <c r="BH210" s="55">
        <v>44497</v>
      </c>
      <c r="BI210" s="55"/>
      <c r="BJ210" s="55"/>
    </row>
    <row r="211" spans="1:62" x14ac:dyDescent="0.4">
      <c r="A211" s="5">
        <f t="shared" si="4"/>
        <v>33</v>
      </c>
      <c r="B211" s="3" t="s">
        <v>205</v>
      </c>
      <c r="C211" s="55">
        <v>44488</v>
      </c>
      <c r="D211" s="55">
        <v>44246</v>
      </c>
      <c r="E211" s="55">
        <v>44372</v>
      </c>
      <c r="F211" s="55">
        <v>44431</v>
      </c>
      <c r="G211" s="55"/>
      <c r="H211" s="55">
        <v>44383</v>
      </c>
      <c r="I211" s="55">
        <v>44385</v>
      </c>
      <c r="J211" s="55">
        <v>44438</v>
      </c>
      <c r="K211" s="55">
        <v>44337</v>
      </c>
      <c r="L211" s="55"/>
      <c r="M211" s="55">
        <v>44488</v>
      </c>
      <c r="N211" s="55">
        <v>44363</v>
      </c>
      <c r="O211" s="55">
        <v>44390</v>
      </c>
      <c r="P211" s="55">
        <v>44365</v>
      </c>
      <c r="Q211" s="55">
        <v>44379</v>
      </c>
      <c r="R211" s="55"/>
      <c r="S211" s="55">
        <v>44390</v>
      </c>
      <c r="T211" s="55">
        <v>44495</v>
      </c>
      <c r="U211" s="55">
        <v>44187</v>
      </c>
      <c r="V211" s="55">
        <v>44391</v>
      </c>
      <c r="W211" s="55"/>
      <c r="X211" s="55"/>
      <c r="Y211" s="55"/>
      <c r="Z211" s="55">
        <v>44494</v>
      </c>
      <c r="AA211" s="55">
        <v>44487</v>
      </c>
      <c r="AB211" s="55">
        <v>44363</v>
      </c>
      <c r="AC211" s="55">
        <v>44495</v>
      </c>
      <c r="AD211" s="55">
        <v>44386</v>
      </c>
      <c r="AE211" s="55">
        <v>44391</v>
      </c>
      <c r="AF211" s="55"/>
      <c r="AG211" s="55">
        <v>44326</v>
      </c>
      <c r="AH211" s="55">
        <v>44368</v>
      </c>
      <c r="AI211" s="55">
        <v>44372</v>
      </c>
      <c r="AJ211" s="55">
        <v>44372</v>
      </c>
      <c r="AK211" s="55"/>
      <c r="AL211" s="55"/>
      <c r="AM211" s="55"/>
      <c r="AN211" s="55"/>
      <c r="AO211" s="55"/>
      <c r="AP211" s="55"/>
      <c r="AQ211" s="55"/>
      <c r="AR211" s="55"/>
      <c r="AS211" s="55"/>
      <c r="AT211" s="55"/>
      <c r="AU211" s="55">
        <v>44362</v>
      </c>
      <c r="AV211" s="55"/>
      <c r="AW211" s="55">
        <v>44186</v>
      </c>
      <c r="AX211" s="55"/>
      <c r="AY211" s="55">
        <v>44369</v>
      </c>
      <c r="AZ211" s="55"/>
      <c r="BA211" s="55">
        <v>44372</v>
      </c>
      <c r="BB211" s="55">
        <v>44495</v>
      </c>
      <c r="BC211" s="55"/>
      <c r="BD211" s="55"/>
      <c r="BE211" s="55"/>
      <c r="BF211" s="55"/>
      <c r="BG211" s="55">
        <v>44363</v>
      </c>
      <c r="BH211" s="55"/>
      <c r="BI211" s="55"/>
      <c r="BJ211" s="55"/>
    </row>
    <row r="212" spans="1:62" x14ac:dyDescent="0.4">
      <c r="A212" s="5">
        <f t="shared" si="4"/>
        <v>40</v>
      </c>
      <c r="B212" s="3" t="s">
        <v>218</v>
      </c>
      <c r="C212" s="55">
        <v>44489</v>
      </c>
      <c r="D212" s="55">
        <v>44488</v>
      </c>
      <c r="E212" s="55">
        <v>44489</v>
      </c>
      <c r="F212" s="55">
        <v>44489</v>
      </c>
      <c r="G212" s="55">
        <v>44489</v>
      </c>
      <c r="H212" s="55">
        <v>44488</v>
      </c>
      <c r="I212" s="55">
        <v>44489</v>
      </c>
      <c r="J212" s="55">
        <v>44489</v>
      </c>
      <c r="K212" s="55">
        <v>44489</v>
      </c>
      <c r="L212" s="55">
        <v>44489</v>
      </c>
      <c r="M212" s="55">
        <v>44490</v>
      </c>
      <c r="N212" s="55">
        <v>44490</v>
      </c>
      <c r="O212" s="55">
        <v>44490</v>
      </c>
      <c r="P212" s="55">
        <v>44490</v>
      </c>
      <c r="Q212" s="55">
        <v>44490</v>
      </c>
      <c r="R212" s="55">
        <v>44490</v>
      </c>
      <c r="S212" s="55">
        <v>44491</v>
      </c>
      <c r="T212" s="55">
        <v>44491</v>
      </c>
      <c r="U212" s="55">
        <v>44491</v>
      </c>
      <c r="V212" s="55">
        <v>44491</v>
      </c>
      <c r="W212" s="55"/>
      <c r="X212" s="55"/>
      <c r="Y212" s="55"/>
      <c r="Z212" s="55">
        <v>44491</v>
      </c>
      <c r="AA212" s="55">
        <v>44491</v>
      </c>
      <c r="AB212" s="55">
        <v>44491</v>
      </c>
      <c r="AC212" s="55">
        <v>44491</v>
      </c>
      <c r="AD212" s="55">
        <v>44491</v>
      </c>
      <c r="AE212" s="55"/>
      <c r="AF212" s="55"/>
      <c r="AG212" s="55"/>
      <c r="AH212" s="55">
        <v>44491</v>
      </c>
      <c r="AI212" s="55">
        <v>44491</v>
      </c>
      <c r="AJ212" s="55">
        <v>44491</v>
      </c>
      <c r="AK212" s="55"/>
      <c r="AL212" s="55"/>
      <c r="AM212" s="55"/>
      <c r="AN212" s="55">
        <v>44491</v>
      </c>
      <c r="AO212" s="55"/>
      <c r="AP212" s="55">
        <v>44491</v>
      </c>
      <c r="AQ212" s="55"/>
      <c r="AR212" s="55">
        <v>44491</v>
      </c>
      <c r="AS212" s="55">
        <v>44491</v>
      </c>
      <c r="AT212" s="55"/>
      <c r="AU212" s="55">
        <v>44491</v>
      </c>
      <c r="AV212" s="55"/>
      <c r="AW212" s="55">
        <v>44491</v>
      </c>
      <c r="AX212" s="55"/>
      <c r="AY212" s="55">
        <v>44491</v>
      </c>
      <c r="AZ212" s="55"/>
      <c r="BA212" s="55">
        <v>44491</v>
      </c>
      <c r="BB212" s="55"/>
      <c r="BC212" s="55">
        <v>44491</v>
      </c>
      <c r="BD212" s="55">
        <v>44491</v>
      </c>
      <c r="BE212" s="55"/>
      <c r="BF212" s="55"/>
      <c r="BG212" s="55">
        <v>44491</v>
      </c>
      <c r="BH212" s="56">
        <v>44027</v>
      </c>
      <c r="BI212" s="55"/>
      <c r="BJ212" s="55"/>
    </row>
    <row r="213" spans="1:62" x14ac:dyDescent="0.4">
      <c r="A213" s="5">
        <f t="shared" si="4"/>
        <v>36</v>
      </c>
      <c r="B213" s="3" t="s">
        <v>206</v>
      </c>
      <c r="C213" s="55">
        <v>44467</v>
      </c>
      <c r="D213" s="55">
        <v>44491</v>
      </c>
      <c r="E213" s="55">
        <v>44448</v>
      </c>
      <c r="F213" s="55">
        <v>44483</v>
      </c>
      <c r="G213" s="55">
        <v>44448</v>
      </c>
      <c r="H213" s="55">
        <v>44390</v>
      </c>
      <c r="I213" s="55">
        <v>44484</v>
      </c>
      <c r="J213" s="55">
        <v>44433</v>
      </c>
      <c r="K213" s="55">
        <v>44440</v>
      </c>
      <c r="L213" s="55">
        <v>44483</v>
      </c>
      <c r="M213" s="55">
        <v>44439</v>
      </c>
      <c r="N213" s="55">
        <v>44371</v>
      </c>
      <c r="O213" s="55"/>
      <c r="P213" s="55">
        <v>44391</v>
      </c>
      <c r="Q213" s="55">
        <v>44483</v>
      </c>
      <c r="R213" s="55">
        <v>44495</v>
      </c>
      <c r="S213" s="55">
        <v>44386</v>
      </c>
      <c r="T213" s="55">
        <v>44349</v>
      </c>
      <c r="U213" s="55">
        <v>44488</v>
      </c>
      <c r="V213" s="55">
        <v>44489</v>
      </c>
      <c r="W213" s="55"/>
      <c r="X213" s="55"/>
      <c r="Y213" s="55"/>
      <c r="Z213" s="55"/>
      <c r="AA213" s="55">
        <v>44476</v>
      </c>
      <c r="AB213" s="55">
        <v>44390</v>
      </c>
      <c r="AC213" s="55">
        <v>44483</v>
      </c>
      <c r="AD213" s="55">
        <v>44503</v>
      </c>
      <c r="AE213" s="55">
        <v>44386</v>
      </c>
      <c r="AF213" s="55">
        <v>44495</v>
      </c>
      <c r="AG213" s="55"/>
      <c r="AH213" s="55">
        <v>44456</v>
      </c>
      <c r="AI213" s="55">
        <v>44386</v>
      </c>
      <c r="AJ213" s="55">
        <v>44377</v>
      </c>
      <c r="AK213" s="55">
        <v>44386</v>
      </c>
      <c r="AL213" s="55"/>
      <c r="AM213" s="55"/>
      <c r="AN213" s="55"/>
      <c r="AO213" s="55"/>
      <c r="AP213" s="55"/>
      <c r="AQ213" s="55"/>
      <c r="AR213" s="55">
        <v>44491</v>
      </c>
      <c r="AS213" s="55"/>
      <c r="AT213" s="55"/>
      <c r="AU213" s="55">
        <v>44456</v>
      </c>
      <c r="AV213" s="55"/>
      <c r="AW213" s="55">
        <v>44491</v>
      </c>
      <c r="AX213" s="55"/>
      <c r="AY213" s="55">
        <v>44449</v>
      </c>
      <c r="AZ213" s="55"/>
      <c r="BA213" s="55">
        <v>44489</v>
      </c>
      <c r="BB213" s="55">
        <v>44456</v>
      </c>
      <c r="BC213" s="55"/>
      <c r="BD213" s="55"/>
      <c r="BE213" s="55"/>
      <c r="BF213" s="55"/>
      <c r="BG213" s="55">
        <v>44482</v>
      </c>
      <c r="BH213" s="55"/>
      <c r="BI213" s="55"/>
      <c r="BJ213" s="55"/>
    </row>
    <row r="214" spans="1:62" x14ac:dyDescent="0.4">
      <c r="A214" s="5">
        <f t="shared" si="4"/>
        <v>32</v>
      </c>
      <c r="B214" s="3" t="s">
        <v>207</v>
      </c>
      <c r="C214" s="55">
        <v>44358</v>
      </c>
      <c r="D214" s="55">
        <v>44356</v>
      </c>
      <c r="E214" s="55">
        <v>44357</v>
      </c>
      <c r="F214" s="55">
        <v>44462</v>
      </c>
      <c r="G214" s="55">
        <v>44483</v>
      </c>
      <c r="H214" s="55">
        <v>44357</v>
      </c>
      <c r="I214" s="55">
        <v>44356</v>
      </c>
      <c r="J214" s="55">
        <v>44467</v>
      </c>
      <c r="K214" s="55"/>
      <c r="L214" s="55">
        <v>44354</v>
      </c>
      <c r="M214" s="55">
        <v>44467</v>
      </c>
      <c r="N214" s="55">
        <v>44364</v>
      </c>
      <c r="O214" s="55">
        <v>44172</v>
      </c>
      <c r="P214" s="55">
        <v>44362</v>
      </c>
      <c r="Q214" s="55"/>
      <c r="R214" s="55"/>
      <c r="S214" s="55">
        <v>44361</v>
      </c>
      <c r="T214" s="55">
        <v>44357</v>
      </c>
      <c r="U214" s="55">
        <v>44362</v>
      </c>
      <c r="V214" s="55">
        <v>44361</v>
      </c>
      <c r="W214" s="55"/>
      <c r="X214" s="55"/>
      <c r="Y214" s="55"/>
      <c r="Z214" s="55"/>
      <c r="AA214" s="55">
        <v>44362</v>
      </c>
      <c r="AB214" s="55">
        <v>44362</v>
      </c>
      <c r="AC214" s="55">
        <v>44354</v>
      </c>
      <c r="AD214" s="55"/>
      <c r="AE214" s="55"/>
      <c r="AF214" s="55"/>
      <c r="AG214" s="55">
        <v>44362</v>
      </c>
      <c r="AH214" s="55">
        <v>44357</v>
      </c>
      <c r="AI214" s="55">
        <v>44175</v>
      </c>
      <c r="AJ214" s="55">
        <v>44172</v>
      </c>
      <c r="AK214" s="55"/>
      <c r="AL214" s="55"/>
      <c r="AM214" s="55"/>
      <c r="AN214" s="55"/>
      <c r="AO214" s="55"/>
      <c r="AP214" s="55"/>
      <c r="AQ214" s="55"/>
      <c r="AR214" s="55">
        <v>44356</v>
      </c>
      <c r="AS214" s="55"/>
      <c r="AT214" s="55"/>
      <c r="AU214" s="55">
        <v>44356</v>
      </c>
      <c r="AV214" s="55"/>
      <c r="AW214" s="55">
        <v>44361</v>
      </c>
      <c r="AX214" s="55">
        <v>44363</v>
      </c>
      <c r="AY214" s="55">
        <v>44358</v>
      </c>
      <c r="AZ214" s="55"/>
      <c r="BA214" s="55">
        <v>44357</v>
      </c>
      <c r="BB214" s="55">
        <v>44357</v>
      </c>
      <c r="BC214" s="55">
        <v>44361</v>
      </c>
      <c r="BD214" s="55"/>
      <c r="BE214" s="55"/>
      <c r="BF214" s="55"/>
      <c r="BG214" s="55"/>
      <c r="BH214" s="55"/>
      <c r="BI214" s="55"/>
      <c r="BJ214" s="55"/>
    </row>
    <row r="215" spans="1:62" x14ac:dyDescent="0.4">
      <c r="A215" s="5">
        <f t="shared" si="4"/>
        <v>26</v>
      </c>
      <c r="B215" s="3" t="s">
        <v>208</v>
      </c>
      <c r="C215" s="55">
        <v>44496</v>
      </c>
      <c r="D215" s="55">
        <v>44496</v>
      </c>
      <c r="E215" s="55">
        <v>44496</v>
      </c>
      <c r="F215" s="55">
        <v>44496</v>
      </c>
      <c r="G215" s="55">
        <v>44496</v>
      </c>
      <c r="H215" s="55"/>
      <c r="I215" s="55">
        <v>44496</v>
      </c>
      <c r="J215" s="55">
        <v>44496</v>
      </c>
      <c r="K215" s="55">
        <v>44496</v>
      </c>
      <c r="L215" s="55"/>
      <c r="M215" s="55">
        <v>44496</v>
      </c>
      <c r="N215" s="56">
        <v>43742</v>
      </c>
      <c r="O215" s="55"/>
      <c r="P215" s="55">
        <v>44496</v>
      </c>
      <c r="Q215" s="55">
        <v>44496</v>
      </c>
      <c r="R215" s="55"/>
      <c r="S215" s="55">
        <v>44496</v>
      </c>
      <c r="T215" s="55">
        <v>44496</v>
      </c>
      <c r="U215" s="55">
        <v>44496</v>
      </c>
      <c r="V215" s="55">
        <v>44496</v>
      </c>
      <c r="W215" s="55"/>
      <c r="X215" s="55"/>
      <c r="Y215" s="55"/>
      <c r="Z215" s="55">
        <v>44496</v>
      </c>
      <c r="AA215" s="55"/>
      <c r="AB215" s="55">
        <v>44496</v>
      </c>
      <c r="AC215" s="55">
        <v>44496</v>
      </c>
      <c r="AD215" s="55">
        <v>44496</v>
      </c>
      <c r="AE215" s="55">
        <v>44496</v>
      </c>
      <c r="AF215" s="55"/>
      <c r="AG215" s="55"/>
      <c r="AH215" s="55"/>
      <c r="AI215" s="55">
        <v>44496</v>
      </c>
      <c r="AJ215" s="55">
        <v>44496</v>
      </c>
      <c r="AK215" s="55"/>
      <c r="AL215" s="55"/>
      <c r="AM215" s="55"/>
      <c r="AN215" s="55"/>
      <c r="AO215" s="55"/>
      <c r="AP215" s="55"/>
      <c r="AQ215" s="55"/>
      <c r="AR215" s="55"/>
      <c r="AS215" s="55"/>
      <c r="AT215" s="55"/>
      <c r="AU215" s="55">
        <v>44496</v>
      </c>
      <c r="AV215" s="55"/>
      <c r="AW215" s="55"/>
      <c r="AX215" s="55"/>
      <c r="AY215" s="55"/>
      <c r="AZ215" s="55"/>
      <c r="BA215" s="55"/>
      <c r="BB215" s="55">
        <v>44496</v>
      </c>
      <c r="BC215" s="55"/>
      <c r="BD215" s="55"/>
      <c r="BE215" s="55"/>
      <c r="BF215" s="55"/>
      <c r="BG215" s="55"/>
      <c r="BH215" s="55">
        <v>44496</v>
      </c>
      <c r="BI215" s="55"/>
      <c r="BJ215" s="55"/>
    </row>
    <row r="216" spans="1:62" x14ac:dyDescent="0.4">
      <c r="A216" s="5">
        <f t="shared" si="4"/>
        <v>30</v>
      </c>
      <c r="B216" s="3" t="s">
        <v>209</v>
      </c>
      <c r="C216" s="55">
        <v>44393</v>
      </c>
      <c r="D216" s="55">
        <v>44189</v>
      </c>
      <c r="E216" s="55">
        <v>44393</v>
      </c>
      <c r="F216" s="55">
        <v>44498</v>
      </c>
      <c r="G216" s="55">
        <v>44498</v>
      </c>
      <c r="H216" s="55"/>
      <c r="I216" s="55">
        <v>44189</v>
      </c>
      <c r="J216" s="55">
        <v>44498</v>
      </c>
      <c r="K216" s="55">
        <v>44393</v>
      </c>
      <c r="L216" s="55"/>
      <c r="M216" s="55">
        <v>44498</v>
      </c>
      <c r="N216" s="55">
        <v>44189</v>
      </c>
      <c r="O216" s="55"/>
      <c r="P216" s="55"/>
      <c r="Q216" s="55"/>
      <c r="R216" s="55"/>
      <c r="S216" s="55">
        <v>44189</v>
      </c>
      <c r="T216" s="55">
        <v>44189</v>
      </c>
      <c r="U216" s="55">
        <v>44498</v>
      </c>
      <c r="V216" s="55"/>
      <c r="W216" s="55"/>
      <c r="X216" s="55"/>
      <c r="Y216" s="55"/>
      <c r="Z216" s="55">
        <v>44497</v>
      </c>
      <c r="AA216" s="55"/>
      <c r="AB216" s="55">
        <v>44189</v>
      </c>
      <c r="AC216" s="55">
        <v>44189</v>
      </c>
      <c r="AD216" s="55">
        <v>44189</v>
      </c>
      <c r="AE216" s="55">
        <v>44189</v>
      </c>
      <c r="AF216" s="55">
        <v>44393</v>
      </c>
      <c r="AG216" s="55"/>
      <c r="AH216" s="55">
        <v>44498</v>
      </c>
      <c r="AI216" s="55">
        <v>44189</v>
      </c>
      <c r="AJ216" s="55">
        <v>44189</v>
      </c>
      <c r="AK216" s="55"/>
      <c r="AL216" s="55"/>
      <c r="AM216" s="55"/>
      <c r="AN216" s="55"/>
      <c r="AO216" s="55"/>
      <c r="AP216" s="55">
        <v>44393</v>
      </c>
      <c r="AQ216" s="55"/>
      <c r="AR216" s="55"/>
      <c r="AS216" s="55"/>
      <c r="AT216" s="55"/>
      <c r="AU216" s="55">
        <v>44498</v>
      </c>
      <c r="AV216" s="55"/>
      <c r="AW216" s="55">
        <v>44497</v>
      </c>
      <c r="AX216" s="55">
        <v>44189</v>
      </c>
      <c r="AY216" s="55">
        <v>44393</v>
      </c>
      <c r="AZ216" s="55"/>
      <c r="BA216" s="55"/>
      <c r="BB216" s="55">
        <v>44393</v>
      </c>
      <c r="BC216" s="55"/>
      <c r="BD216" s="55"/>
      <c r="BE216" s="55"/>
      <c r="BF216" s="55"/>
      <c r="BG216" s="55">
        <v>44498</v>
      </c>
      <c r="BH216" s="55">
        <v>44497</v>
      </c>
      <c r="BI216" s="55"/>
      <c r="BJ216" s="55"/>
    </row>
    <row r="217" spans="1:62" x14ac:dyDescent="0.4">
      <c r="A217" s="5">
        <f t="shared" si="4"/>
        <v>27</v>
      </c>
      <c r="B217" s="3" t="s">
        <v>210</v>
      </c>
      <c r="C217" s="55">
        <v>44448</v>
      </c>
      <c r="D217" s="55">
        <v>44462</v>
      </c>
      <c r="E217" s="55">
        <v>44455</v>
      </c>
      <c r="F217" s="55">
        <v>44447</v>
      </c>
      <c r="G217" s="55">
        <v>44463</v>
      </c>
      <c r="H217" s="55">
        <v>44487</v>
      </c>
      <c r="I217" s="55">
        <v>44372</v>
      </c>
      <c r="J217" s="55">
        <v>44467</v>
      </c>
      <c r="K217" s="55">
        <v>44469</v>
      </c>
      <c r="L217" s="55"/>
      <c r="M217" s="55">
        <v>44452</v>
      </c>
      <c r="N217" s="55">
        <v>44454</v>
      </c>
      <c r="O217" s="55"/>
      <c r="P217" s="55">
        <v>44466</v>
      </c>
      <c r="Q217" s="55">
        <v>44372</v>
      </c>
      <c r="R217" s="55"/>
      <c r="S217" s="55">
        <v>44454</v>
      </c>
      <c r="T217" s="55">
        <v>44452</v>
      </c>
      <c r="U217" s="55">
        <v>44463</v>
      </c>
      <c r="V217" s="55">
        <v>44467</v>
      </c>
      <c r="W217" s="55"/>
      <c r="X217" s="55"/>
      <c r="Y217" s="55"/>
      <c r="Z217" s="55"/>
      <c r="AA217" s="55"/>
      <c r="AB217" s="55">
        <v>44454</v>
      </c>
      <c r="AC217" s="55">
        <v>44467</v>
      </c>
      <c r="AD217" s="55">
        <v>44463</v>
      </c>
      <c r="AE217" s="55">
        <v>44487</v>
      </c>
      <c r="AF217" s="55"/>
      <c r="AG217" s="55"/>
      <c r="AH217" s="55"/>
      <c r="AI217" s="55"/>
      <c r="AJ217" s="55">
        <v>44376</v>
      </c>
      <c r="AK217" s="55"/>
      <c r="AL217" s="55"/>
      <c r="AM217" s="55"/>
      <c r="AN217" s="55"/>
      <c r="AO217" s="55"/>
      <c r="AP217" s="55"/>
      <c r="AQ217" s="55"/>
      <c r="AR217" s="55">
        <v>44456</v>
      </c>
      <c r="AS217" s="55"/>
      <c r="AT217" s="55"/>
      <c r="AU217" s="55">
        <v>44375</v>
      </c>
      <c r="AV217" s="55"/>
      <c r="AW217" s="55">
        <v>44456</v>
      </c>
      <c r="AX217" s="55"/>
      <c r="AY217" s="55">
        <v>44463</v>
      </c>
      <c r="AZ217" s="55"/>
      <c r="BA217" s="55"/>
      <c r="BB217" s="55"/>
      <c r="BC217" s="55"/>
      <c r="BD217" s="55"/>
      <c r="BE217" s="55"/>
      <c r="BF217" s="55"/>
      <c r="BG217" s="55">
        <v>44456</v>
      </c>
      <c r="BH217" s="55"/>
      <c r="BI217" s="55"/>
      <c r="BJ217" s="55"/>
    </row>
    <row r="218" spans="1:62" x14ac:dyDescent="0.4">
      <c r="A218" s="5">
        <f t="shared" si="4"/>
        <v>25</v>
      </c>
      <c r="B218" s="3" t="s">
        <v>211</v>
      </c>
      <c r="C218" s="55">
        <v>44467</v>
      </c>
      <c r="D218" s="55">
        <v>44189</v>
      </c>
      <c r="E218" s="55">
        <v>44467</v>
      </c>
      <c r="F218" s="55">
        <v>44468</v>
      </c>
      <c r="G218" s="55">
        <v>44468</v>
      </c>
      <c r="H218" s="55"/>
      <c r="I218" s="55">
        <v>44468</v>
      </c>
      <c r="J218" s="55">
        <v>44468</v>
      </c>
      <c r="K218" s="55">
        <v>44442</v>
      </c>
      <c r="L218" s="55">
        <v>44468</v>
      </c>
      <c r="M218" s="55">
        <v>44467</v>
      </c>
      <c r="N218" s="55">
        <v>44193</v>
      </c>
      <c r="O218" s="55"/>
      <c r="P218" s="55">
        <v>44189</v>
      </c>
      <c r="Q218" s="55">
        <v>44189</v>
      </c>
      <c r="R218" s="55"/>
      <c r="S218" s="55">
        <v>44189</v>
      </c>
      <c r="T218" s="55">
        <v>44189</v>
      </c>
      <c r="U218" s="55">
        <v>44189</v>
      </c>
      <c r="V218" s="55">
        <v>44431</v>
      </c>
      <c r="W218" s="55"/>
      <c r="X218" s="55"/>
      <c r="Y218" s="55"/>
      <c r="Z218" s="55"/>
      <c r="AA218" s="55"/>
      <c r="AB218" s="55">
        <v>44193</v>
      </c>
      <c r="AC218" s="55">
        <v>44189</v>
      </c>
      <c r="AD218" s="55"/>
      <c r="AE218" s="55">
        <v>44189</v>
      </c>
      <c r="AF218" s="55"/>
      <c r="AG218" s="55"/>
      <c r="AH218" s="55"/>
      <c r="AI218" s="55"/>
      <c r="AJ218" s="55">
        <v>44189</v>
      </c>
      <c r="AK218" s="55"/>
      <c r="AL218" s="55"/>
      <c r="AM218" s="55"/>
      <c r="AN218" s="55"/>
      <c r="AO218" s="55"/>
      <c r="AP218" s="55"/>
      <c r="AQ218" s="55"/>
      <c r="AR218" s="55"/>
      <c r="AS218" s="55"/>
      <c r="AT218" s="55"/>
      <c r="AU218" s="55">
        <v>44467</v>
      </c>
      <c r="AV218" s="55"/>
      <c r="AW218" s="55">
        <v>44179</v>
      </c>
      <c r="AX218" s="55"/>
      <c r="AY218" s="55"/>
      <c r="AZ218" s="55"/>
      <c r="BA218" s="55">
        <v>44468</v>
      </c>
      <c r="BB218" s="55">
        <v>44467</v>
      </c>
      <c r="BC218" s="55"/>
      <c r="BD218" s="55"/>
      <c r="BE218" s="55"/>
      <c r="BF218" s="55"/>
      <c r="BG218" s="55"/>
      <c r="BH218" s="55"/>
      <c r="BI218" s="55"/>
      <c r="BJ218" s="55"/>
    </row>
    <row r="219" spans="1:62" x14ac:dyDescent="0.4">
      <c r="A219" s="5">
        <f t="shared" si="4"/>
        <v>34</v>
      </c>
      <c r="B219" s="3" t="s">
        <v>219</v>
      </c>
      <c r="C219" s="55">
        <v>44454</v>
      </c>
      <c r="D219" s="55">
        <v>44454</v>
      </c>
      <c r="E219" s="55">
        <v>44454</v>
      </c>
      <c r="F219" s="55">
        <v>44459</v>
      </c>
      <c r="G219" s="55">
        <v>44454</v>
      </c>
      <c r="H219" s="55"/>
      <c r="I219" s="55">
        <v>44462</v>
      </c>
      <c r="J219" s="55">
        <v>44454</v>
      </c>
      <c r="K219" s="55"/>
      <c r="L219" s="55">
        <v>44462</v>
      </c>
      <c r="M219" s="55">
        <v>44454</v>
      </c>
      <c r="N219" s="55">
        <v>44454</v>
      </c>
      <c r="O219" s="55"/>
      <c r="P219" s="55">
        <v>44454</v>
      </c>
      <c r="Q219" s="55">
        <v>44454</v>
      </c>
      <c r="R219" s="55">
        <v>44454</v>
      </c>
      <c r="S219" s="55"/>
      <c r="T219" s="55">
        <v>44454</v>
      </c>
      <c r="U219" s="55">
        <v>44459</v>
      </c>
      <c r="V219" s="55">
        <v>44454</v>
      </c>
      <c r="W219" s="55"/>
      <c r="X219" s="55"/>
      <c r="Y219" s="55">
        <v>44454</v>
      </c>
      <c r="Z219" s="55">
        <v>44454</v>
      </c>
      <c r="AA219" s="55">
        <v>44454</v>
      </c>
      <c r="AB219" s="55">
        <v>44454</v>
      </c>
      <c r="AC219" s="55">
        <v>44459</v>
      </c>
      <c r="AD219" s="55"/>
      <c r="AE219" s="55"/>
      <c r="AF219" s="55"/>
      <c r="AG219" s="55"/>
      <c r="AH219" s="55">
        <v>44454</v>
      </c>
      <c r="AI219" s="55">
        <v>44454</v>
      </c>
      <c r="AJ219" s="55">
        <v>44454</v>
      </c>
      <c r="AK219" s="55">
        <v>44454</v>
      </c>
      <c r="AL219" s="55"/>
      <c r="AM219" s="55"/>
      <c r="AN219" s="55">
        <v>44454</v>
      </c>
      <c r="AO219" s="55"/>
      <c r="AP219" s="55">
        <v>44454</v>
      </c>
      <c r="AQ219" s="55">
        <v>44454</v>
      </c>
      <c r="AR219" s="55">
        <v>44454</v>
      </c>
      <c r="AS219" s="55">
        <v>44454</v>
      </c>
      <c r="AT219" s="55"/>
      <c r="AU219" s="55">
        <v>44454</v>
      </c>
      <c r="AV219" s="55"/>
      <c r="AW219" s="55">
        <v>44454</v>
      </c>
      <c r="AX219" s="55">
        <v>44454</v>
      </c>
      <c r="AY219" s="55"/>
      <c r="AZ219" s="55"/>
      <c r="BA219" s="55">
        <v>44454</v>
      </c>
      <c r="BB219" s="55"/>
      <c r="BC219" s="55"/>
      <c r="BD219" s="55"/>
      <c r="BE219" s="55"/>
      <c r="BF219" s="55"/>
      <c r="BG219" s="55"/>
      <c r="BH219" s="55"/>
      <c r="BI219" s="55"/>
      <c r="BJ219" s="55"/>
    </row>
    <row r="220" spans="1:62" x14ac:dyDescent="0.4">
      <c r="A220" s="5">
        <f t="shared" si="4"/>
        <v>32</v>
      </c>
      <c r="B220" s="3" t="s">
        <v>214</v>
      </c>
      <c r="C220" s="55">
        <v>44440</v>
      </c>
      <c r="D220" s="55">
        <v>44448</v>
      </c>
      <c r="E220" s="55">
        <v>44434</v>
      </c>
      <c r="F220" s="55">
        <v>44483</v>
      </c>
      <c r="G220" s="55">
        <v>44483</v>
      </c>
      <c r="H220" s="55">
        <v>44428</v>
      </c>
      <c r="I220" s="55">
        <v>44440</v>
      </c>
      <c r="J220" s="55">
        <v>44483</v>
      </c>
      <c r="K220" s="55">
        <v>44448</v>
      </c>
      <c r="L220" s="55">
        <v>44428</v>
      </c>
      <c r="M220" s="55">
        <v>44483</v>
      </c>
      <c r="N220" s="55">
        <v>44434</v>
      </c>
      <c r="O220" s="55"/>
      <c r="P220" s="55">
        <v>44442</v>
      </c>
      <c r="Q220" s="55">
        <v>44428</v>
      </c>
      <c r="R220" s="55">
        <v>44428</v>
      </c>
      <c r="S220" s="55">
        <v>44428</v>
      </c>
      <c r="T220" s="55">
        <v>44428</v>
      </c>
      <c r="U220" s="55">
        <v>44448</v>
      </c>
      <c r="V220" s="55">
        <v>44428</v>
      </c>
      <c r="W220" s="55"/>
      <c r="X220" s="55"/>
      <c r="Y220" s="55"/>
      <c r="Z220" s="55">
        <v>44434</v>
      </c>
      <c r="AA220" s="55">
        <v>44428</v>
      </c>
      <c r="AB220" s="55">
        <v>44428</v>
      </c>
      <c r="AC220" s="55">
        <v>44428</v>
      </c>
      <c r="AD220" s="55"/>
      <c r="AE220" s="55"/>
      <c r="AF220" s="55"/>
      <c r="AG220" s="55"/>
      <c r="AH220" s="55">
        <v>44442</v>
      </c>
      <c r="AI220" s="55">
        <v>44434</v>
      </c>
      <c r="AJ220" s="55">
        <v>44434</v>
      </c>
      <c r="AK220" s="55"/>
      <c r="AL220" s="55"/>
      <c r="AM220" s="55">
        <v>44428</v>
      </c>
      <c r="AN220" s="55">
        <v>44428</v>
      </c>
      <c r="AO220" s="55"/>
      <c r="AP220" s="55"/>
      <c r="AQ220" s="55"/>
      <c r="AR220" s="55"/>
      <c r="AS220" s="55"/>
      <c r="AT220" s="55"/>
      <c r="AU220" s="55">
        <v>44442</v>
      </c>
      <c r="AV220" s="55"/>
      <c r="AW220" s="55">
        <v>44442</v>
      </c>
      <c r="AX220" s="55"/>
      <c r="AY220" s="55"/>
      <c r="AZ220" s="55"/>
      <c r="BA220" s="55">
        <v>44428</v>
      </c>
      <c r="BB220" s="55">
        <v>44428</v>
      </c>
      <c r="BC220" s="55"/>
      <c r="BD220" s="55"/>
      <c r="BE220" s="55"/>
      <c r="BF220" s="55"/>
      <c r="BG220" s="55"/>
      <c r="BH220" s="55"/>
      <c r="BI220" s="55"/>
      <c r="BJ220" s="55"/>
    </row>
    <row r="221" spans="1:62" x14ac:dyDescent="0.4">
      <c r="A221" s="5">
        <f t="shared" si="4"/>
        <v>23</v>
      </c>
      <c r="B221" s="3" t="s">
        <v>220</v>
      </c>
      <c r="C221" s="55">
        <v>44504</v>
      </c>
      <c r="D221" s="55">
        <v>44504</v>
      </c>
      <c r="E221" s="55">
        <v>44504</v>
      </c>
      <c r="F221" s="55">
        <v>44504</v>
      </c>
      <c r="G221" s="55">
        <v>44498</v>
      </c>
      <c r="H221" s="55">
        <v>44477</v>
      </c>
      <c r="I221" s="55">
        <v>44504</v>
      </c>
      <c r="J221" s="55">
        <v>44495</v>
      </c>
      <c r="K221" s="55">
        <v>44504</v>
      </c>
      <c r="L221" s="55">
        <v>44504</v>
      </c>
      <c r="M221" s="55">
        <v>44504</v>
      </c>
      <c r="N221" s="55">
        <v>44504</v>
      </c>
      <c r="O221" s="55"/>
      <c r="P221" s="55"/>
      <c r="Q221" s="55"/>
      <c r="R221" s="55"/>
      <c r="S221" s="55">
        <v>44504</v>
      </c>
      <c r="T221" s="55">
        <v>44504</v>
      </c>
      <c r="U221" s="55"/>
      <c r="V221" s="55">
        <v>44504</v>
      </c>
      <c r="W221" s="55"/>
      <c r="X221" s="55"/>
      <c r="Y221" s="55"/>
      <c r="Z221" s="55"/>
      <c r="AA221" s="55"/>
      <c r="AB221" s="55">
        <v>44504</v>
      </c>
      <c r="AC221" s="55">
        <v>44488</v>
      </c>
      <c r="AD221" s="55">
        <v>44503</v>
      </c>
      <c r="AE221" s="55">
        <v>44490</v>
      </c>
      <c r="AF221" s="55"/>
      <c r="AG221" s="55"/>
      <c r="AH221" s="55"/>
      <c r="AI221" s="55">
        <v>44504</v>
      </c>
      <c r="AJ221" s="55">
        <v>44504</v>
      </c>
      <c r="AK221" s="55"/>
      <c r="AL221" s="55"/>
      <c r="AM221" s="55"/>
      <c r="AN221" s="55"/>
      <c r="AO221" s="55"/>
      <c r="AP221" s="55"/>
      <c r="AQ221" s="55"/>
      <c r="AR221" s="55"/>
      <c r="AS221" s="55"/>
      <c r="AT221" s="55"/>
      <c r="AU221" s="55"/>
      <c r="AV221" s="55"/>
      <c r="AW221" s="55"/>
      <c r="AX221" s="55"/>
      <c r="AY221" s="55"/>
      <c r="AZ221" s="55"/>
      <c r="BA221" s="55"/>
      <c r="BB221" s="55">
        <v>44504</v>
      </c>
      <c r="BC221" s="55"/>
      <c r="BD221" s="55"/>
      <c r="BE221" s="55"/>
      <c r="BF221" s="55"/>
      <c r="BG221" s="55"/>
      <c r="BH221" s="55">
        <v>44504</v>
      </c>
      <c r="BI221" s="55"/>
      <c r="BJ221" s="55"/>
    </row>
    <row r="222" spans="1:62" x14ac:dyDescent="0.4">
      <c r="A222" s="5">
        <f t="shared" si="4"/>
        <v>29</v>
      </c>
      <c r="B222" s="3" t="s">
        <v>221</v>
      </c>
      <c r="C222" s="55">
        <v>44498</v>
      </c>
      <c r="D222" s="55">
        <v>44498</v>
      </c>
      <c r="E222" s="55">
        <v>44498</v>
      </c>
      <c r="F222" s="55">
        <v>44498</v>
      </c>
      <c r="G222" s="55">
        <v>44498</v>
      </c>
      <c r="H222" s="55">
        <v>44498</v>
      </c>
      <c r="I222" s="55">
        <v>44498</v>
      </c>
      <c r="J222" s="55">
        <v>44498</v>
      </c>
      <c r="K222" s="55">
        <v>44498</v>
      </c>
      <c r="L222" s="55">
        <v>44498</v>
      </c>
      <c r="M222" s="55">
        <v>44498</v>
      </c>
      <c r="N222" s="55">
        <v>44498</v>
      </c>
      <c r="O222" s="55"/>
      <c r="P222" s="56">
        <v>44035</v>
      </c>
      <c r="Q222" s="55"/>
      <c r="R222" s="55"/>
      <c r="S222" s="55">
        <v>44498</v>
      </c>
      <c r="T222" s="55">
        <v>44498</v>
      </c>
      <c r="U222" s="55">
        <v>44498</v>
      </c>
      <c r="V222" s="55">
        <v>44498</v>
      </c>
      <c r="W222" s="55"/>
      <c r="X222" s="55"/>
      <c r="Y222" s="55"/>
      <c r="Z222" s="55"/>
      <c r="AA222" s="55">
        <v>44498</v>
      </c>
      <c r="AB222" s="55">
        <v>44498</v>
      </c>
      <c r="AC222" s="55"/>
      <c r="AD222" s="55"/>
      <c r="AE222" s="55"/>
      <c r="AF222" s="55"/>
      <c r="AG222" s="55"/>
      <c r="AH222" s="55">
        <v>44498</v>
      </c>
      <c r="AI222" s="55"/>
      <c r="AJ222" s="55">
        <v>44498</v>
      </c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>
        <v>44498</v>
      </c>
      <c r="AV222" s="55"/>
      <c r="AW222" s="55">
        <v>44498</v>
      </c>
      <c r="AX222" s="55"/>
      <c r="AY222" s="55"/>
      <c r="AZ222" s="55"/>
      <c r="BA222" s="55">
        <v>44498</v>
      </c>
      <c r="BB222" s="55">
        <v>44498</v>
      </c>
      <c r="BC222" s="55"/>
      <c r="BD222" s="55">
        <v>44498</v>
      </c>
      <c r="BE222" s="55">
        <v>44498</v>
      </c>
      <c r="BF222" s="55"/>
      <c r="BG222" s="56">
        <v>44035</v>
      </c>
      <c r="BH222" s="55">
        <v>44498</v>
      </c>
      <c r="BI222" s="55"/>
      <c r="BJ222" s="55"/>
    </row>
    <row r="223" spans="1:62" x14ac:dyDescent="0.4">
      <c r="A223" s="5">
        <f t="shared" si="4"/>
        <v>31</v>
      </c>
      <c r="B223" s="3" t="s">
        <v>213</v>
      </c>
      <c r="C223" s="55">
        <v>44498</v>
      </c>
      <c r="D223" s="55">
        <v>44498</v>
      </c>
      <c r="E223" s="55">
        <v>44498</v>
      </c>
      <c r="F223" s="55"/>
      <c r="G223" s="55">
        <v>44494</v>
      </c>
      <c r="H223" s="55">
        <v>44496</v>
      </c>
      <c r="I223" s="55">
        <v>44490</v>
      </c>
      <c r="J223" s="55">
        <v>44494</v>
      </c>
      <c r="K223" s="55">
        <v>44496</v>
      </c>
      <c r="L223" s="55"/>
      <c r="M223" s="56">
        <v>44202</v>
      </c>
      <c r="N223" s="55">
        <v>44491</v>
      </c>
      <c r="O223" s="55"/>
      <c r="P223" s="55">
        <v>44498</v>
      </c>
      <c r="Q223" s="55">
        <v>44498</v>
      </c>
      <c r="R223" s="55"/>
      <c r="S223" s="55">
        <v>44202</v>
      </c>
      <c r="T223" s="55">
        <v>44490</v>
      </c>
      <c r="U223" s="55">
        <v>44495</v>
      </c>
      <c r="V223" s="55">
        <v>44482</v>
      </c>
      <c r="W223" s="55"/>
      <c r="X223" s="55"/>
      <c r="Y223" s="55"/>
      <c r="Z223" s="55">
        <v>44498</v>
      </c>
      <c r="AA223" s="55">
        <v>44483</v>
      </c>
      <c r="AB223" s="55">
        <v>44481</v>
      </c>
      <c r="AC223" s="55">
        <v>44498</v>
      </c>
      <c r="AD223" s="55"/>
      <c r="AE223" s="55">
        <v>44498</v>
      </c>
      <c r="AF223" s="55"/>
      <c r="AG223" s="55"/>
      <c r="AH223" s="55">
        <v>44498</v>
      </c>
      <c r="AI223" s="55">
        <v>44483</v>
      </c>
      <c r="AJ223" s="55">
        <v>44483</v>
      </c>
      <c r="AK223" s="55">
        <v>44498</v>
      </c>
      <c r="AL223" s="55"/>
      <c r="AM223" s="55"/>
      <c r="AN223" s="55"/>
      <c r="AO223" s="55"/>
      <c r="AP223" s="55"/>
      <c r="AQ223" s="55"/>
      <c r="AR223" s="55"/>
      <c r="AS223" s="55"/>
      <c r="AT223" s="55"/>
      <c r="AU223" s="55">
        <v>44498</v>
      </c>
      <c r="AV223" s="55"/>
      <c r="AW223" s="55">
        <v>44498</v>
      </c>
      <c r="AX223" s="55">
        <v>44496</v>
      </c>
      <c r="AY223" s="55">
        <v>44497</v>
      </c>
      <c r="AZ223" s="55"/>
      <c r="BA223" s="55"/>
      <c r="BB223" s="56">
        <v>44202</v>
      </c>
      <c r="BC223" s="55">
        <v>44496</v>
      </c>
      <c r="BD223" s="55"/>
      <c r="BE223" s="55"/>
      <c r="BF223" s="55"/>
      <c r="BG223" s="55"/>
      <c r="BH223" s="55"/>
      <c r="BI223" s="55"/>
      <c r="BJ223" s="55"/>
    </row>
    <row r="224" spans="1:62" x14ac:dyDescent="0.4">
      <c r="A224" s="5">
        <f t="shared" si="4"/>
        <v>28</v>
      </c>
      <c r="B224" s="3" t="s">
        <v>212</v>
      </c>
      <c r="C224" s="55">
        <v>44503</v>
      </c>
      <c r="D224" s="55">
        <v>44456</v>
      </c>
      <c r="E224" s="55">
        <v>44440</v>
      </c>
      <c r="F224" s="55">
        <v>44457</v>
      </c>
      <c r="G224" s="55"/>
      <c r="H224" s="55">
        <v>44498</v>
      </c>
      <c r="I224" s="55">
        <v>44397</v>
      </c>
      <c r="J224" s="55">
        <v>44414</v>
      </c>
      <c r="K224" s="55">
        <v>44454</v>
      </c>
      <c r="L224" s="55"/>
      <c r="M224" s="55">
        <v>44417</v>
      </c>
      <c r="N224" s="55">
        <v>44457</v>
      </c>
      <c r="O224" s="55">
        <v>44383</v>
      </c>
      <c r="P224" s="55">
        <v>44462</v>
      </c>
      <c r="Q224" s="55"/>
      <c r="R224" s="55">
        <v>44462</v>
      </c>
      <c r="S224" s="55">
        <v>44456</v>
      </c>
      <c r="T224" s="55">
        <v>44454</v>
      </c>
      <c r="U224" s="55">
        <v>44462</v>
      </c>
      <c r="V224" s="55"/>
      <c r="W224" s="55"/>
      <c r="X224" s="55"/>
      <c r="Y224" s="55">
        <v>44454</v>
      </c>
      <c r="Z224" s="55">
        <v>44462</v>
      </c>
      <c r="AA224" s="55"/>
      <c r="AB224" s="55">
        <v>44502</v>
      </c>
      <c r="AC224" s="55">
        <v>44456</v>
      </c>
      <c r="AD224" s="55"/>
      <c r="AE224" s="55"/>
      <c r="AF224" s="55"/>
      <c r="AG224" s="55"/>
      <c r="AH224" s="55">
        <v>44503</v>
      </c>
      <c r="AI224" s="55"/>
      <c r="AJ224" s="55">
        <v>44286</v>
      </c>
      <c r="AK224" s="55"/>
      <c r="AL224" s="55"/>
      <c r="AM224" s="55"/>
      <c r="AN224" s="55"/>
      <c r="AO224" s="55"/>
      <c r="AP224" s="55"/>
      <c r="AQ224" s="55">
        <v>44390</v>
      </c>
      <c r="AR224" s="55">
        <v>44504</v>
      </c>
      <c r="AS224" s="55"/>
      <c r="AT224" s="55"/>
      <c r="AU224" s="55">
        <v>44456</v>
      </c>
      <c r="AV224" s="55"/>
      <c r="AW224" s="55">
        <v>44498</v>
      </c>
      <c r="AX224" s="55"/>
      <c r="AY224" s="55"/>
      <c r="AZ224" s="55"/>
      <c r="BA224" s="55"/>
      <c r="BB224" s="55"/>
      <c r="BC224" s="55"/>
      <c r="BD224" s="55"/>
      <c r="BE224" s="55"/>
      <c r="BF224" s="55"/>
      <c r="BG224" s="55">
        <v>44503</v>
      </c>
      <c r="BH224" s="55">
        <v>44462</v>
      </c>
      <c r="BI224" s="55"/>
      <c r="BJ224" s="55"/>
    </row>
    <row r="225" spans="1:62" x14ac:dyDescent="0.4">
      <c r="A225" s="5">
        <f t="shared" si="4"/>
        <v>28</v>
      </c>
      <c r="B225" s="3" t="s">
        <v>222</v>
      </c>
      <c r="C225" s="55">
        <v>44476</v>
      </c>
      <c r="D225" s="55">
        <v>44468</v>
      </c>
      <c r="E225" s="55">
        <v>44475</v>
      </c>
      <c r="F225" s="55">
        <v>44490</v>
      </c>
      <c r="G225" s="55">
        <v>44490</v>
      </c>
      <c r="H225" s="55"/>
      <c r="I225" s="55"/>
      <c r="J225" s="55">
        <v>44475</v>
      </c>
      <c r="K225" s="55">
        <v>44475</v>
      </c>
      <c r="L225" s="55">
        <v>44329</v>
      </c>
      <c r="M225" s="55">
        <v>44477</v>
      </c>
      <c r="N225" s="55">
        <v>44468</v>
      </c>
      <c r="O225" s="55">
        <v>44486</v>
      </c>
      <c r="P225" s="55">
        <v>44330</v>
      </c>
      <c r="Q225" s="55">
        <v>44486</v>
      </c>
      <c r="R225" s="55"/>
      <c r="S225" s="55">
        <v>44468</v>
      </c>
      <c r="T225" s="55">
        <v>44486</v>
      </c>
      <c r="U225" s="55">
        <v>44468</v>
      </c>
      <c r="V225" s="55"/>
      <c r="W225" s="55"/>
      <c r="X225" s="55"/>
      <c r="Y225" s="55"/>
      <c r="Z225" s="55"/>
      <c r="AA225" s="55">
        <v>44486</v>
      </c>
      <c r="AB225" s="55">
        <v>44486</v>
      </c>
      <c r="AC225" s="55">
        <v>44468</v>
      </c>
      <c r="AD225" s="55">
        <v>44486</v>
      </c>
      <c r="AE225" s="55"/>
      <c r="AF225" s="55"/>
      <c r="AG225" s="55"/>
      <c r="AH225" s="55"/>
      <c r="AI225" s="55"/>
      <c r="AJ225" s="55">
        <v>44292</v>
      </c>
      <c r="AK225" s="55"/>
      <c r="AL225" s="55"/>
      <c r="AM225" s="55">
        <v>44329</v>
      </c>
      <c r="AN225" s="55"/>
      <c r="AO225" s="55"/>
      <c r="AP225" s="55">
        <v>44502</v>
      </c>
      <c r="AQ225" s="55"/>
      <c r="AR225" s="55"/>
      <c r="AS225" s="55"/>
      <c r="AT225" s="55"/>
      <c r="AU225" s="55">
        <v>44475</v>
      </c>
      <c r="AV225" s="55"/>
      <c r="AW225" s="55">
        <v>44468</v>
      </c>
      <c r="AX225" s="55"/>
      <c r="AY225" s="55"/>
      <c r="AZ225" s="55"/>
      <c r="BA225" s="55">
        <v>44475</v>
      </c>
      <c r="BB225" s="55">
        <v>44477</v>
      </c>
      <c r="BC225" s="55"/>
      <c r="BD225" s="55"/>
      <c r="BE225" s="55"/>
      <c r="BF225" s="55"/>
      <c r="BG225" s="55">
        <v>44475</v>
      </c>
      <c r="BH225" s="55"/>
      <c r="BI225" s="55"/>
      <c r="BJ225" s="55"/>
    </row>
    <row r="226" spans="1:62" x14ac:dyDescent="0.4">
      <c r="A226" s="5">
        <f t="shared" si="4"/>
        <v>33</v>
      </c>
      <c r="B226" s="3" t="s">
        <v>223</v>
      </c>
      <c r="C226" s="55">
        <v>44498</v>
      </c>
      <c r="D226" s="55">
        <v>44500</v>
      </c>
      <c r="E226" s="55">
        <v>44498</v>
      </c>
      <c r="F226" s="55">
        <v>44495</v>
      </c>
      <c r="G226" s="56">
        <v>43742</v>
      </c>
      <c r="H226" s="55"/>
      <c r="I226" s="55">
        <v>44336</v>
      </c>
      <c r="J226" s="55">
        <v>44500</v>
      </c>
      <c r="K226" s="55">
        <v>44496</v>
      </c>
      <c r="L226" s="55">
        <v>44330</v>
      </c>
      <c r="M226" s="55">
        <v>44497</v>
      </c>
      <c r="N226" s="55">
        <v>44330</v>
      </c>
      <c r="O226" s="55">
        <v>44336</v>
      </c>
      <c r="P226" s="55">
        <v>44336</v>
      </c>
      <c r="Q226" s="55">
        <v>44330</v>
      </c>
      <c r="R226" s="55"/>
      <c r="S226" s="55">
        <v>44330</v>
      </c>
      <c r="T226" s="55">
        <v>44330</v>
      </c>
      <c r="U226" s="55">
        <v>44500</v>
      </c>
      <c r="V226" s="55">
        <v>44336</v>
      </c>
      <c r="W226" s="55"/>
      <c r="X226" s="55"/>
      <c r="Y226" s="55"/>
      <c r="Z226" s="55"/>
      <c r="AA226" s="55">
        <v>44336</v>
      </c>
      <c r="AB226" s="55">
        <v>44336</v>
      </c>
      <c r="AC226" s="55">
        <v>44330</v>
      </c>
      <c r="AD226" s="55">
        <v>44398</v>
      </c>
      <c r="AE226" s="55">
        <v>44336</v>
      </c>
      <c r="AF226" s="55"/>
      <c r="AG226" s="55"/>
      <c r="AH226" s="55">
        <v>44498</v>
      </c>
      <c r="AI226" s="55">
        <v>44336</v>
      </c>
      <c r="AJ226" s="55">
        <v>44336</v>
      </c>
      <c r="AK226" s="55"/>
      <c r="AL226" s="55"/>
      <c r="AM226" s="55"/>
      <c r="AN226" s="55"/>
      <c r="AO226" s="55"/>
      <c r="AP226" s="55"/>
      <c r="AQ226" s="55">
        <v>44336</v>
      </c>
      <c r="AR226" s="55">
        <v>44498</v>
      </c>
      <c r="AS226" s="55"/>
      <c r="AT226" s="55"/>
      <c r="AU226" s="55">
        <v>44498</v>
      </c>
      <c r="AV226" s="55"/>
      <c r="AW226" s="55">
        <v>44330</v>
      </c>
      <c r="AX226" s="55"/>
      <c r="AY226" s="55">
        <v>44498</v>
      </c>
      <c r="AZ226" s="55"/>
      <c r="BA226" s="55"/>
      <c r="BB226" s="55">
        <v>44498</v>
      </c>
      <c r="BC226" s="55"/>
      <c r="BD226" s="55"/>
      <c r="BE226" s="55"/>
      <c r="BF226" s="55"/>
      <c r="BG226" s="55">
        <v>44498</v>
      </c>
      <c r="BH226" s="55"/>
      <c r="BI226" s="55"/>
      <c r="BJ226" s="55"/>
    </row>
    <row r="227" spans="1:62" x14ac:dyDescent="0.4">
      <c r="A227" s="5">
        <f t="shared" si="4"/>
        <v>17</v>
      </c>
      <c r="B227" s="3" t="s">
        <v>215</v>
      </c>
      <c r="C227" s="55">
        <v>44469</v>
      </c>
      <c r="D227" s="55">
        <v>44469</v>
      </c>
      <c r="E227" s="55">
        <v>44469</v>
      </c>
      <c r="F227" s="55">
        <v>44469</v>
      </c>
      <c r="G227" s="55">
        <v>44469</v>
      </c>
      <c r="H227" s="55"/>
      <c r="I227" s="55"/>
      <c r="J227" s="55"/>
      <c r="K227" s="55"/>
      <c r="L227" s="55">
        <v>44469</v>
      </c>
      <c r="M227" s="55">
        <v>44469</v>
      </c>
      <c r="N227" s="55">
        <v>44469</v>
      </c>
      <c r="O227" s="55"/>
      <c r="P227" s="55"/>
      <c r="Q227" s="55"/>
      <c r="R227" s="55"/>
      <c r="S227" s="55">
        <v>44469</v>
      </c>
      <c r="T227" s="55"/>
      <c r="U227" s="55">
        <v>44469</v>
      </c>
      <c r="V227" s="55">
        <v>44469</v>
      </c>
      <c r="W227" s="55"/>
      <c r="X227" s="55"/>
      <c r="Y227" s="55"/>
      <c r="Z227" s="55"/>
      <c r="AA227" s="55">
        <v>44469</v>
      </c>
      <c r="AB227" s="55">
        <v>44469</v>
      </c>
      <c r="AC227" s="55"/>
      <c r="AD227" s="55"/>
      <c r="AE227" s="55"/>
      <c r="AF227" s="55"/>
      <c r="AG227" s="55"/>
      <c r="AH227" s="55">
        <v>44469</v>
      </c>
      <c r="AI227" s="55"/>
      <c r="AJ227" s="55">
        <v>44469</v>
      </c>
      <c r="AK227" s="55"/>
      <c r="AL227" s="55"/>
      <c r="AM227" s="55"/>
      <c r="AN227" s="55"/>
      <c r="AO227" s="55"/>
      <c r="AP227" s="55"/>
      <c r="AQ227" s="55"/>
      <c r="AR227" s="55"/>
      <c r="AS227" s="55"/>
      <c r="AT227" s="55"/>
      <c r="AU227" s="55">
        <v>44469</v>
      </c>
      <c r="AV227" s="55"/>
      <c r="AW227" s="55">
        <v>44469</v>
      </c>
      <c r="AX227" s="55"/>
      <c r="AY227" s="55"/>
      <c r="AZ227" s="55"/>
      <c r="BA227" s="55"/>
      <c r="BB227" s="55"/>
      <c r="BC227" s="55"/>
      <c r="BD227" s="55"/>
      <c r="BE227" s="55"/>
      <c r="BF227" s="55"/>
      <c r="BG227" s="55"/>
      <c r="BH227" s="55"/>
      <c r="BI227" s="55"/>
      <c r="BJ227" s="55"/>
    </row>
    <row r="228" spans="1:62" x14ac:dyDescent="0.4">
      <c r="A228" s="5">
        <f t="shared" si="4"/>
        <v>13</v>
      </c>
      <c r="B228" s="3" t="s">
        <v>224</v>
      </c>
      <c r="C228" s="55"/>
      <c r="D228" s="55"/>
      <c r="E228" s="55">
        <v>44497</v>
      </c>
      <c r="F228" s="55"/>
      <c r="G228" s="55"/>
      <c r="H228" s="55"/>
      <c r="I228" s="55">
        <v>44497</v>
      </c>
      <c r="J228" s="55">
        <v>44497</v>
      </c>
      <c r="K228" s="55">
        <v>44496</v>
      </c>
      <c r="L228" s="55">
        <v>44497</v>
      </c>
      <c r="M228" s="55"/>
      <c r="N228" s="55"/>
      <c r="O228" s="55"/>
      <c r="P228" s="55"/>
      <c r="Q228" s="55"/>
      <c r="R228" s="55"/>
      <c r="S228" s="55">
        <v>44497</v>
      </c>
      <c r="T228" s="55">
        <v>44497</v>
      </c>
      <c r="U228" s="55"/>
      <c r="V228" s="55">
        <v>44497</v>
      </c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  <c r="AJ228" s="55"/>
      <c r="AK228" s="55">
        <v>44496</v>
      </c>
      <c r="AL228" s="55"/>
      <c r="AM228" s="55"/>
      <c r="AN228" s="55"/>
      <c r="AO228" s="55"/>
      <c r="AP228" s="55"/>
      <c r="AQ228" s="55"/>
      <c r="AR228" s="55"/>
      <c r="AS228" s="55"/>
      <c r="AT228" s="55"/>
      <c r="AU228" s="55"/>
      <c r="AV228" s="55"/>
      <c r="AW228" s="55">
        <v>44497</v>
      </c>
      <c r="AX228" s="55"/>
      <c r="AY228" s="55"/>
      <c r="AZ228" s="55"/>
      <c r="BA228" s="55"/>
      <c r="BB228" s="55">
        <v>44497</v>
      </c>
      <c r="BC228" s="55"/>
      <c r="BD228" s="55"/>
      <c r="BE228" s="55"/>
      <c r="BF228" s="55"/>
      <c r="BG228" s="55"/>
      <c r="BH228" s="55"/>
      <c r="BI228" s="55">
        <v>44497</v>
      </c>
      <c r="BJ228" s="55">
        <v>44497</v>
      </c>
    </row>
    <row r="229" spans="1:62" x14ac:dyDescent="0.4">
      <c r="A229" s="5">
        <f t="shared" si="4"/>
        <v>44</v>
      </c>
      <c r="B229" s="3" t="s">
        <v>225</v>
      </c>
      <c r="C229" s="55">
        <v>44489</v>
      </c>
      <c r="D229" s="55">
        <v>44453</v>
      </c>
      <c r="E229" s="55">
        <v>44489</v>
      </c>
      <c r="F229" s="55">
        <v>44488</v>
      </c>
      <c r="G229" s="55">
        <v>44488</v>
      </c>
      <c r="H229" s="55">
        <v>44490</v>
      </c>
      <c r="I229" s="55">
        <v>44453</v>
      </c>
      <c r="J229" s="55">
        <v>44487</v>
      </c>
      <c r="K229" s="55"/>
      <c r="L229" s="55">
        <v>44452</v>
      </c>
      <c r="M229" s="55">
        <v>44487</v>
      </c>
      <c r="N229" s="55">
        <v>44489</v>
      </c>
      <c r="O229" s="55">
        <v>44488</v>
      </c>
      <c r="P229" s="55">
        <v>44490</v>
      </c>
      <c r="Q229" s="55">
        <v>44487</v>
      </c>
      <c r="R229" s="55">
        <v>44455</v>
      </c>
      <c r="S229" s="55">
        <v>44488</v>
      </c>
      <c r="T229" s="55">
        <v>44453</v>
      </c>
      <c r="U229" s="55">
        <v>44488</v>
      </c>
      <c r="V229" s="55">
        <v>44453</v>
      </c>
      <c r="W229" s="55"/>
      <c r="X229" s="55">
        <v>44484</v>
      </c>
      <c r="Y229" s="55"/>
      <c r="Z229" s="55">
        <v>44484</v>
      </c>
      <c r="AA229" s="55">
        <v>44489</v>
      </c>
      <c r="AB229" s="55">
        <v>44484</v>
      </c>
      <c r="AC229" s="55">
        <v>44455</v>
      </c>
      <c r="AD229" s="55">
        <v>44488</v>
      </c>
      <c r="AE229" s="55">
        <v>44485</v>
      </c>
      <c r="AF229" s="55"/>
      <c r="AG229" s="55">
        <v>44489</v>
      </c>
      <c r="AH229" s="55">
        <v>44491</v>
      </c>
      <c r="AI229" s="55">
        <v>44455</v>
      </c>
      <c r="AJ229" s="55">
        <v>44484</v>
      </c>
      <c r="AK229" s="55">
        <v>44488</v>
      </c>
      <c r="AL229" s="55"/>
      <c r="AM229" s="55">
        <v>44452</v>
      </c>
      <c r="AN229" s="55"/>
      <c r="AO229" s="55">
        <v>44438</v>
      </c>
      <c r="AP229" s="55"/>
      <c r="AQ229" s="55"/>
      <c r="AR229" s="55">
        <v>44496</v>
      </c>
      <c r="AS229" s="55"/>
      <c r="AT229" s="55"/>
      <c r="AU229" s="55">
        <v>44495</v>
      </c>
      <c r="AV229" s="55"/>
      <c r="AW229" s="55">
        <v>44489</v>
      </c>
      <c r="AX229" s="55">
        <v>44445</v>
      </c>
      <c r="AY229" s="55">
        <v>44489</v>
      </c>
      <c r="AZ229" s="55"/>
      <c r="BA229" s="55">
        <v>44489</v>
      </c>
      <c r="BB229" s="55">
        <v>44488</v>
      </c>
      <c r="BC229" s="55">
        <v>44488</v>
      </c>
      <c r="BD229" s="55">
        <v>44488</v>
      </c>
      <c r="BE229" s="55">
        <v>44484</v>
      </c>
      <c r="BF229" s="55"/>
      <c r="BG229" s="55"/>
      <c r="BH229" s="55">
        <v>44487</v>
      </c>
      <c r="BI229" s="55"/>
      <c r="BJ229" s="55"/>
    </row>
    <row r="230" spans="1:62" x14ac:dyDescent="0.4">
      <c r="A230" s="5">
        <f t="shared" si="4"/>
        <v>36</v>
      </c>
      <c r="B230" s="3" t="s">
        <v>226</v>
      </c>
      <c r="C230" s="55">
        <v>44404</v>
      </c>
      <c r="D230" s="55">
        <v>44405</v>
      </c>
      <c r="E230" s="55">
        <v>44405</v>
      </c>
      <c r="F230" s="55">
        <v>44474</v>
      </c>
      <c r="G230" s="55">
        <v>44498</v>
      </c>
      <c r="H230" s="55">
        <v>44405</v>
      </c>
      <c r="I230" s="55">
        <v>44406</v>
      </c>
      <c r="J230" s="55">
        <v>44440</v>
      </c>
      <c r="K230" s="55"/>
      <c r="L230" s="55">
        <v>44365</v>
      </c>
      <c r="M230" s="55">
        <v>44498</v>
      </c>
      <c r="N230" s="55">
        <v>44188</v>
      </c>
      <c r="O230" s="55">
        <v>44365</v>
      </c>
      <c r="P230" s="55">
        <v>44187</v>
      </c>
      <c r="Q230" s="55">
        <v>44181</v>
      </c>
      <c r="R230" s="55">
        <v>44378</v>
      </c>
      <c r="S230" s="55">
        <v>44365</v>
      </c>
      <c r="T230" s="55">
        <v>44182</v>
      </c>
      <c r="U230" s="55">
        <v>44379</v>
      </c>
      <c r="V230" s="55">
        <v>44476</v>
      </c>
      <c r="W230" s="55"/>
      <c r="X230" s="55"/>
      <c r="Y230" s="55"/>
      <c r="Z230" s="55">
        <v>44379</v>
      </c>
      <c r="AA230" s="55">
        <v>44349</v>
      </c>
      <c r="AB230" s="55">
        <v>44349</v>
      </c>
      <c r="AC230" s="55">
        <v>44184</v>
      </c>
      <c r="AD230" s="55"/>
      <c r="AE230" s="55"/>
      <c r="AF230" s="55"/>
      <c r="AG230" s="55">
        <v>44364</v>
      </c>
      <c r="AH230" s="55">
        <v>44378</v>
      </c>
      <c r="AI230" s="55">
        <v>44176</v>
      </c>
      <c r="AJ230" s="55">
        <v>44176</v>
      </c>
      <c r="AK230" s="55"/>
      <c r="AL230" s="55"/>
      <c r="AM230" s="55"/>
      <c r="AN230" s="55"/>
      <c r="AO230" s="55"/>
      <c r="AP230" s="55"/>
      <c r="AQ230" s="55"/>
      <c r="AR230" s="55">
        <v>44433</v>
      </c>
      <c r="AS230" s="55"/>
      <c r="AT230" s="55"/>
      <c r="AU230" s="55">
        <v>44428</v>
      </c>
      <c r="AV230" s="55"/>
      <c r="AW230" s="55">
        <v>44495</v>
      </c>
      <c r="AX230" s="55">
        <v>44181</v>
      </c>
      <c r="AY230" s="55">
        <v>44407</v>
      </c>
      <c r="AZ230" s="55"/>
      <c r="BA230" s="55">
        <v>44499</v>
      </c>
      <c r="BB230" s="55">
        <v>44364</v>
      </c>
      <c r="BC230" s="55">
        <v>44364</v>
      </c>
      <c r="BD230" s="55"/>
      <c r="BE230" s="55">
        <v>44364</v>
      </c>
      <c r="BF230" s="55"/>
      <c r="BG230" s="55"/>
      <c r="BH230" s="55"/>
      <c r="BI230" s="55"/>
      <c r="BJ230" s="55"/>
    </row>
    <row r="231" spans="1:62" x14ac:dyDescent="0.4">
      <c r="A231" s="5">
        <f t="shared" si="4"/>
        <v>33</v>
      </c>
      <c r="B231" s="3" t="s">
        <v>227</v>
      </c>
      <c r="C231" s="55">
        <v>44487</v>
      </c>
      <c r="D231" s="55">
        <v>44488</v>
      </c>
      <c r="E231" s="55">
        <v>44477</v>
      </c>
      <c r="F231" s="55">
        <v>44482</v>
      </c>
      <c r="G231" s="55">
        <v>44487</v>
      </c>
      <c r="H231" s="55">
        <v>44476</v>
      </c>
      <c r="I231" s="55">
        <v>44488</v>
      </c>
      <c r="J231" s="55">
        <v>44487</v>
      </c>
      <c r="K231" s="55"/>
      <c r="L231" s="55">
        <v>44488</v>
      </c>
      <c r="M231" s="55">
        <v>44476</v>
      </c>
      <c r="N231" s="55">
        <v>44488</v>
      </c>
      <c r="O231" s="55"/>
      <c r="P231" s="55">
        <v>44488</v>
      </c>
      <c r="Q231" s="55">
        <v>44482</v>
      </c>
      <c r="R231" s="55"/>
      <c r="S231" s="55">
        <v>44477</v>
      </c>
      <c r="T231" s="55"/>
      <c r="U231" s="55">
        <v>44477</v>
      </c>
      <c r="V231" s="55">
        <v>44488</v>
      </c>
      <c r="W231" s="55"/>
      <c r="X231" s="55"/>
      <c r="Y231" s="55"/>
      <c r="Z231" s="55">
        <v>44487</v>
      </c>
      <c r="AA231" s="55">
        <v>44477</v>
      </c>
      <c r="AB231" s="55">
        <v>44476</v>
      </c>
      <c r="AC231" s="55">
        <v>44482</v>
      </c>
      <c r="AD231" s="55">
        <v>44488</v>
      </c>
      <c r="AE231" s="55"/>
      <c r="AF231" s="55"/>
      <c r="AG231" s="55">
        <v>44477</v>
      </c>
      <c r="AH231" s="55">
        <v>44476</v>
      </c>
      <c r="AI231" s="55">
        <v>44487</v>
      </c>
      <c r="AJ231" s="55">
        <v>44487</v>
      </c>
      <c r="AK231" s="55"/>
      <c r="AL231" s="55"/>
      <c r="AM231" s="55"/>
      <c r="AN231" s="55"/>
      <c r="AO231" s="55"/>
      <c r="AP231" s="55"/>
      <c r="AQ231" s="55">
        <v>44488</v>
      </c>
      <c r="AR231" s="55"/>
      <c r="AS231" s="55">
        <v>44475</v>
      </c>
      <c r="AT231" s="55"/>
      <c r="AU231" s="55">
        <v>44476</v>
      </c>
      <c r="AV231" s="55"/>
      <c r="AW231" s="55">
        <v>44476</v>
      </c>
      <c r="AX231" s="55">
        <v>44477</v>
      </c>
      <c r="AY231" s="55">
        <v>44477</v>
      </c>
      <c r="AZ231" s="55"/>
      <c r="BA231" s="55">
        <v>44487</v>
      </c>
      <c r="BB231" s="55">
        <v>44477</v>
      </c>
      <c r="BC231" s="55"/>
      <c r="BD231" s="55"/>
      <c r="BE231" s="55"/>
      <c r="BF231" s="55"/>
      <c r="BG231" s="55"/>
      <c r="BH231" s="55"/>
      <c r="BI231" s="55"/>
      <c r="BJ231" s="55"/>
    </row>
    <row r="232" spans="1:62" x14ac:dyDescent="0.4">
      <c r="A232" s="5">
        <f t="shared" si="4"/>
        <v>33</v>
      </c>
      <c r="B232" s="3" t="s">
        <v>228</v>
      </c>
      <c r="C232" s="55">
        <v>44489</v>
      </c>
      <c r="D232" s="55">
        <v>44483</v>
      </c>
      <c r="E232" s="55">
        <v>44474</v>
      </c>
      <c r="F232" s="55">
        <v>44484</v>
      </c>
      <c r="G232" s="55">
        <v>44484</v>
      </c>
      <c r="H232" s="55">
        <v>44484</v>
      </c>
      <c r="I232" s="55">
        <v>44483</v>
      </c>
      <c r="J232" s="55">
        <v>44483</v>
      </c>
      <c r="K232" s="55">
        <v>44475</v>
      </c>
      <c r="L232" s="55">
        <v>44483</v>
      </c>
      <c r="M232" s="55">
        <v>44484</v>
      </c>
      <c r="N232" s="55">
        <v>44489</v>
      </c>
      <c r="O232" s="55"/>
      <c r="P232" s="55"/>
      <c r="Q232" s="55"/>
      <c r="R232" s="55"/>
      <c r="S232" s="55">
        <v>44484</v>
      </c>
      <c r="T232" s="55">
        <v>44489</v>
      </c>
      <c r="U232" s="55">
        <v>44482</v>
      </c>
      <c r="V232" s="55">
        <v>44484</v>
      </c>
      <c r="W232" s="55"/>
      <c r="X232" s="55"/>
      <c r="Y232" s="55"/>
      <c r="Z232" s="55">
        <v>44484</v>
      </c>
      <c r="AA232" s="55">
        <v>44489</v>
      </c>
      <c r="AB232" s="55">
        <v>44474</v>
      </c>
      <c r="AC232" s="55">
        <v>44483</v>
      </c>
      <c r="AD232" s="55"/>
      <c r="AE232" s="55"/>
      <c r="AF232" s="55"/>
      <c r="AG232" s="55"/>
      <c r="AH232" s="55">
        <v>44489</v>
      </c>
      <c r="AI232" s="55">
        <v>44484</v>
      </c>
      <c r="AJ232" s="55">
        <v>44484</v>
      </c>
      <c r="AK232" s="55"/>
      <c r="AL232" s="55"/>
      <c r="AM232" s="55">
        <v>44483</v>
      </c>
      <c r="AN232" s="55"/>
      <c r="AO232" s="55"/>
      <c r="AP232" s="55"/>
      <c r="AQ232" s="55"/>
      <c r="AR232" s="55">
        <v>44488</v>
      </c>
      <c r="AS232" s="55"/>
      <c r="AT232" s="55"/>
      <c r="AU232" s="55">
        <v>44488</v>
      </c>
      <c r="AV232" s="55"/>
      <c r="AW232" s="55"/>
      <c r="AX232" s="55">
        <v>44476</v>
      </c>
      <c r="AY232" s="55">
        <v>44484</v>
      </c>
      <c r="AZ232" s="55"/>
      <c r="BA232" s="55">
        <v>44474</v>
      </c>
      <c r="BB232" s="55">
        <v>44484</v>
      </c>
      <c r="BC232" s="55"/>
      <c r="BD232" s="55"/>
      <c r="BE232" s="55">
        <v>44484</v>
      </c>
      <c r="BF232" s="55"/>
      <c r="BG232" s="55">
        <v>44489</v>
      </c>
      <c r="BH232" s="55">
        <v>44484</v>
      </c>
      <c r="BI232" s="55"/>
      <c r="BJ232" s="55"/>
    </row>
    <row r="233" spans="1:62" x14ac:dyDescent="0.4">
      <c r="A233" s="5">
        <f t="shared" si="4"/>
        <v>44</v>
      </c>
      <c r="B233" s="3" t="s">
        <v>229</v>
      </c>
      <c r="C233" s="55">
        <v>44490</v>
      </c>
      <c r="D233" s="55">
        <v>44182</v>
      </c>
      <c r="E233" s="55">
        <v>44489</v>
      </c>
      <c r="F233" s="55">
        <v>44490</v>
      </c>
      <c r="G233" s="55">
        <v>44489</v>
      </c>
      <c r="H233" s="55">
        <v>44488</v>
      </c>
      <c r="I233" s="55">
        <v>44490</v>
      </c>
      <c r="J233" s="55">
        <v>44468</v>
      </c>
      <c r="K233" s="55">
        <v>44490</v>
      </c>
      <c r="L233" s="55">
        <v>44483</v>
      </c>
      <c r="M233" s="55">
        <v>44487</v>
      </c>
      <c r="N233" s="55">
        <v>44487</v>
      </c>
      <c r="O233" s="55">
        <v>44487</v>
      </c>
      <c r="P233" s="55">
        <v>44185</v>
      </c>
      <c r="Q233" s="55">
        <v>44487</v>
      </c>
      <c r="R233" s="55">
        <v>44494</v>
      </c>
      <c r="S233" s="55">
        <v>44488</v>
      </c>
      <c r="T233" s="55">
        <v>44488</v>
      </c>
      <c r="U233" s="55">
        <v>44488</v>
      </c>
      <c r="V233" s="55">
        <v>44487</v>
      </c>
      <c r="W233" s="55"/>
      <c r="X233" s="55"/>
      <c r="Y233" s="55"/>
      <c r="Z233" s="55">
        <v>44490</v>
      </c>
      <c r="AA233" s="55">
        <v>44482</v>
      </c>
      <c r="AB233" s="55">
        <v>44482</v>
      </c>
      <c r="AC233" s="55">
        <v>44487</v>
      </c>
      <c r="AD233" s="55">
        <v>44186</v>
      </c>
      <c r="AE233" s="55"/>
      <c r="AF233" s="55"/>
      <c r="AG233" s="55">
        <v>44453</v>
      </c>
      <c r="AH233" s="55">
        <v>44494</v>
      </c>
      <c r="AI233" s="55">
        <v>44490</v>
      </c>
      <c r="AJ233" s="55">
        <v>44490</v>
      </c>
      <c r="AK233" s="55">
        <v>44487</v>
      </c>
      <c r="AL233" s="55"/>
      <c r="AM233" s="55">
        <v>44487</v>
      </c>
      <c r="AN233" s="55"/>
      <c r="AO233" s="55"/>
      <c r="AP233" s="55">
        <v>44488</v>
      </c>
      <c r="AQ233" s="55">
        <v>44502</v>
      </c>
      <c r="AR233" s="55">
        <v>44490</v>
      </c>
      <c r="AS233" s="55">
        <v>44490</v>
      </c>
      <c r="AT233" s="55"/>
      <c r="AU233" s="55">
        <v>44494</v>
      </c>
      <c r="AV233" s="55"/>
      <c r="AW233" s="55">
        <v>44487</v>
      </c>
      <c r="AX233" s="55"/>
      <c r="AY233" s="55">
        <v>44477</v>
      </c>
      <c r="AZ233" s="55">
        <v>44488</v>
      </c>
      <c r="BA233" s="55">
        <v>44490</v>
      </c>
      <c r="BB233" s="55">
        <v>44488</v>
      </c>
      <c r="BC233" s="55">
        <v>44488</v>
      </c>
      <c r="BD233" s="55"/>
      <c r="BE233" s="55">
        <v>44496</v>
      </c>
      <c r="BF233" s="55"/>
      <c r="BG233" s="55"/>
      <c r="BH233" s="55">
        <v>44487</v>
      </c>
      <c r="BI233" s="55"/>
      <c r="BJ233" s="55"/>
    </row>
    <row r="234" spans="1:62" x14ac:dyDescent="0.4">
      <c r="A234" s="5">
        <f t="shared" si="4"/>
        <v>33</v>
      </c>
      <c r="B234" s="3" t="s">
        <v>230</v>
      </c>
      <c r="C234" s="55">
        <v>44502</v>
      </c>
      <c r="D234" s="55">
        <v>44503</v>
      </c>
      <c r="E234" s="55">
        <v>44502</v>
      </c>
      <c r="F234" s="55">
        <v>44499</v>
      </c>
      <c r="G234" s="55">
        <v>44502</v>
      </c>
      <c r="H234" s="55">
        <v>44503</v>
      </c>
      <c r="I234" s="55">
        <v>44503</v>
      </c>
      <c r="J234" s="55">
        <v>44498</v>
      </c>
      <c r="K234" s="55"/>
      <c r="L234" s="55">
        <v>44503</v>
      </c>
      <c r="M234" s="55">
        <v>44503</v>
      </c>
      <c r="N234" s="55">
        <v>44503</v>
      </c>
      <c r="O234" s="55"/>
      <c r="P234" s="56">
        <v>44103</v>
      </c>
      <c r="Q234" s="55"/>
      <c r="R234" s="55"/>
      <c r="S234" s="55">
        <v>44503</v>
      </c>
      <c r="T234" s="55">
        <v>44498</v>
      </c>
      <c r="U234" s="55">
        <v>44498</v>
      </c>
      <c r="V234" s="55">
        <v>44186</v>
      </c>
      <c r="W234" s="55"/>
      <c r="X234" s="55"/>
      <c r="Y234" s="55"/>
      <c r="Z234" s="55">
        <v>44498</v>
      </c>
      <c r="AA234" s="55">
        <v>44498</v>
      </c>
      <c r="AB234" s="55">
        <v>44498</v>
      </c>
      <c r="AC234" s="55">
        <v>44498</v>
      </c>
      <c r="AD234" s="55">
        <v>44469</v>
      </c>
      <c r="AE234" s="55">
        <v>44498</v>
      </c>
      <c r="AF234" s="55"/>
      <c r="AG234" s="55"/>
      <c r="AH234" s="55">
        <v>44503</v>
      </c>
      <c r="AI234" s="55">
        <v>44498</v>
      </c>
      <c r="AJ234" s="55">
        <v>44498</v>
      </c>
      <c r="AK234" s="55"/>
      <c r="AL234" s="55"/>
      <c r="AM234" s="55">
        <v>44503</v>
      </c>
      <c r="AN234" s="55"/>
      <c r="AO234" s="55"/>
      <c r="AP234" s="55"/>
      <c r="AQ234" s="55"/>
      <c r="AR234" s="55">
        <v>44503</v>
      </c>
      <c r="AS234" s="55"/>
      <c r="AT234" s="55"/>
      <c r="AU234" s="55">
        <v>44503</v>
      </c>
      <c r="AV234" s="55"/>
      <c r="AW234" s="55">
        <v>44503</v>
      </c>
      <c r="AX234" s="55"/>
      <c r="AY234" s="55">
        <v>44503</v>
      </c>
      <c r="AZ234" s="55"/>
      <c r="BA234" s="55"/>
      <c r="BB234" s="55">
        <v>44498</v>
      </c>
      <c r="BC234" s="55"/>
      <c r="BD234" s="55"/>
      <c r="BE234" s="55"/>
      <c r="BF234" s="55"/>
      <c r="BG234" s="55">
        <v>44503</v>
      </c>
      <c r="BH234" s="55">
        <v>44498</v>
      </c>
      <c r="BI234" s="55"/>
      <c r="BJ234" s="55"/>
    </row>
    <row r="235" spans="1:62" x14ac:dyDescent="0.4">
      <c r="A235" s="5">
        <f t="shared" si="4"/>
        <v>41</v>
      </c>
      <c r="B235" s="3" t="s">
        <v>231</v>
      </c>
      <c r="C235" s="55">
        <v>44462</v>
      </c>
      <c r="D235" s="55">
        <v>44419</v>
      </c>
      <c r="E235" s="55">
        <v>44494</v>
      </c>
      <c r="F235" s="55">
        <v>44445</v>
      </c>
      <c r="G235" s="55">
        <v>44494</v>
      </c>
      <c r="H235" s="55">
        <v>44392</v>
      </c>
      <c r="I235" s="55">
        <v>44403</v>
      </c>
      <c r="J235" s="55">
        <v>44491</v>
      </c>
      <c r="K235" s="55">
        <v>44470</v>
      </c>
      <c r="L235" s="55">
        <v>44403</v>
      </c>
      <c r="M235" s="55">
        <v>44474</v>
      </c>
      <c r="N235" s="55">
        <v>44404</v>
      </c>
      <c r="O235" s="55"/>
      <c r="P235" s="55">
        <v>44400</v>
      </c>
      <c r="Q235" s="55">
        <v>44420</v>
      </c>
      <c r="R235" s="55"/>
      <c r="S235" s="55">
        <v>44449</v>
      </c>
      <c r="T235" s="55">
        <v>44389</v>
      </c>
      <c r="U235" s="55">
        <v>44452</v>
      </c>
      <c r="V235" s="55">
        <v>44491</v>
      </c>
      <c r="W235" s="55"/>
      <c r="X235" s="55">
        <v>44401</v>
      </c>
      <c r="Y235" s="55">
        <v>44495</v>
      </c>
      <c r="Z235" s="55">
        <v>44452</v>
      </c>
      <c r="AA235" s="55">
        <v>44495</v>
      </c>
      <c r="AB235" s="55">
        <v>44231</v>
      </c>
      <c r="AC235" s="55">
        <v>44445</v>
      </c>
      <c r="AD235" s="55">
        <v>44428</v>
      </c>
      <c r="AE235" s="55">
        <v>44488</v>
      </c>
      <c r="AF235" s="55"/>
      <c r="AG235" s="55">
        <v>44454</v>
      </c>
      <c r="AH235" s="55">
        <v>44445</v>
      </c>
      <c r="AI235" s="55">
        <v>44344</v>
      </c>
      <c r="AJ235" s="55">
        <v>44393</v>
      </c>
      <c r="AK235" s="55"/>
      <c r="AL235" s="55"/>
      <c r="AM235" s="55">
        <v>44403</v>
      </c>
      <c r="AN235" s="55"/>
      <c r="AO235" s="55"/>
      <c r="AP235" s="55"/>
      <c r="AQ235" s="55">
        <v>44476</v>
      </c>
      <c r="AR235" s="55">
        <v>44496</v>
      </c>
      <c r="AS235" s="55"/>
      <c r="AT235" s="55"/>
      <c r="AU235" s="55">
        <v>44463</v>
      </c>
      <c r="AV235" s="55"/>
      <c r="AW235" s="55"/>
      <c r="AX235" s="55">
        <v>44403</v>
      </c>
      <c r="AY235" s="55">
        <v>44494</v>
      </c>
      <c r="AZ235" s="55"/>
      <c r="BA235" s="55">
        <v>44406</v>
      </c>
      <c r="BB235" s="55">
        <v>44354</v>
      </c>
      <c r="BC235" s="55"/>
      <c r="BD235" s="55"/>
      <c r="BE235" s="55">
        <v>44497</v>
      </c>
      <c r="BF235" s="55"/>
      <c r="BG235" s="55">
        <v>44504</v>
      </c>
      <c r="BH235" s="55">
        <v>44497</v>
      </c>
      <c r="BI235" s="55"/>
      <c r="BJ235" s="55"/>
    </row>
    <row r="236" spans="1:62" x14ac:dyDescent="0.4">
      <c r="A236" s="5">
        <f t="shared" si="4"/>
        <v>44</v>
      </c>
      <c r="B236" s="3" t="s">
        <v>232</v>
      </c>
      <c r="C236" s="55">
        <v>44476</v>
      </c>
      <c r="D236" s="55">
        <v>44481</v>
      </c>
      <c r="E236" s="55">
        <v>44481</v>
      </c>
      <c r="F236" s="55">
        <v>44481</v>
      </c>
      <c r="G236" s="55">
        <v>44483</v>
      </c>
      <c r="H236" s="55">
        <v>44481</v>
      </c>
      <c r="I236" s="55">
        <v>44481</v>
      </c>
      <c r="J236" s="55">
        <v>44477</v>
      </c>
      <c r="K236" s="55">
        <v>44476</v>
      </c>
      <c r="L236" s="55">
        <v>44476</v>
      </c>
      <c r="M236" s="55">
        <v>44483</v>
      </c>
      <c r="N236" s="55">
        <v>44476</v>
      </c>
      <c r="O236" s="55">
        <v>44481</v>
      </c>
      <c r="P236" s="55">
        <v>44481</v>
      </c>
      <c r="Q236" s="55">
        <v>44476</v>
      </c>
      <c r="R236" s="55"/>
      <c r="S236" s="55">
        <v>44481</v>
      </c>
      <c r="T236" s="55">
        <v>44476</v>
      </c>
      <c r="U236" s="55">
        <v>44482</v>
      </c>
      <c r="V236" s="55">
        <v>44481</v>
      </c>
      <c r="W236" s="55"/>
      <c r="X236" s="55"/>
      <c r="Y236" s="55"/>
      <c r="Z236" s="55">
        <v>44481</v>
      </c>
      <c r="AA236" s="55">
        <v>44476</v>
      </c>
      <c r="AB236" s="55">
        <v>44476</v>
      </c>
      <c r="AC236" s="55">
        <v>44476</v>
      </c>
      <c r="AD236" s="55">
        <v>44476</v>
      </c>
      <c r="AE236" s="55">
        <v>44476</v>
      </c>
      <c r="AF236" s="55"/>
      <c r="AG236" s="55">
        <v>44481</v>
      </c>
      <c r="AH236" s="55">
        <v>44481</v>
      </c>
      <c r="AI236" s="55">
        <v>44482</v>
      </c>
      <c r="AJ236" s="55">
        <v>44476</v>
      </c>
      <c r="AK236" s="55"/>
      <c r="AL236" s="55">
        <v>44481</v>
      </c>
      <c r="AM236" s="55">
        <v>44481</v>
      </c>
      <c r="AN236" s="55">
        <v>44476</v>
      </c>
      <c r="AO236" s="55"/>
      <c r="AP236" s="55">
        <v>44481</v>
      </c>
      <c r="AQ236" s="55">
        <v>44481</v>
      </c>
      <c r="AR236" s="55"/>
      <c r="AS236" s="55">
        <v>44477</v>
      </c>
      <c r="AT236" s="55">
        <v>44481</v>
      </c>
      <c r="AU236" s="55">
        <v>44481</v>
      </c>
      <c r="AV236" s="55"/>
      <c r="AW236" s="55"/>
      <c r="AX236" s="55">
        <v>44476</v>
      </c>
      <c r="AY236" s="55">
        <v>44481</v>
      </c>
      <c r="AZ236" s="55"/>
      <c r="BA236" s="55">
        <v>44483</v>
      </c>
      <c r="BB236" s="55">
        <v>44482</v>
      </c>
      <c r="BC236" s="55">
        <v>44481</v>
      </c>
      <c r="BD236" s="55"/>
      <c r="BE236" s="55"/>
      <c r="BF236" s="55">
        <v>44476</v>
      </c>
      <c r="BG236" s="55">
        <v>44477</v>
      </c>
      <c r="BH236" s="55"/>
      <c r="BI236" s="55"/>
      <c r="BJ236" s="55"/>
    </row>
    <row r="237" spans="1:62" x14ac:dyDescent="0.4">
      <c r="A237" s="5">
        <f t="shared" si="4"/>
        <v>33</v>
      </c>
      <c r="B237" s="3" t="s">
        <v>233</v>
      </c>
      <c r="C237" s="55">
        <v>44481</v>
      </c>
      <c r="D237" s="55">
        <v>44481</v>
      </c>
      <c r="E237" s="55">
        <v>44353</v>
      </c>
      <c r="F237" s="55">
        <v>44441</v>
      </c>
      <c r="G237" s="55">
        <v>44481</v>
      </c>
      <c r="H237" s="55">
        <v>44481</v>
      </c>
      <c r="I237" s="55">
        <v>44354</v>
      </c>
      <c r="J237" s="55">
        <v>44481</v>
      </c>
      <c r="K237" s="55"/>
      <c r="L237" s="55">
        <v>44174</v>
      </c>
      <c r="M237" s="55">
        <v>44481</v>
      </c>
      <c r="N237" s="55">
        <v>44173</v>
      </c>
      <c r="O237" s="55"/>
      <c r="P237" s="55">
        <v>44183</v>
      </c>
      <c r="Q237" s="55">
        <v>44175</v>
      </c>
      <c r="R237" s="55"/>
      <c r="S237" s="55">
        <v>44173</v>
      </c>
      <c r="T237" s="55">
        <v>44355</v>
      </c>
      <c r="U237" s="55">
        <v>44481</v>
      </c>
      <c r="V237" s="55">
        <v>44481</v>
      </c>
      <c r="W237" s="55"/>
      <c r="X237" s="55"/>
      <c r="Y237" s="55">
        <v>44481</v>
      </c>
      <c r="Z237" s="55">
        <v>44174</v>
      </c>
      <c r="AA237" s="55">
        <v>44174</v>
      </c>
      <c r="AB237" s="55">
        <v>44174</v>
      </c>
      <c r="AC237" s="55">
        <v>44174</v>
      </c>
      <c r="AD237" s="55">
        <v>44173</v>
      </c>
      <c r="AE237" s="55">
        <v>44174</v>
      </c>
      <c r="AF237" s="55"/>
      <c r="AG237" s="55">
        <v>44355</v>
      </c>
      <c r="AH237" s="55"/>
      <c r="AI237" s="55"/>
      <c r="AJ237" s="55">
        <v>44481</v>
      </c>
      <c r="AK237" s="55"/>
      <c r="AL237" s="55"/>
      <c r="AM237" s="55"/>
      <c r="AN237" s="55"/>
      <c r="AO237" s="55"/>
      <c r="AP237" s="55"/>
      <c r="AQ237" s="55"/>
      <c r="AR237" s="55"/>
      <c r="AS237" s="55"/>
      <c r="AT237" s="55"/>
      <c r="AU237" s="55">
        <v>44481</v>
      </c>
      <c r="AV237" s="55"/>
      <c r="AW237" s="55">
        <v>44477</v>
      </c>
      <c r="AX237" s="55">
        <v>44481</v>
      </c>
      <c r="AY237" s="55"/>
      <c r="AZ237" s="55"/>
      <c r="BA237" s="55">
        <v>44355</v>
      </c>
      <c r="BB237" s="55">
        <v>44481</v>
      </c>
      <c r="BC237" s="55"/>
      <c r="BD237" s="55"/>
      <c r="BE237" s="55"/>
      <c r="BF237" s="55">
        <v>44481</v>
      </c>
      <c r="BG237" s="55">
        <v>44481</v>
      </c>
      <c r="BH237" s="55"/>
      <c r="BI237" s="55"/>
      <c r="BJ237" s="55"/>
    </row>
    <row r="238" spans="1:62" x14ac:dyDescent="0.4">
      <c r="A238" s="5">
        <f t="shared" si="4"/>
        <v>21</v>
      </c>
      <c r="B238" s="3" t="s">
        <v>243</v>
      </c>
      <c r="C238" s="56">
        <v>44018</v>
      </c>
      <c r="D238" s="56">
        <v>44018</v>
      </c>
      <c r="E238" s="56">
        <v>44166</v>
      </c>
      <c r="F238" s="55"/>
      <c r="G238" s="55"/>
      <c r="H238" s="55"/>
      <c r="I238" s="56">
        <v>44015</v>
      </c>
      <c r="J238" s="56">
        <v>44124</v>
      </c>
      <c r="K238" s="55"/>
      <c r="L238" s="55"/>
      <c r="M238" s="56">
        <v>44131</v>
      </c>
      <c r="N238" s="56">
        <v>44018</v>
      </c>
      <c r="O238" s="55"/>
      <c r="P238" s="55">
        <v>44166</v>
      </c>
      <c r="Q238" s="55"/>
      <c r="R238" s="55"/>
      <c r="S238" s="56">
        <v>43738</v>
      </c>
      <c r="T238" s="55">
        <v>44166</v>
      </c>
      <c r="U238" s="56">
        <v>43902</v>
      </c>
      <c r="V238" s="55"/>
      <c r="W238" s="55"/>
      <c r="X238" s="55"/>
      <c r="Y238" s="55"/>
      <c r="Z238" s="55"/>
      <c r="AA238" s="55"/>
      <c r="AB238" s="56">
        <v>44019</v>
      </c>
      <c r="AC238" s="55"/>
      <c r="AD238" s="55">
        <v>44155</v>
      </c>
      <c r="AE238" s="55">
        <v>44173</v>
      </c>
      <c r="AF238" s="55"/>
      <c r="AG238" s="55"/>
      <c r="AH238" s="55"/>
      <c r="AI238" s="55"/>
      <c r="AJ238" s="56">
        <v>44019</v>
      </c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6">
        <v>44019</v>
      </c>
      <c r="AV238" s="55"/>
      <c r="AW238" s="55">
        <v>44162</v>
      </c>
      <c r="AX238" s="56">
        <v>44131</v>
      </c>
      <c r="AY238" s="56">
        <v>44165</v>
      </c>
      <c r="AZ238" s="55"/>
      <c r="BA238" s="56">
        <v>44131</v>
      </c>
      <c r="BB238" s="56">
        <v>44162</v>
      </c>
      <c r="BC238" s="55"/>
      <c r="BD238" s="55"/>
      <c r="BE238" s="55"/>
      <c r="BF238" s="55"/>
      <c r="BG238" s="55"/>
      <c r="BH238" s="55"/>
      <c r="BI238" s="55"/>
      <c r="BJ238" s="55"/>
    </row>
    <row r="239" spans="1:62" x14ac:dyDescent="0.4">
      <c r="A239" s="5">
        <f t="shared" si="4"/>
        <v>31</v>
      </c>
      <c r="B239" s="3" t="s">
        <v>234</v>
      </c>
      <c r="C239" s="55">
        <v>44488</v>
      </c>
      <c r="D239" s="55">
        <v>44488</v>
      </c>
      <c r="E239" s="55">
        <v>44488</v>
      </c>
      <c r="F239" s="55">
        <v>44488</v>
      </c>
      <c r="G239" s="55">
        <v>44488</v>
      </c>
      <c r="H239" s="55">
        <v>44488</v>
      </c>
      <c r="I239" s="55">
        <v>44488</v>
      </c>
      <c r="J239" s="55">
        <v>44488</v>
      </c>
      <c r="K239" s="55">
        <v>44483</v>
      </c>
      <c r="L239" s="55">
        <v>44488</v>
      </c>
      <c r="M239" s="55">
        <v>44488</v>
      </c>
      <c r="N239" s="55">
        <v>44488</v>
      </c>
      <c r="O239" s="55">
        <v>44488</v>
      </c>
      <c r="P239" s="55">
        <v>44488</v>
      </c>
      <c r="Q239" s="55">
        <v>44488</v>
      </c>
      <c r="R239" s="55"/>
      <c r="S239" s="55">
        <v>44488</v>
      </c>
      <c r="T239" s="55">
        <v>44488</v>
      </c>
      <c r="U239" s="55">
        <v>44488</v>
      </c>
      <c r="V239" s="55">
        <v>44488</v>
      </c>
      <c r="W239" s="55"/>
      <c r="X239" s="55"/>
      <c r="Y239" s="55"/>
      <c r="Z239" s="55"/>
      <c r="AA239" s="55">
        <v>44488</v>
      </c>
      <c r="AB239" s="55">
        <v>44488</v>
      </c>
      <c r="AC239" s="55">
        <v>44488</v>
      </c>
      <c r="AD239" s="55"/>
      <c r="AE239" s="55">
        <v>44488</v>
      </c>
      <c r="AF239" s="55"/>
      <c r="AG239" s="55"/>
      <c r="AH239" s="55"/>
      <c r="AI239" s="55">
        <v>44488</v>
      </c>
      <c r="AJ239" s="55">
        <v>44488</v>
      </c>
      <c r="AK239" s="55"/>
      <c r="AL239" s="55"/>
      <c r="AM239" s="55">
        <v>44488</v>
      </c>
      <c r="AN239" s="55"/>
      <c r="AO239" s="55"/>
      <c r="AP239" s="55"/>
      <c r="AQ239" s="55"/>
      <c r="AR239" s="55"/>
      <c r="AS239" s="55"/>
      <c r="AT239" s="55"/>
      <c r="AU239" s="55">
        <v>44488</v>
      </c>
      <c r="AV239" s="55"/>
      <c r="AW239" s="55"/>
      <c r="AX239" s="55">
        <v>44488</v>
      </c>
      <c r="AY239" s="55"/>
      <c r="AZ239" s="55"/>
      <c r="BA239" s="55"/>
      <c r="BB239" s="55">
        <v>44488</v>
      </c>
      <c r="BC239" s="55"/>
      <c r="BD239" s="55"/>
      <c r="BE239" s="55"/>
      <c r="BF239" s="55"/>
      <c r="BG239" s="55">
        <v>44488</v>
      </c>
      <c r="BH239" s="56">
        <v>44028</v>
      </c>
      <c r="BI239" s="55"/>
      <c r="BJ239" s="55"/>
    </row>
    <row r="240" spans="1:62" x14ac:dyDescent="0.4">
      <c r="A240" s="5">
        <f t="shared" si="4"/>
        <v>25</v>
      </c>
      <c r="B240" s="3" t="s">
        <v>235</v>
      </c>
      <c r="C240" s="55">
        <v>44498</v>
      </c>
      <c r="D240" s="55">
        <v>44498</v>
      </c>
      <c r="E240" s="55">
        <v>44498</v>
      </c>
      <c r="F240" s="55">
        <v>44498</v>
      </c>
      <c r="G240" s="55">
        <v>44498</v>
      </c>
      <c r="H240" s="55">
        <v>44498</v>
      </c>
      <c r="I240" s="55">
        <v>44498</v>
      </c>
      <c r="J240" s="55">
        <v>44498</v>
      </c>
      <c r="K240" s="55"/>
      <c r="L240" s="55">
        <v>44498</v>
      </c>
      <c r="M240" s="55">
        <v>44498</v>
      </c>
      <c r="N240" s="55">
        <v>44498</v>
      </c>
      <c r="O240" s="55"/>
      <c r="P240" s="55">
        <v>44498</v>
      </c>
      <c r="Q240" s="55"/>
      <c r="R240" s="55"/>
      <c r="S240" s="55">
        <v>44498</v>
      </c>
      <c r="T240" s="55">
        <v>44498</v>
      </c>
      <c r="U240" s="55">
        <v>44498</v>
      </c>
      <c r="V240" s="55"/>
      <c r="W240" s="55"/>
      <c r="X240" s="55"/>
      <c r="Y240" s="55"/>
      <c r="Z240" s="55"/>
      <c r="AA240" s="55">
        <v>44498</v>
      </c>
      <c r="AB240" s="55">
        <v>44498</v>
      </c>
      <c r="AC240" s="55">
        <v>44498</v>
      </c>
      <c r="AD240" s="55"/>
      <c r="AE240" s="55"/>
      <c r="AF240" s="55"/>
      <c r="AG240" s="55"/>
      <c r="AH240" s="55">
        <v>44498</v>
      </c>
      <c r="AI240" s="55">
        <v>44498</v>
      </c>
      <c r="AJ240" s="55">
        <v>44498</v>
      </c>
      <c r="AK240" s="55"/>
      <c r="AL240" s="55"/>
      <c r="AM240" s="55"/>
      <c r="AN240" s="55">
        <v>44498</v>
      </c>
      <c r="AO240" s="55"/>
      <c r="AP240" s="55"/>
      <c r="AQ240" s="55"/>
      <c r="AR240" s="55"/>
      <c r="AS240" s="55"/>
      <c r="AT240" s="55"/>
      <c r="AU240" s="55">
        <v>44498</v>
      </c>
      <c r="AV240" s="55"/>
      <c r="AW240" s="55"/>
      <c r="AX240" s="55">
        <v>44498</v>
      </c>
      <c r="AY240" s="55"/>
      <c r="AZ240" s="55"/>
      <c r="BA240" s="55"/>
      <c r="BB240" s="55"/>
      <c r="BC240" s="55"/>
      <c r="BD240" s="55"/>
      <c r="BE240" s="55"/>
      <c r="BF240" s="55"/>
      <c r="BG240" s="55"/>
      <c r="BH240" s="55">
        <v>44498</v>
      </c>
      <c r="BI240" s="55"/>
      <c r="BJ240" s="55"/>
    </row>
    <row r="241" spans="1:62" x14ac:dyDescent="0.4">
      <c r="A241" s="5">
        <f t="shared" si="4"/>
        <v>41</v>
      </c>
      <c r="B241" s="3" t="s">
        <v>236</v>
      </c>
      <c r="C241" s="55">
        <v>44489</v>
      </c>
      <c r="D241" s="55">
        <v>44265</v>
      </c>
      <c r="E241" s="55">
        <v>44467</v>
      </c>
      <c r="F241" s="55">
        <v>44455</v>
      </c>
      <c r="G241" s="55">
        <v>44455</v>
      </c>
      <c r="H241" s="55">
        <v>44266</v>
      </c>
      <c r="I241" s="55">
        <v>44270</v>
      </c>
      <c r="J241" s="55">
        <v>44446</v>
      </c>
      <c r="K241" s="55">
        <v>44455</v>
      </c>
      <c r="L241" s="55">
        <v>44287</v>
      </c>
      <c r="M241" s="55">
        <v>44466</v>
      </c>
      <c r="N241" s="55">
        <v>44284</v>
      </c>
      <c r="O241" s="55"/>
      <c r="P241" s="55">
        <v>44286</v>
      </c>
      <c r="Q241" s="55">
        <v>44286</v>
      </c>
      <c r="R241" s="55">
        <v>44284</v>
      </c>
      <c r="S241" s="55">
        <v>44286</v>
      </c>
      <c r="T241" s="55">
        <v>44271</v>
      </c>
      <c r="U241" s="55">
        <v>44287</v>
      </c>
      <c r="V241" s="55">
        <v>44494</v>
      </c>
      <c r="W241" s="55"/>
      <c r="X241" s="55"/>
      <c r="Y241" s="55">
        <v>44494</v>
      </c>
      <c r="Z241" s="55"/>
      <c r="AA241" s="55">
        <v>44284</v>
      </c>
      <c r="AB241" s="55">
        <v>44284</v>
      </c>
      <c r="AC241" s="55">
        <v>44286</v>
      </c>
      <c r="AD241" s="55"/>
      <c r="AE241" s="55">
        <v>44286</v>
      </c>
      <c r="AF241" s="55"/>
      <c r="AG241" s="55">
        <v>44467</v>
      </c>
      <c r="AH241" s="55">
        <v>44467</v>
      </c>
      <c r="AI241" s="55">
        <v>44286</v>
      </c>
      <c r="AJ241" s="55">
        <v>44286</v>
      </c>
      <c r="AK241" s="55"/>
      <c r="AL241" s="55"/>
      <c r="AM241" s="55"/>
      <c r="AN241" s="55">
        <v>44468</v>
      </c>
      <c r="AO241" s="55"/>
      <c r="AP241" s="55">
        <v>44456</v>
      </c>
      <c r="AQ241" s="55">
        <v>44501</v>
      </c>
      <c r="AR241" s="55">
        <v>44503</v>
      </c>
      <c r="AS241" s="55">
        <v>44468</v>
      </c>
      <c r="AT241" s="55"/>
      <c r="AU241" s="55">
        <v>44467</v>
      </c>
      <c r="AV241" s="55"/>
      <c r="AW241" s="55">
        <v>44287</v>
      </c>
      <c r="AX241" s="55">
        <v>44284</v>
      </c>
      <c r="AY241" s="55">
        <v>44454</v>
      </c>
      <c r="AZ241" s="55"/>
      <c r="BA241" s="55">
        <v>44467</v>
      </c>
      <c r="BB241" s="55">
        <v>44466</v>
      </c>
      <c r="BC241" s="55"/>
      <c r="BD241" s="55"/>
      <c r="BE241" s="55"/>
      <c r="BF241" s="55"/>
      <c r="BG241" s="55">
        <v>44454</v>
      </c>
      <c r="BH241" s="55">
        <v>44494</v>
      </c>
      <c r="BI241" s="55"/>
      <c r="BJ241" s="55"/>
    </row>
    <row r="242" spans="1:62" x14ac:dyDescent="0.4">
      <c r="A242" s="5">
        <f t="shared" si="4"/>
        <v>24</v>
      </c>
      <c r="B242" s="3" t="s">
        <v>237</v>
      </c>
      <c r="C242" s="55"/>
      <c r="D242" s="56">
        <v>43635</v>
      </c>
      <c r="E242" s="56">
        <v>43641</v>
      </c>
      <c r="F242" s="55"/>
      <c r="G242" s="56">
        <v>43077</v>
      </c>
      <c r="H242" s="55">
        <v>44183</v>
      </c>
      <c r="I242" s="56">
        <v>44131</v>
      </c>
      <c r="J242" s="55">
        <v>44503</v>
      </c>
      <c r="K242" s="56">
        <v>44175</v>
      </c>
      <c r="L242" s="56">
        <v>43642</v>
      </c>
      <c r="M242" s="56">
        <v>44274</v>
      </c>
      <c r="N242" s="55">
        <v>44503</v>
      </c>
      <c r="O242" s="55"/>
      <c r="P242" s="55"/>
      <c r="Q242" s="55">
        <v>44181</v>
      </c>
      <c r="R242" s="55"/>
      <c r="S242" s="56">
        <v>43735</v>
      </c>
      <c r="T242" s="55">
        <v>44484</v>
      </c>
      <c r="U242" s="55">
        <v>44484</v>
      </c>
      <c r="V242" s="55">
        <v>44244</v>
      </c>
      <c r="W242" s="55"/>
      <c r="X242" s="55"/>
      <c r="Y242" s="56">
        <v>43641</v>
      </c>
      <c r="Z242" s="55"/>
      <c r="AA242" s="55"/>
      <c r="AB242" s="56">
        <v>44131</v>
      </c>
      <c r="AC242" s="55">
        <v>44181</v>
      </c>
      <c r="AD242" s="56">
        <v>44131</v>
      </c>
      <c r="AE242" s="55"/>
      <c r="AF242" s="55"/>
      <c r="AG242" s="55"/>
      <c r="AH242" s="55"/>
      <c r="AI242" s="55">
        <v>44484</v>
      </c>
      <c r="AJ242" s="55">
        <v>44503</v>
      </c>
      <c r="AK242" s="55"/>
      <c r="AL242" s="55"/>
      <c r="AM242" s="55"/>
      <c r="AN242" s="55"/>
      <c r="AO242" s="55"/>
      <c r="AP242" s="55"/>
      <c r="AQ242" s="55"/>
      <c r="AR242" s="55"/>
      <c r="AS242" s="55"/>
      <c r="AT242" s="55"/>
      <c r="AU242" s="55"/>
      <c r="AV242" s="55"/>
      <c r="AW242" s="55"/>
      <c r="AX242" s="55">
        <v>44193</v>
      </c>
      <c r="AY242" s="55"/>
      <c r="AZ242" s="55"/>
      <c r="BA242" s="55"/>
      <c r="BB242" s="55">
        <v>44503</v>
      </c>
      <c r="BC242" s="55"/>
      <c r="BD242" s="55"/>
      <c r="BE242" s="55"/>
      <c r="BF242" s="55"/>
      <c r="BG242" s="56">
        <v>44181</v>
      </c>
      <c r="BH242" s="55"/>
      <c r="BI242" s="55"/>
      <c r="BJ242" s="55"/>
    </row>
    <row r="243" spans="1:62" x14ac:dyDescent="0.4">
      <c r="A243" s="5">
        <f t="shared" si="4"/>
        <v>30</v>
      </c>
      <c r="B243" s="3" t="s">
        <v>238</v>
      </c>
      <c r="C243" s="55">
        <v>44452</v>
      </c>
      <c r="D243" s="55">
        <v>44452</v>
      </c>
      <c r="E243" s="55">
        <v>44452</v>
      </c>
      <c r="F243" s="55">
        <v>44452</v>
      </c>
      <c r="G243" s="55">
        <v>44452</v>
      </c>
      <c r="H243" s="55"/>
      <c r="I243" s="55">
        <v>44391</v>
      </c>
      <c r="J243" s="55">
        <v>44455</v>
      </c>
      <c r="K243" s="55">
        <v>44390</v>
      </c>
      <c r="L243" s="55"/>
      <c r="M243" s="55">
        <v>44470</v>
      </c>
      <c r="N243" s="55">
        <v>44455</v>
      </c>
      <c r="O243" s="55"/>
      <c r="P243" s="55">
        <v>44155</v>
      </c>
      <c r="Q243" s="55">
        <v>44390</v>
      </c>
      <c r="R243" s="55"/>
      <c r="S243" s="55">
        <v>44452</v>
      </c>
      <c r="T243" s="55">
        <v>44482</v>
      </c>
      <c r="U243" s="55">
        <v>44155</v>
      </c>
      <c r="V243" s="55">
        <v>44452</v>
      </c>
      <c r="W243" s="55"/>
      <c r="X243" s="55"/>
      <c r="Y243" s="55"/>
      <c r="Z243" s="55"/>
      <c r="AA243" s="55">
        <v>44470</v>
      </c>
      <c r="AB243" s="55">
        <v>44452</v>
      </c>
      <c r="AC243" s="55">
        <v>44452</v>
      </c>
      <c r="AD243" s="55">
        <v>44160</v>
      </c>
      <c r="AE243" s="55"/>
      <c r="AF243" s="55"/>
      <c r="AG243" s="55"/>
      <c r="AH243" s="55"/>
      <c r="AI243" s="55">
        <v>44419</v>
      </c>
      <c r="AJ243" s="55">
        <v>44160</v>
      </c>
      <c r="AK243" s="55"/>
      <c r="AL243" s="55"/>
      <c r="AM243" s="55"/>
      <c r="AN243" s="55"/>
      <c r="AO243" s="55"/>
      <c r="AP243" s="55">
        <v>44470</v>
      </c>
      <c r="AQ243" s="55"/>
      <c r="AR243" s="55"/>
      <c r="AS243" s="55"/>
      <c r="AT243" s="55"/>
      <c r="AU243" s="55">
        <v>44481</v>
      </c>
      <c r="AV243" s="55"/>
      <c r="AW243" s="55">
        <v>44477</v>
      </c>
      <c r="AX243" s="55">
        <v>44469</v>
      </c>
      <c r="AY243" s="55">
        <v>44470</v>
      </c>
      <c r="AZ243" s="55"/>
      <c r="BA243" s="55"/>
      <c r="BB243" s="55">
        <v>44469</v>
      </c>
      <c r="BC243" s="55"/>
      <c r="BD243" s="55"/>
      <c r="BE243" s="55"/>
      <c r="BF243" s="55"/>
      <c r="BG243" s="55">
        <v>44477</v>
      </c>
      <c r="BH243" s="55">
        <v>44497</v>
      </c>
      <c r="BI243" s="55"/>
      <c r="BJ243" s="55"/>
    </row>
    <row r="244" spans="1:62" x14ac:dyDescent="0.4">
      <c r="A244" s="5">
        <f t="shared" si="4"/>
        <v>28</v>
      </c>
      <c r="B244" s="3" t="s">
        <v>239</v>
      </c>
      <c r="C244" s="55">
        <v>44483</v>
      </c>
      <c r="D244" s="55">
        <v>44466</v>
      </c>
      <c r="E244" s="55">
        <v>44483</v>
      </c>
      <c r="F244" s="55">
        <v>44445</v>
      </c>
      <c r="G244" s="55"/>
      <c r="H244" s="55"/>
      <c r="I244" s="55"/>
      <c r="J244" s="55">
        <v>44503</v>
      </c>
      <c r="K244" s="55">
        <v>44477</v>
      </c>
      <c r="L244" s="55">
        <v>44348</v>
      </c>
      <c r="M244" s="55">
        <v>44435</v>
      </c>
      <c r="N244" s="55">
        <v>44383</v>
      </c>
      <c r="O244" s="55"/>
      <c r="P244" s="55">
        <v>44397</v>
      </c>
      <c r="Q244" s="55"/>
      <c r="R244" s="55">
        <v>44445</v>
      </c>
      <c r="S244" s="55">
        <v>44453</v>
      </c>
      <c r="T244" s="55">
        <v>44371</v>
      </c>
      <c r="U244" s="55">
        <v>44461</v>
      </c>
      <c r="V244" s="55">
        <v>44186</v>
      </c>
      <c r="W244" s="55"/>
      <c r="X244" s="55"/>
      <c r="Y244" s="55"/>
      <c r="Z244" s="55">
        <v>44442</v>
      </c>
      <c r="AA244" s="55">
        <v>44383</v>
      </c>
      <c r="AB244" s="55">
        <v>44462</v>
      </c>
      <c r="AC244" s="55">
        <v>44383</v>
      </c>
      <c r="AD244" s="55">
        <v>44385</v>
      </c>
      <c r="AE244" s="55"/>
      <c r="AF244" s="55"/>
      <c r="AG244" s="55"/>
      <c r="AH244" s="55">
        <v>44356</v>
      </c>
      <c r="AI244" s="55">
        <v>44456</v>
      </c>
      <c r="AJ244" s="55">
        <v>44488</v>
      </c>
      <c r="AK244" s="55"/>
      <c r="AL244" s="55">
        <v>44453</v>
      </c>
      <c r="AM244" s="55"/>
      <c r="AN244" s="55"/>
      <c r="AO244" s="55"/>
      <c r="AP244" s="55"/>
      <c r="AQ244" s="55"/>
      <c r="AR244" s="55"/>
      <c r="AS244" s="55"/>
      <c r="AT244" s="55"/>
      <c r="AU244" s="55">
        <v>44466</v>
      </c>
      <c r="AV244" s="55"/>
      <c r="AW244" s="55"/>
      <c r="AX244" s="55">
        <v>44461</v>
      </c>
      <c r="AY244" s="55">
        <v>44488</v>
      </c>
      <c r="AZ244" s="55"/>
      <c r="BA244" s="55"/>
      <c r="BB244" s="55"/>
      <c r="BC244" s="55"/>
      <c r="BD244" s="55"/>
      <c r="BE244" s="55"/>
      <c r="BF244" s="55"/>
      <c r="BG244" s="55">
        <v>44494</v>
      </c>
      <c r="BH244" s="55"/>
      <c r="BI244" s="55"/>
      <c r="BJ244" s="55"/>
    </row>
    <row r="245" spans="1:62" x14ac:dyDescent="0.4">
      <c r="A245" s="5">
        <f t="shared" si="4"/>
        <v>34</v>
      </c>
      <c r="B245" s="3" t="s">
        <v>240</v>
      </c>
      <c r="C245" s="55">
        <v>44491</v>
      </c>
      <c r="D245" s="55">
        <v>44438</v>
      </c>
      <c r="E245" s="55">
        <v>44439</v>
      </c>
      <c r="F245" s="55">
        <v>44439</v>
      </c>
      <c r="G245" s="55">
        <v>44440</v>
      </c>
      <c r="H245" s="55">
        <v>44421</v>
      </c>
      <c r="I245" s="55">
        <v>44309</v>
      </c>
      <c r="J245" s="55">
        <v>44439</v>
      </c>
      <c r="K245" s="55">
        <v>44439</v>
      </c>
      <c r="L245" s="55">
        <v>44440</v>
      </c>
      <c r="M245" s="55">
        <v>44496</v>
      </c>
      <c r="N245" s="55">
        <v>44375</v>
      </c>
      <c r="O245" s="55">
        <v>44432</v>
      </c>
      <c r="P245" s="55">
        <v>44309</v>
      </c>
      <c r="Q245" s="55">
        <v>44392</v>
      </c>
      <c r="R245" s="55"/>
      <c r="S245" s="55">
        <v>44438</v>
      </c>
      <c r="T245" s="55">
        <v>44421</v>
      </c>
      <c r="U245" s="55">
        <v>44421</v>
      </c>
      <c r="V245" s="55">
        <v>44175</v>
      </c>
      <c r="W245" s="55"/>
      <c r="X245" s="55"/>
      <c r="Y245" s="55"/>
      <c r="Z245" s="55"/>
      <c r="AA245" s="55">
        <v>44432</v>
      </c>
      <c r="AB245" s="55">
        <v>44432</v>
      </c>
      <c r="AC245" s="55">
        <v>44438</v>
      </c>
      <c r="AD245" s="55"/>
      <c r="AE245" s="55"/>
      <c r="AF245" s="55"/>
      <c r="AG245" s="55"/>
      <c r="AH245" s="55">
        <v>44491</v>
      </c>
      <c r="AI245" s="55">
        <v>44392</v>
      </c>
      <c r="AJ245" s="55">
        <v>44392</v>
      </c>
      <c r="AK245" s="55"/>
      <c r="AL245" s="55"/>
      <c r="AM245" s="55"/>
      <c r="AN245" s="55">
        <v>44488</v>
      </c>
      <c r="AO245" s="55"/>
      <c r="AP245" s="55">
        <v>44347</v>
      </c>
      <c r="AQ245" s="55">
        <v>44375</v>
      </c>
      <c r="AR245" s="55"/>
      <c r="AS245" s="55">
        <v>44347</v>
      </c>
      <c r="AT245" s="55"/>
      <c r="AU245" s="55">
        <v>44439</v>
      </c>
      <c r="AV245" s="55"/>
      <c r="AW245" s="55">
        <v>44439</v>
      </c>
      <c r="AX245" s="55"/>
      <c r="AY245" s="55">
        <v>44347</v>
      </c>
      <c r="AZ245" s="55"/>
      <c r="BA245" s="55"/>
      <c r="BB245" s="55">
        <v>44469</v>
      </c>
      <c r="BC245" s="55"/>
      <c r="BD245" s="55"/>
      <c r="BE245" s="55"/>
      <c r="BF245" s="55"/>
      <c r="BG245" s="55">
        <v>44477</v>
      </c>
      <c r="BH245" s="55"/>
      <c r="BI245" s="55"/>
      <c r="BJ245" s="55"/>
    </row>
    <row r="246" spans="1:62" x14ac:dyDescent="0.4">
      <c r="A246" s="5">
        <f t="shared" si="4"/>
        <v>39</v>
      </c>
      <c r="B246" s="3" t="s">
        <v>241</v>
      </c>
      <c r="C246" s="55">
        <v>44439</v>
      </c>
      <c r="D246" s="55">
        <v>44439</v>
      </c>
      <c r="E246" s="55">
        <v>44439</v>
      </c>
      <c r="F246" s="55">
        <v>44502</v>
      </c>
      <c r="G246" s="55">
        <v>44475</v>
      </c>
      <c r="H246" s="55">
        <v>44432</v>
      </c>
      <c r="I246" s="55">
        <v>44440</v>
      </c>
      <c r="J246" s="55">
        <v>44475</v>
      </c>
      <c r="K246" s="56">
        <v>44176</v>
      </c>
      <c r="L246" s="55">
        <v>44317</v>
      </c>
      <c r="M246" s="55">
        <v>44475</v>
      </c>
      <c r="N246" s="55">
        <v>44165</v>
      </c>
      <c r="O246" s="55"/>
      <c r="P246" s="55">
        <v>44167</v>
      </c>
      <c r="Q246" s="55">
        <v>44439</v>
      </c>
      <c r="R246" s="55"/>
      <c r="S246" s="55">
        <v>44441</v>
      </c>
      <c r="T246" s="55">
        <v>44355</v>
      </c>
      <c r="U246" s="55">
        <v>44439</v>
      </c>
      <c r="V246" s="55">
        <v>44417</v>
      </c>
      <c r="W246" s="55"/>
      <c r="X246" s="55"/>
      <c r="Y246" s="55"/>
      <c r="Z246" s="55">
        <v>44433</v>
      </c>
      <c r="AA246" s="55"/>
      <c r="AB246" s="55">
        <v>44278</v>
      </c>
      <c r="AC246" s="55">
        <v>44362</v>
      </c>
      <c r="AD246" s="55">
        <v>44439</v>
      </c>
      <c r="AE246" s="55"/>
      <c r="AF246" s="55"/>
      <c r="AG246" s="55">
        <v>44475</v>
      </c>
      <c r="AH246" s="55">
        <v>44469</v>
      </c>
      <c r="AI246" s="55">
        <v>44433</v>
      </c>
      <c r="AJ246" s="55">
        <v>44433</v>
      </c>
      <c r="AK246" s="55"/>
      <c r="AL246" s="55"/>
      <c r="AM246" s="55">
        <v>44469</v>
      </c>
      <c r="AN246" s="55">
        <v>44455</v>
      </c>
      <c r="AO246" s="55"/>
      <c r="AP246" s="55">
        <v>44476</v>
      </c>
      <c r="AQ246" s="55">
        <v>44453</v>
      </c>
      <c r="AR246" s="55">
        <v>44475</v>
      </c>
      <c r="AS246" s="55">
        <v>44454</v>
      </c>
      <c r="AT246" s="55"/>
      <c r="AU246" s="55">
        <v>44439</v>
      </c>
      <c r="AV246" s="55"/>
      <c r="AW246" s="55">
        <v>44476</v>
      </c>
      <c r="AX246" s="55">
        <v>44503</v>
      </c>
      <c r="AY246" s="55"/>
      <c r="AZ246" s="55"/>
      <c r="BA246" s="55">
        <v>44469</v>
      </c>
      <c r="BB246" s="55">
        <v>44476</v>
      </c>
      <c r="BC246" s="55"/>
      <c r="BD246" s="55"/>
      <c r="BE246" s="55"/>
      <c r="BF246" s="55"/>
      <c r="BG246" s="55">
        <v>44469</v>
      </c>
      <c r="BH246" s="55">
        <v>44469</v>
      </c>
      <c r="BI246" s="55"/>
      <c r="BJ246" s="55"/>
    </row>
    <row r="247" spans="1:62" x14ac:dyDescent="0.4">
      <c r="A247" s="5">
        <f t="shared" si="4"/>
        <v>21</v>
      </c>
      <c r="B247" s="3" t="s">
        <v>242</v>
      </c>
      <c r="C247" s="55"/>
      <c r="D247" s="55"/>
      <c r="E247" s="55">
        <v>44386</v>
      </c>
      <c r="F247" s="55">
        <v>44441</v>
      </c>
      <c r="G247" s="55">
        <v>44463</v>
      </c>
      <c r="H247" s="55"/>
      <c r="I247" s="55">
        <v>44348</v>
      </c>
      <c r="J247" s="55"/>
      <c r="K247" s="55"/>
      <c r="L247" s="55"/>
      <c r="M247" s="55"/>
      <c r="N247" s="55"/>
      <c r="O247" s="55"/>
      <c r="P247" s="55"/>
      <c r="Q247" s="55">
        <v>44483</v>
      </c>
      <c r="R247" s="55">
        <v>44362</v>
      </c>
      <c r="S247" s="55">
        <v>44383</v>
      </c>
      <c r="T247" s="55">
        <v>44483</v>
      </c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>
        <v>44383</v>
      </c>
      <c r="AF247" s="55"/>
      <c r="AG247" s="55"/>
      <c r="AH247" s="55">
        <v>44334</v>
      </c>
      <c r="AI247" s="55"/>
      <c r="AJ247" s="55"/>
      <c r="AK247" s="55">
        <v>44490</v>
      </c>
      <c r="AL247" s="55"/>
      <c r="AM247" s="55">
        <v>44483</v>
      </c>
      <c r="AN247" s="55"/>
      <c r="AO247" s="55">
        <v>44483</v>
      </c>
      <c r="AP247" s="55"/>
      <c r="AQ247" s="55"/>
      <c r="AR247" s="55"/>
      <c r="AS247" s="55"/>
      <c r="AT247" s="55"/>
      <c r="AU247" s="55">
        <v>44334</v>
      </c>
      <c r="AV247" s="55"/>
      <c r="AW247" s="55">
        <v>44483</v>
      </c>
      <c r="AX247" s="55"/>
      <c r="AY247" s="55"/>
      <c r="AZ247" s="55"/>
      <c r="BA247" s="55">
        <v>44470</v>
      </c>
      <c r="BB247" s="55">
        <v>44490</v>
      </c>
      <c r="BC247" s="55">
        <v>44497</v>
      </c>
      <c r="BD247" s="55"/>
      <c r="BE247" s="55">
        <v>44490</v>
      </c>
      <c r="BF247" s="55">
        <v>44383</v>
      </c>
      <c r="BG247" s="55"/>
      <c r="BH247" s="55"/>
      <c r="BI247" s="55">
        <v>44208</v>
      </c>
      <c r="BJ247" s="55"/>
    </row>
    <row r="248" spans="1:62" x14ac:dyDescent="0.4">
      <c r="A248" s="5">
        <f t="shared" si="4"/>
        <v>24</v>
      </c>
      <c r="B248" s="3" t="s">
        <v>244</v>
      </c>
      <c r="C248" s="55">
        <v>44439</v>
      </c>
      <c r="D248" s="55">
        <v>44463</v>
      </c>
      <c r="E248" s="55"/>
      <c r="F248" s="55">
        <v>44490</v>
      </c>
      <c r="G248" s="55">
        <v>44490</v>
      </c>
      <c r="H248" s="55">
        <v>44455</v>
      </c>
      <c r="I248" s="55">
        <v>44456</v>
      </c>
      <c r="J248" s="55">
        <v>44490</v>
      </c>
      <c r="K248" s="55">
        <v>44405</v>
      </c>
      <c r="L248" s="55">
        <v>44439</v>
      </c>
      <c r="M248" s="55">
        <v>44463</v>
      </c>
      <c r="N248" s="55">
        <v>44462</v>
      </c>
      <c r="O248" s="55">
        <v>44439</v>
      </c>
      <c r="P248" s="55">
        <v>44490</v>
      </c>
      <c r="Q248" s="55"/>
      <c r="R248" s="55">
        <v>44456</v>
      </c>
      <c r="S248" s="55"/>
      <c r="T248" s="55"/>
      <c r="U248" s="55">
        <v>44462</v>
      </c>
      <c r="V248" s="55">
        <v>44439</v>
      </c>
      <c r="W248" s="55"/>
      <c r="X248" s="55">
        <v>44456</v>
      </c>
      <c r="Y248" s="55"/>
      <c r="Z248" s="55"/>
      <c r="AA248" s="55">
        <v>44439</v>
      </c>
      <c r="AB248" s="55">
        <v>44439</v>
      </c>
      <c r="AC248" s="55">
        <v>44456</v>
      </c>
      <c r="AD248" s="55"/>
      <c r="AE248" s="55"/>
      <c r="AF248" s="55">
        <v>44474</v>
      </c>
      <c r="AG248" s="55"/>
      <c r="AH248" s="55"/>
      <c r="AI248" s="55"/>
      <c r="AJ248" s="55">
        <v>44405</v>
      </c>
      <c r="AK248" s="55"/>
      <c r="AL248" s="55"/>
      <c r="AM248" s="55"/>
      <c r="AN248" s="55"/>
      <c r="AO248" s="55"/>
      <c r="AP248" s="55"/>
      <c r="AQ248" s="55"/>
      <c r="AR248" s="55"/>
      <c r="AS248" s="55"/>
      <c r="AT248" s="55"/>
      <c r="AU248" s="55">
        <v>44474</v>
      </c>
      <c r="AV248" s="55"/>
      <c r="AW248" s="55"/>
      <c r="AX248" s="55">
        <v>44462</v>
      </c>
      <c r="AY248" s="55"/>
      <c r="AZ248" s="55"/>
      <c r="BA248" s="55"/>
      <c r="BB248" s="55"/>
      <c r="BC248" s="55"/>
      <c r="BD248" s="55"/>
      <c r="BE248" s="55"/>
      <c r="BF248" s="55"/>
      <c r="BG248" s="55"/>
      <c r="BH248" s="55"/>
      <c r="BI248" s="55"/>
      <c r="BJ248" s="55"/>
    </row>
    <row r="249" spans="1:62" ht="18" thickBot="1" x14ac:dyDescent="0.45">
      <c r="A249" s="5">
        <f t="shared" si="4"/>
        <v>29</v>
      </c>
      <c r="B249" s="1" t="s">
        <v>245</v>
      </c>
      <c r="C249" s="55">
        <v>44503</v>
      </c>
      <c r="D249" s="55">
        <v>44377</v>
      </c>
      <c r="E249" s="55"/>
      <c r="F249" s="55">
        <v>44491</v>
      </c>
      <c r="G249" s="55">
        <v>44420</v>
      </c>
      <c r="H249" s="55">
        <v>44491</v>
      </c>
      <c r="I249" s="55">
        <v>44498</v>
      </c>
      <c r="J249" s="56">
        <v>44393</v>
      </c>
      <c r="K249" s="55">
        <v>44489</v>
      </c>
      <c r="L249" s="55">
        <v>44491</v>
      </c>
      <c r="M249" s="55">
        <v>44434</v>
      </c>
      <c r="N249" s="55">
        <v>44396</v>
      </c>
      <c r="O249" s="55"/>
      <c r="P249" s="55">
        <v>44490</v>
      </c>
      <c r="Q249" s="55">
        <v>44498</v>
      </c>
      <c r="R249" s="55">
        <v>44371</v>
      </c>
      <c r="S249" s="55">
        <v>44377</v>
      </c>
      <c r="T249" s="55"/>
      <c r="U249" s="55">
        <v>44426</v>
      </c>
      <c r="V249" s="55">
        <v>44377</v>
      </c>
      <c r="W249" s="55"/>
      <c r="X249" s="55"/>
      <c r="Y249" s="55"/>
      <c r="Z249" s="55"/>
      <c r="AA249" s="55">
        <v>44377</v>
      </c>
      <c r="AB249" s="55">
        <v>44489</v>
      </c>
      <c r="AC249" s="55">
        <v>44491</v>
      </c>
      <c r="AD249" s="55"/>
      <c r="AE249" s="55"/>
      <c r="AF249" s="55"/>
      <c r="AG249" s="55"/>
      <c r="AH249" s="55"/>
      <c r="AI249" s="55"/>
      <c r="AJ249" s="55">
        <v>44482</v>
      </c>
      <c r="AK249" s="55"/>
      <c r="AL249" s="55"/>
      <c r="AM249" s="55">
        <v>44491</v>
      </c>
      <c r="AN249" s="55">
        <v>44329</v>
      </c>
      <c r="AO249" s="55"/>
      <c r="AP249" s="55"/>
      <c r="AQ249" s="55">
        <v>44377</v>
      </c>
      <c r="AR249" s="55"/>
      <c r="AS249" s="55"/>
      <c r="AT249" s="55"/>
      <c r="AU249" s="55">
        <v>44504</v>
      </c>
      <c r="AV249" s="55"/>
      <c r="AW249" s="55"/>
      <c r="AX249" s="55">
        <v>44377</v>
      </c>
      <c r="AY249" s="55"/>
      <c r="AZ249" s="55"/>
      <c r="BA249" s="55"/>
      <c r="BB249" s="55"/>
      <c r="BC249" s="55"/>
      <c r="BD249" s="55"/>
      <c r="BE249" s="55">
        <v>44371</v>
      </c>
      <c r="BF249" s="55"/>
      <c r="BG249" s="55">
        <v>44420</v>
      </c>
      <c r="BH249" s="55">
        <v>44489</v>
      </c>
      <c r="BI249" s="55"/>
      <c r="BJ249" s="55"/>
    </row>
    <row r="250" spans="1:62" x14ac:dyDescent="0.4">
      <c r="A250" s="5">
        <f t="shared" si="4"/>
        <v>60</v>
      </c>
      <c r="B250" s="57" t="s">
        <v>1061</v>
      </c>
      <c r="C250" s="2">
        <f>COUNTA(C5:C249)</f>
        <v>224</v>
      </c>
      <c r="D250" s="2">
        <f t="shared" ref="D250:BJ250" si="5">COUNTA(D5:D249)</f>
        <v>232</v>
      </c>
      <c r="E250" s="2">
        <f t="shared" si="5"/>
        <v>229</v>
      </c>
      <c r="F250" s="2">
        <f t="shared" si="5"/>
        <v>223</v>
      </c>
      <c r="G250" s="2">
        <f t="shared" si="5"/>
        <v>212</v>
      </c>
      <c r="H250" s="2">
        <f t="shared" si="5"/>
        <v>207</v>
      </c>
      <c r="I250" s="2">
        <f t="shared" si="5"/>
        <v>237</v>
      </c>
      <c r="J250" s="2">
        <f t="shared" si="5"/>
        <v>227</v>
      </c>
      <c r="K250" s="2">
        <f t="shared" si="5"/>
        <v>114</v>
      </c>
      <c r="L250" s="2">
        <f t="shared" si="5"/>
        <v>176</v>
      </c>
      <c r="M250" s="2">
        <f t="shared" si="5"/>
        <v>224</v>
      </c>
      <c r="N250" s="2">
        <f t="shared" si="5"/>
        <v>227</v>
      </c>
      <c r="O250" s="2">
        <f t="shared" si="5"/>
        <v>88</v>
      </c>
      <c r="P250" s="2">
        <f t="shared" si="5"/>
        <v>215</v>
      </c>
      <c r="Q250" s="2">
        <f t="shared" si="5"/>
        <v>184</v>
      </c>
      <c r="R250" s="2">
        <f t="shared" si="5"/>
        <v>110</v>
      </c>
      <c r="S250" s="2">
        <f t="shared" si="5"/>
        <v>208</v>
      </c>
      <c r="T250" s="2">
        <f t="shared" si="5"/>
        <v>146</v>
      </c>
      <c r="U250" s="2">
        <f t="shared" si="5"/>
        <v>227</v>
      </c>
      <c r="V250" s="2">
        <f t="shared" si="5"/>
        <v>208</v>
      </c>
      <c r="W250" s="2">
        <f t="shared" si="5"/>
        <v>49</v>
      </c>
      <c r="X250" s="2">
        <f t="shared" si="5"/>
        <v>93</v>
      </c>
      <c r="Y250" s="2">
        <f t="shared" si="5"/>
        <v>45</v>
      </c>
      <c r="Z250" s="2">
        <f t="shared" si="5"/>
        <v>142</v>
      </c>
      <c r="AA250" s="2">
        <f t="shared" si="5"/>
        <v>192</v>
      </c>
      <c r="AB250" s="2">
        <f t="shared" si="5"/>
        <v>233</v>
      </c>
      <c r="AC250" s="2">
        <f t="shared" si="5"/>
        <v>150</v>
      </c>
      <c r="AD250" s="2">
        <f t="shared" si="5"/>
        <v>160</v>
      </c>
      <c r="AE250" s="2">
        <f t="shared" si="5"/>
        <v>143</v>
      </c>
      <c r="AF250" s="2">
        <f t="shared" si="5"/>
        <v>53</v>
      </c>
      <c r="AG250" s="2">
        <f t="shared" si="5"/>
        <v>123</v>
      </c>
      <c r="AH250" s="2">
        <f t="shared" si="5"/>
        <v>167</v>
      </c>
      <c r="AI250" s="2">
        <f t="shared" si="5"/>
        <v>184</v>
      </c>
      <c r="AJ250" s="2">
        <f t="shared" si="5"/>
        <v>227</v>
      </c>
      <c r="AK250" s="2">
        <f t="shared" si="5"/>
        <v>39</v>
      </c>
      <c r="AL250" s="2">
        <f t="shared" si="5"/>
        <v>13</v>
      </c>
      <c r="AM250" s="2">
        <f t="shared" si="5"/>
        <v>88</v>
      </c>
      <c r="AN250" s="2">
        <f t="shared" si="5"/>
        <v>44</v>
      </c>
      <c r="AO250" s="2">
        <f t="shared" si="5"/>
        <v>21</v>
      </c>
      <c r="AP250" s="2">
        <f t="shared" si="5"/>
        <v>53</v>
      </c>
      <c r="AQ250" s="2">
        <f t="shared" si="5"/>
        <v>61</v>
      </c>
      <c r="AR250" s="2">
        <f t="shared" si="5"/>
        <v>104</v>
      </c>
      <c r="AS250" s="2">
        <f t="shared" si="5"/>
        <v>41</v>
      </c>
      <c r="AT250" s="2">
        <f t="shared" si="5"/>
        <v>21</v>
      </c>
      <c r="AU250" s="2">
        <f t="shared" si="5"/>
        <v>217</v>
      </c>
      <c r="AV250" s="2">
        <f t="shared" si="5"/>
        <v>27</v>
      </c>
      <c r="AW250" s="2">
        <f t="shared" si="5"/>
        <v>134</v>
      </c>
      <c r="AX250" s="2">
        <f t="shared" si="5"/>
        <v>104</v>
      </c>
      <c r="AY250" s="2">
        <f t="shared" si="5"/>
        <v>140</v>
      </c>
      <c r="AZ250" s="2">
        <f t="shared" si="5"/>
        <v>24</v>
      </c>
      <c r="BA250" s="2">
        <f t="shared" si="5"/>
        <v>150</v>
      </c>
      <c r="BB250" s="2">
        <f t="shared" si="5"/>
        <v>200</v>
      </c>
      <c r="BC250" s="2">
        <f t="shared" si="5"/>
        <v>93</v>
      </c>
      <c r="BD250" s="2">
        <f t="shared" si="5"/>
        <v>53</v>
      </c>
      <c r="BE250" s="2">
        <f t="shared" si="5"/>
        <v>62</v>
      </c>
      <c r="BF250" s="2">
        <f t="shared" si="5"/>
        <v>12</v>
      </c>
      <c r="BG250" s="2">
        <f t="shared" si="5"/>
        <v>121</v>
      </c>
      <c r="BH250" s="2">
        <f t="shared" si="5"/>
        <v>53</v>
      </c>
      <c r="BI250" s="2">
        <f t="shared" si="5"/>
        <v>17</v>
      </c>
      <c r="BJ250" s="2">
        <f t="shared" si="5"/>
        <v>19</v>
      </c>
    </row>
    <row r="251" spans="1:62" x14ac:dyDescent="0.4">
      <c r="A251" s="5">
        <f t="shared" si="4"/>
        <v>60</v>
      </c>
      <c r="B251" s="57" t="s">
        <v>1062</v>
      </c>
      <c r="C251" s="2">
        <f>COUNTBLANK(C5:C249)</f>
        <v>21</v>
      </c>
      <c r="D251" s="2">
        <f t="shared" ref="D251:BJ251" si="6">COUNTBLANK(D5:D249)</f>
        <v>13</v>
      </c>
      <c r="E251" s="2">
        <f t="shared" si="6"/>
        <v>16</v>
      </c>
      <c r="F251" s="2">
        <f t="shared" si="6"/>
        <v>22</v>
      </c>
      <c r="G251" s="2">
        <f t="shared" si="6"/>
        <v>33</v>
      </c>
      <c r="H251" s="2">
        <f t="shared" si="6"/>
        <v>38</v>
      </c>
      <c r="I251" s="2">
        <f t="shared" si="6"/>
        <v>8</v>
      </c>
      <c r="J251" s="2">
        <f t="shared" si="6"/>
        <v>18</v>
      </c>
      <c r="K251" s="2">
        <f t="shared" si="6"/>
        <v>131</v>
      </c>
      <c r="L251" s="2">
        <f t="shared" si="6"/>
        <v>69</v>
      </c>
      <c r="M251" s="2">
        <f t="shared" si="6"/>
        <v>21</v>
      </c>
      <c r="N251" s="2">
        <f t="shared" si="6"/>
        <v>18</v>
      </c>
      <c r="O251" s="2">
        <f t="shared" si="6"/>
        <v>157</v>
      </c>
      <c r="P251" s="2">
        <f t="shared" si="6"/>
        <v>30</v>
      </c>
      <c r="Q251" s="2">
        <f t="shared" si="6"/>
        <v>61</v>
      </c>
      <c r="R251" s="2">
        <f t="shared" si="6"/>
        <v>135</v>
      </c>
      <c r="S251" s="2">
        <f t="shared" si="6"/>
        <v>37</v>
      </c>
      <c r="T251" s="2">
        <f t="shared" si="6"/>
        <v>99</v>
      </c>
      <c r="U251" s="2">
        <f t="shared" si="6"/>
        <v>18</v>
      </c>
      <c r="V251" s="2">
        <f t="shared" si="6"/>
        <v>37</v>
      </c>
      <c r="W251" s="2">
        <f t="shared" si="6"/>
        <v>196</v>
      </c>
      <c r="X251" s="2">
        <f t="shared" si="6"/>
        <v>152</v>
      </c>
      <c r="Y251" s="2">
        <f t="shared" si="6"/>
        <v>200</v>
      </c>
      <c r="Z251" s="2">
        <f t="shared" si="6"/>
        <v>103</v>
      </c>
      <c r="AA251" s="2">
        <f t="shared" si="6"/>
        <v>53</v>
      </c>
      <c r="AB251" s="2">
        <f t="shared" si="6"/>
        <v>12</v>
      </c>
      <c r="AC251" s="2">
        <f t="shared" si="6"/>
        <v>95</v>
      </c>
      <c r="AD251" s="2">
        <f t="shared" si="6"/>
        <v>85</v>
      </c>
      <c r="AE251" s="2">
        <f t="shared" si="6"/>
        <v>102</v>
      </c>
      <c r="AF251" s="2">
        <f t="shared" si="6"/>
        <v>192</v>
      </c>
      <c r="AG251" s="2">
        <f t="shared" si="6"/>
        <v>122</v>
      </c>
      <c r="AH251" s="2">
        <f t="shared" si="6"/>
        <v>78</v>
      </c>
      <c r="AI251" s="2">
        <f t="shared" si="6"/>
        <v>61</v>
      </c>
      <c r="AJ251" s="2">
        <f t="shared" si="6"/>
        <v>18</v>
      </c>
      <c r="AK251" s="2">
        <f t="shared" si="6"/>
        <v>206</v>
      </c>
      <c r="AL251" s="2">
        <f t="shared" si="6"/>
        <v>232</v>
      </c>
      <c r="AM251" s="2">
        <f t="shared" si="6"/>
        <v>157</v>
      </c>
      <c r="AN251" s="2">
        <f t="shared" si="6"/>
        <v>201</v>
      </c>
      <c r="AO251" s="2">
        <f t="shared" si="6"/>
        <v>224</v>
      </c>
      <c r="AP251" s="2">
        <f t="shared" si="6"/>
        <v>192</v>
      </c>
      <c r="AQ251" s="2">
        <f t="shared" si="6"/>
        <v>184</v>
      </c>
      <c r="AR251" s="2">
        <f t="shared" si="6"/>
        <v>141</v>
      </c>
      <c r="AS251" s="2">
        <f t="shared" si="6"/>
        <v>204</v>
      </c>
      <c r="AT251" s="2">
        <f t="shared" si="6"/>
        <v>224</v>
      </c>
      <c r="AU251" s="2">
        <f t="shared" si="6"/>
        <v>28</v>
      </c>
      <c r="AV251" s="2">
        <f t="shared" si="6"/>
        <v>218</v>
      </c>
      <c r="AW251" s="2">
        <f t="shared" si="6"/>
        <v>111</v>
      </c>
      <c r="AX251" s="2">
        <f t="shared" si="6"/>
        <v>141</v>
      </c>
      <c r="AY251" s="2">
        <f t="shared" si="6"/>
        <v>105</v>
      </c>
      <c r="AZ251" s="2">
        <f t="shared" si="6"/>
        <v>221</v>
      </c>
      <c r="BA251" s="2">
        <f t="shared" si="6"/>
        <v>95</v>
      </c>
      <c r="BB251" s="2">
        <f t="shared" si="6"/>
        <v>45</v>
      </c>
      <c r="BC251" s="2">
        <f t="shared" si="6"/>
        <v>152</v>
      </c>
      <c r="BD251" s="2">
        <f t="shared" si="6"/>
        <v>192</v>
      </c>
      <c r="BE251" s="2">
        <f t="shared" si="6"/>
        <v>183</v>
      </c>
      <c r="BF251" s="2">
        <f t="shared" si="6"/>
        <v>233</v>
      </c>
      <c r="BG251" s="2">
        <f t="shared" si="6"/>
        <v>124</v>
      </c>
      <c r="BH251" s="2">
        <f t="shared" si="6"/>
        <v>192</v>
      </c>
      <c r="BI251" s="2">
        <f t="shared" si="6"/>
        <v>228</v>
      </c>
      <c r="BJ251" s="2">
        <f t="shared" si="6"/>
        <v>226</v>
      </c>
    </row>
    <row r="252" spans="1:62" x14ac:dyDescent="0.4">
      <c r="A252" s="5">
        <f t="shared" si="4"/>
        <v>60</v>
      </c>
      <c r="B252" s="57" t="s">
        <v>1063</v>
      </c>
      <c r="C252" s="2">
        <f>C251+C250</f>
        <v>245</v>
      </c>
      <c r="D252" s="2">
        <f t="shared" ref="D252:BJ252" si="7">D251+D250</f>
        <v>245</v>
      </c>
      <c r="E252" s="2">
        <f t="shared" si="7"/>
        <v>245</v>
      </c>
      <c r="F252" s="2">
        <f t="shared" si="7"/>
        <v>245</v>
      </c>
      <c r="G252" s="2">
        <f t="shared" si="7"/>
        <v>245</v>
      </c>
      <c r="H252" s="2">
        <f t="shared" si="7"/>
        <v>245</v>
      </c>
      <c r="I252" s="2">
        <f t="shared" si="7"/>
        <v>245</v>
      </c>
      <c r="J252" s="2">
        <f t="shared" si="7"/>
        <v>245</v>
      </c>
      <c r="K252" s="2">
        <f t="shared" si="7"/>
        <v>245</v>
      </c>
      <c r="L252" s="2">
        <f t="shared" si="7"/>
        <v>245</v>
      </c>
      <c r="M252" s="2">
        <f t="shared" si="7"/>
        <v>245</v>
      </c>
      <c r="N252" s="2">
        <f t="shared" si="7"/>
        <v>245</v>
      </c>
      <c r="O252" s="2">
        <f t="shared" si="7"/>
        <v>245</v>
      </c>
      <c r="P252" s="2">
        <f t="shared" si="7"/>
        <v>245</v>
      </c>
      <c r="Q252" s="2">
        <f t="shared" si="7"/>
        <v>245</v>
      </c>
      <c r="R252" s="2">
        <f t="shared" si="7"/>
        <v>245</v>
      </c>
      <c r="S252" s="2">
        <f t="shared" si="7"/>
        <v>245</v>
      </c>
      <c r="T252" s="2">
        <f t="shared" si="7"/>
        <v>245</v>
      </c>
      <c r="U252" s="2">
        <f t="shared" si="7"/>
        <v>245</v>
      </c>
      <c r="V252" s="2">
        <f t="shared" si="7"/>
        <v>245</v>
      </c>
      <c r="W252" s="2">
        <f t="shared" si="7"/>
        <v>245</v>
      </c>
      <c r="X252" s="2">
        <f t="shared" si="7"/>
        <v>245</v>
      </c>
      <c r="Y252" s="2">
        <f t="shared" si="7"/>
        <v>245</v>
      </c>
      <c r="Z252" s="2">
        <f t="shared" si="7"/>
        <v>245</v>
      </c>
      <c r="AA252" s="2">
        <f t="shared" si="7"/>
        <v>245</v>
      </c>
      <c r="AB252" s="2">
        <f t="shared" si="7"/>
        <v>245</v>
      </c>
      <c r="AC252" s="2">
        <f t="shared" si="7"/>
        <v>245</v>
      </c>
      <c r="AD252" s="2">
        <f t="shared" si="7"/>
        <v>245</v>
      </c>
      <c r="AE252" s="2">
        <f t="shared" si="7"/>
        <v>245</v>
      </c>
      <c r="AF252" s="2">
        <f t="shared" si="7"/>
        <v>245</v>
      </c>
      <c r="AG252" s="2">
        <f t="shared" si="7"/>
        <v>245</v>
      </c>
      <c r="AH252" s="2">
        <f t="shared" si="7"/>
        <v>245</v>
      </c>
      <c r="AI252" s="2">
        <f t="shared" si="7"/>
        <v>245</v>
      </c>
      <c r="AJ252" s="2">
        <f t="shared" si="7"/>
        <v>245</v>
      </c>
      <c r="AK252" s="2">
        <f t="shared" si="7"/>
        <v>245</v>
      </c>
      <c r="AL252" s="2">
        <f t="shared" si="7"/>
        <v>245</v>
      </c>
      <c r="AM252" s="2">
        <f t="shared" si="7"/>
        <v>245</v>
      </c>
      <c r="AN252" s="2">
        <f t="shared" si="7"/>
        <v>245</v>
      </c>
      <c r="AO252" s="2">
        <f t="shared" si="7"/>
        <v>245</v>
      </c>
      <c r="AP252" s="2">
        <f t="shared" si="7"/>
        <v>245</v>
      </c>
      <c r="AQ252" s="2">
        <f t="shared" si="7"/>
        <v>245</v>
      </c>
      <c r="AR252" s="2">
        <f t="shared" si="7"/>
        <v>245</v>
      </c>
      <c r="AS252" s="2">
        <f t="shared" si="7"/>
        <v>245</v>
      </c>
      <c r="AT252" s="2">
        <f t="shared" si="7"/>
        <v>245</v>
      </c>
      <c r="AU252" s="2">
        <f t="shared" si="7"/>
        <v>245</v>
      </c>
      <c r="AV252" s="2">
        <f t="shared" si="7"/>
        <v>245</v>
      </c>
      <c r="AW252" s="2">
        <f t="shared" si="7"/>
        <v>245</v>
      </c>
      <c r="AX252" s="2">
        <f t="shared" si="7"/>
        <v>245</v>
      </c>
      <c r="AY252" s="2">
        <f t="shared" si="7"/>
        <v>245</v>
      </c>
      <c r="AZ252" s="2">
        <f t="shared" si="7"/>
        <v>245</v>
      </c>
      <c r="BA252" s="2">
        <f t="shared" si="7"/>
        <v>245</v>
      </c>
      <c r="BB252" s="2">
        <f t="shared" si="7"/>
        <v>245</v>
      </c>
      <c r="BC252" s="2">
        <f t="shared" si="7"/>
        <v>245</v>
      </c>
      <c r="BD252" s="2">
        <f t="shared" si="7"/>
        <v>245</v>
      </c>
      <c r="BE252" s="2">
        <f t="shared" si="7"/>
        <v>245</v>
      </c>
      <c r="BF252" s="2">
        <f t="shared" si="7"/>
        <v>245</v>
      </c>
      <c r="BG252" s="2">
        <f t="shared" si="7"/>
        <v>245</v>
      </c>
      <c r="BH252" s="2">
        <f t="shared" si="7"/>
        <v>245</v>
      </c>
      <c r="BI252" s="2">
        <f t="shared" si="7"/>
        <v>245</v>
      </c>
      <c r="BJ252" s="2">
        <f t="shared" si="7"/>
        <v>245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4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6" sqref="K16"/>
    </sheetView>
  </sheetViews>
  <sheetFormatPr defaultRowHeight="17.399999999999999" x14ac:dyDescent="0.4"/>
  <cols>
    <col min="1" max="1" width="5" style="5" bestFit="1" customWidth="1"/>
    <col min="2" max="2" width="22.796875" style="5" bestFit="1" customWidth="1"/>
    <col min="3" max="3" width="10.8984375" bestFit="1" customWidth="1"/>
    <col min="4" max="6" width="10.3984375" bestFit="1" customWidth="1"/>
    <col min="7" max="7" width="16.296875" bestFit="1" customWidth="1"/>
    <col min="8" max="8" width="10.3984375" bestFit="1" customWidth="1"/>
    <col min="9" max="9" width="18.296875" bestFit="1" customWidth="1"/>
    <col min="10" max="10" width="10.3984375" bestFit="1" customWidth="1"/>
    <col min="11" max="11" width="18.296875" bestFit="1" customWidth="1"/>
    <col min="12" max="12" width="16.296875" bestFit="1" customWidth="1"/>
    <col min="13" max="13" width="16.296875" style="5" bestFit="1" customWidth="1"/>
    <col min="14" max="14" width="13.296875" style="5" bestFit="1" customWidth="1"/>
    <col min="15" max="15" width="13.296875" style="5" customWidth="1"/>
    <col min="16" max="16" width="17.59765625" style="5" bestFit="1" customWidth="1"/>
  </cols>
  <sheetData>
    <row r="1" spans="1:16" x14ac:dyDescent="0.4">
      <c r="A1" s="6" t="s">
        <v>247</v>
      </c>
      <c r="B1" s="7" t="s">
        <v>1333</v>
      </c>
      <c r="C1" s="7" t="s">
        <v>299</v>
      </c>
      <c r="D1" s="7" t="s">
        <v>300</v>
      </c>
      <c r="E1" s="7" t="s">
        <v>301</v>
      </c>
      <c r="F1" s="7" t="s">
        <v>302</v>
      </c>
      <c r="G1" s="7" t="s">
        <v>303</v>
      </c>
      <c r="H1" s="7" t="s">
        <v>304</v>
      </c>
      <c r="I1" s="7" t="s">
        <v>305</v>
      </c>
      <c r="J1" s="7" t="s">
        <v>306</v>
      </c>
      <c r="K1" s="7" t="s">
        <v>307</v>
      </c>
      <c r="L1" s="7" t="s">
        <v>308</v>
      </c>
      <c r="M1" s="9" t="s">
        <v>676</v>
      </c>
      <c r="N1" s="9" t="s">
        <v>1331</v>
      </c>
      <c r="O1" s="9" t="s">
        <v>1332</v>
      </c>
      <c r="P1" s="44" t="s">
        <v>960</v>
      </c>
    </row>
    <row r="2" spans="1:16" x14ac:dyDescent="0.4">
      <c r="A2" s="5">
        <v>1</v>
      </c>
      <c r="B2" s="4" t="s">
        <v>1</v>
      </c>
      <c r="P2" s="5">
        <f t="shared" ref="P2:P65" si="0">COUNTA(C2:N2)</f>
        <v>0</v>
      </c>
    </row>
    <row r="3" spans="1:16" x14ac:dyDescent="0.4">
      <c r="A3" s="5">
        <v>2</v>
      </c>
      <c r="B3" s="3" t="s">
        <v>22</v>
      </c>
      <c r="C3" s="5" t="s">
        <v>309</v>
      </c>
      <c r="D3" s="5" t="s">
        <v>429</v>
      </c>
      <c r="E3" s="5" t="s">
        <v>499</v>
      </c>
      <c r="F3" s="5" t="s">
        <v>343</v>
      </c>
      <c r="G3" s="5" t="s">
        <v>543</v>
      </c>
      <c r="H3" s="5" t="s">
        <v>579</v>
      </c>
      <c r="I3" s="5" t="s">
        <v>516</v>
      </c>
      <c r="J3" s="5" t="s">
        <v>309</v>
      </c>
      <c r="K3" s="5" t="s">
        <v>543</v>
      </c>
      <c r="L3" s="5" t="s">
        <v>660</v>
      </c>
      <c r="M3" s="5" t="s">
        <v>961</v>
      </c>
      <c r="N3" s="5" t="s">
        <v>963</v>
      </c>
      <c r="P3" s="5">
        <f t="shared" si="0"/>
        <v>12</v>
      </c>
    </row>
    <row r="4" spans="1:16" x14ac:dyDescent="0.4">
      <c r="A4" s="5">
        <v>3</v>
      </c>
      <c r="B4" s="3" t="s">
        <v>2</v>
      </c>
      <c r="C4" s="5" t="s">
        <v>310</v>
      </c>
      <c r="D4" s="5" t="s">
        <v>328</v>
      </c>
      <c r="E4" s="5" t="s">
        <v>500</v>
      </c>
      <c r="F4" s="5"/>
      <c r="G4" s="5" t="s">
        <v>544</v>
      </c>
      <c r="H4" s="5" t="s">
        <v>565</v>
      </c>
      <c r="I4" s="5" t="s">
        <v>563</v>
      </c>
      <c r="J4" s="5" t="s">
        <v>356</v>
      </c>
      <c r="K4" s="5"/>
      <c r="L4" s="5" t="s">
        <v>565</v>
      </c>
      <c r="M4" s="5" t="s">
        <v>963</v>
      </c>
      <c r="N4" s="5" t="s">
        <v>979</v>
      </c>
      <c r="P4" s="5">
        <f t="shared" si="0"/>
        <v>10</v>
      </c>
    </row>
    <row r="5" spans="1:16" x14ac:dyDescent="0.4">
      <c r="A5" s="5">
        <v>4</v>
      </c>
      <c r="B5" s="3" t="s">
        <v>3</v>
      </c>
      <c r="C5" s="5" t="s">
        <v>311</v>
      </c>
      <c r="D5" s="5" t="s">
        <v>311</v>
      </c>
      <c r="E5" s="5" t="s">
        <v>311</v>
      </c>
      <c r="F5" s="5"/>
      <c r="G5" s="5" t="s">
        <v>311</v>
      </c>
      <c r="H5" s="5" t="s">
        <v>311</v>
      </c>
      <c r="I5" s="5" t="s">
        <v>311</v>
      </c>
      <c r="J5" s="5" t="s">
        <v>311</v>
      </c>
      <c r="K5" s="5" t="s">
        <v>311</v>
      </c>
      <c r="L5" s="5" t="s">
        <v>311</v>
      </c>
      <c r="M5" s="5" t="s">
        <v>964</v>
      </c>
      <c r="N5" s="5" t="s">
        <v>346</v>
      </c>
      <c r="P5" s="5">
        <f t="shared" si="0"/>
        <v>11</v>
      </c>
    </row>
    <row r="6" spans="1:16" x14ac:dyDescent="0.4">
      <c r="A6" s="5">
        <v>5</v>
      </c>
      <c r="B6" s="3" t="s">
        <v>4</v>
      </c>
      <c r="C6" s="5" t="s">
        <v>312</v>
      </c>
      <c r="D6" s="5" t="s">
        <v>430</v>
      </c>
      <c r="E6" s="5"/>
      <c r="F6" s="5"/>
      <c r="G6" s="5" t="s">
        <v>414</v>
      </c>
      <c r="H6" s="5" t="s">
        <v>352</v>
      </c>
      <c r="I6" s="5" t="s">
        <v>352</v>
      </c>
      <c r="J6" s="5" t="s">
        <v>433</v>
      </c>
      <c r="K6" s="5" t="s">
        <v>383</v>
      </c>
      <c r="L6" s="5" t="s">
        <v>352</v>
      </c>
      <c r="M6" s="5" t="s">
        <v>394</v>
      </c>
      <c r="N6" s="5" t="s">
        <v>963</v>
      </c>
      <c r="O6" s="5" t="s">
        <v>1334</v>
      </c>
      <c r="P6" s="5">
        <f t="shared" si="0"/>
        <v>10</v>
      </c>
    </row>
    <row r="7" spans="1:16" x14ac:dyDescent="0.4">
      <c r="A7" s="5">
        <v>6</v>
      </c>
      <c r="B7" s="3" t="s">
        <v>5</v>
      </c>
      <c r="C7" s="5" t="s">
        <v>313</v>
      </c>
      <c r="D7" s="5" t="s">
        <v>431</v>
      </c>
      <c r="E7" s="5" t="s">
        <v>501</v>
      </c>
      <c r="F7" s="5"/>
      <c r="G7" s="5" t="s">
        <v>416</v>
      </c>
      <c r="H7" s="5" t="s">
        <v>355</v>
      </c>
      <c r="I7" s="5" t="s">
        <v>309</v>
      </c>
      <c r="J7" s="5" t="s">
        <v>389</v>
      </c>
      <c r="K7" s="5" t="s">
        <v>313</v>
      </c>
      <c r="L7" s="5"/>
      <c r="M7" s="5" t="s">
        <v>966</v>
      </c>
      <c r="N7" s="5" t="s">
        <v>443</v>
      </c>
      <c r="O7" s="5" t="s">
        <v>1335</v>
      </c>
      <c r="P7" s="5">
        <f t="shared" si="0"/>
        <v>10</v>
      </c>
    </row>
    <row r="8" spans="1:16" x14ac:dyDescent="0.4">
      <c r="A8" s="5">
        <v>7</v>
      </c>
      <c r="B8" s="3" t="s">
        <v>6</v>
      </c>
      <c r="C8" s="5"/>
      <c r="D8" s="5" t="s">
        <v>432</v>
      </c>
      <c r="E8" s="5"/>
      <c r="F8" s="5"/>
      <c r="G8" s="5"/>
      <c r="H8" s="5"/>
      <c r="I8" s="5"/>
      <c r="J8" s="5"/>
      <c r="K8" s="5" t="s">
        <v>649</v>
      </c>
      <c r="L8" s="5" t="s">
        <v>660</v>
      </c>
      <c r="M8" s="5" t="s">
        <v>502</v>
      </c>
      <c r="N8" s="5" t="s">
        <v>979</v>
      </c>
      <c r="P8" s="5">
        <f t="shared" si="0"/>
        <v>5</v>
      </c>
    </row>
    <row r="9" spans="1:16" x14ac:dyDescent="0.4">
      <c r="A9" s="5">
        <v>8</v>
      </c>
      <c r="B9" s="3" t="s">
        <v>7</v>
      </c>
      <c r="C9" s="5" t="s">
        <v>314</v>
      </c>
      <c r="D9" s="5" t="s">
        <v>338</v>
      </c>
      <c r="E9" s="5"/>
      <c r="F9" s="5"/>
      <c r="G9" s="5" t="s">
        <v>314</v>
      </c>
      <c r="H9" s="5" t="s">
        <v>314</v>
      </c>
      <c r="I9" s="5" t="s">
        <v>314</v>
      </c>
      <c r="J9" s="5" t="s">
        <v>314</v>
      </c>
      <c r="K9" s="5" t="s">
        <v>314</v>
      </c>
      <c r="L9" s="5"/>
      <c r="M9" s="5" t="s">
        <v>967</v>
      </c>
      <c r="N9" s="5" t="s">
        <v>504</v>
      </c>
      <c r="O9" s="5" t="s">
        <v>569</v>
      </c>
      <c r="P9" s="5">
        <f t="shared" si="0"/>
        <v>9</v>
      </c>
    </row>
    <row r="10" spans="1:16" x14ac:dyDescent="0.4">
      <c r="A10" s="5">
        <v>9</v>
      </c>
      <c r="B10" s="3" t="s">
        <v>8</v>
      </c>
      <c r="C10" s="5" t="s">
        <v>315</v>
      </c>
      <c r="D10" s="5" t="s">
        <v>433</v>
      </c>
      <c r="E10" s="5" t="s">
        <v>324</v>
      </c>
      <c r="F10" s="5"/>
      <c r="G10" s="5" t="s">
        <v>545</v>
      </c>
      <c r="H10" s="5" t="s">
        <v>580</v>
      </c>
      <c r="I10" s="5" t="s">
        <v>609</v>
      </c>
      <c r="J10" s="5" t="s">
        <v>470</v>
      </c>
      <c r="K10" s="5" t="s">
        <v>649</v>
      </c>
      <c r="L10" s="5" t="s">
        <v>661</v>
      </c>
      <c r="M10" s="5" t="s">
        <v>349</v>
      </c>
      <c r="N10" s="5" t="s">
        <v>970</v>
      </c>
      <c r="P10" s="5">
        <f t="shared" si="0"/>
        <v>11</v>
      </c>
    </row>
    <row r="11" spans="1:16" x14ac:dyDescent="0.4">
      <c r="A11" s="5">
        <v>10</v>
      </c>
      <c r="B11" s="3" t="s">
        <v>9</v>
      </c>
      <c r="C11" s="5" t="s">
        <v>316</v>
      </c>
      <c r="D11" s="5" t="s">
        <v>429</v>
      </c>
      <c r="E11" s="5"/>
      <c r="F11" s="5"/>
      <c r="G11" s="5" t="s">
        <v>546</v>
      </c>
      <c r="H11" s="5" t="s">
        <v>516</v>
      </c>
      <c r="I11" s="5" t="s">
        <v>511</v>
      </c>
      <c r="J11" s="5" t="s">
        <v>626</v>
      </c>
      <c r="K11" s="5" t="s">
        <v>650</v>
      </c>
      <c r="L11" s="5" t="s">
        <v>516</v>
      </c>
      <c r="M11" s="5" t="s">
        <v>604</v>
      </c>
      <c r="N11" s="5" t="s">
        <v>979</v>
      </c>
      <c r="O11" s="5" t="s">
        <v>1336</v>
      </c>
      <c r="P11" s="5">
        <f t="shared" si="0"/>
        <v>10</v>
      </c>
    </row>
    <row r="12" spans="1:16" x14ac:dyDescent="0.4">
      <c r="A12" s="5">
        <v>11</v>
      </c>
      <c r="B12" s="3" t="s">
        <v>23</v>
      </c>
      <c r="C12" s="5"/>
      <c r="D12" s="5" t="s">
        <v>434</v>
      </c>
      <c r="E12" s="5"/>
      <c r="F12" s="5"/>
      <c r="G12" s="5"/>
      <c r="H12" s="5"/>
      <c r="I12" s="5"/>
      <c r="J12" s="5"/>
      <c r="K12" s="5"/>
      <c r="L12" s="5"/>
      <c r="M12" s="5" t="s">
        <v>328</v>
      </c>
      <c r="N12" s="5" t="s">
        <v>373</v>
      </c>
      <c r="O12" s="5" t="s">
        <v>390</v>
      </c>
      <c r="P12" s="5">
        <f t="shared" si="0"/>
        <v>3</v>
      </c>
    </row>
    <row r="13" spans="1:16" x14ac:dyDescent="0.4">
      <c r="A13" s="5">
        <v>12</v>
      </c>
      <c r="B13" s="3" t="s">
        <v>10</v>
      </c>
      <c r="C13" s="5" t="s">
        <v>317</v>
      </c>
      <c r="D13" s="5" t="s">
        <v>317</v>
      </c>
      <c r="E13" s="5" t="s">
        <v>467</v>
      </c>
      <c r="F13" s="5"/>
      <c r="G13" s="5" t="s">
        <v>317</v>
      </c>
      <c r="H13" s="5" t="s">
        <v>317</v>
      </c>
      <c r="I13" s="5" t="s">
        <v>317</v>
      </c>
      <c r="J13" s="5" t="s">
        <v>317</v>
      </c>
      <c r="K13" s="5" t="s">
        <v>317</v>
      </c>
      <c r="L13" s="5" t="s">
        <v>467</v>
      </c>
      <c r="M13" s="5" t="s">
        <v>372</v>
      </c>
      <c r="N13" s="5" t="s">
        <v>346</v>
      </c>
      <c r="O13" s="5" t="s">
        <v>1337</v>
      </c>
      <c r="P13" s="5">
        <f t="shared" si="0"/>
        <v>11</v>
      </c>
    </row>
    <row r="14" spans="1:16" x14ac:dyDescent="0.4">
      <c r="A14" s="5">
        <v>13</v>
      </c>
      <c r="B14" s="3" t="s">
        <v>11</v>
      </c>
      <c r="C14" s="5" t="s">
        <v>318</v>
      </c>
      <c r="D14" s="5" t="s">
        <v>435</v>
      </c>
      <c r="E14" s="5" t="s">
        <v>502</v>
      </c>
      <c r="F14" s="5" t="s">
        <v>350</v>
      </c>
      <c r="G14" s="5" t="s">
        <v>318</v>
      </c>
      <c r="H14" s="5" t="s">
        <v>420</v>
      </c>
      <c r="I14" s="5" t="s">
        <v>420</v>
      </c>
      <c r="J14" s="5" t="s">
        <v>420</v>
      </c>
      <c r="K14" s="5" t="s">
        <v>318</v>
      </c>
      <c r="L14" s="5" t="s">
        <v>662</v>
      </c>
      <c r="M14" s="5" t="s">
        <v>969</v>
      </c>
      <c r="N14" s="5" t="s">
        <v>963</v>
      </c>
      <c r="O14" s="5" t="s">
        <v>652</v>
      </c>
      <c r="P14" s="5">
        <f t="shared" si="0"/>
        <v>12</v>
      </c>
    </row>
    <row r="15" spans="1:16" x14ac:dyDescent="0.4">
      <c r="A15" s="5">
        <v>14</v>
      </c>
      <c r="B15" s="3" t="s">
        <v>12</v>
      </c>
      <c r="C15" s="5" t="s">
        <v>319</v>
      </c>
      <c r="D15" s="5" t="s">
        <v>341</v>
      </c>
      <c r="E15" s="5" t="s">
        <v>462</v>
      </c>
      <c r="F15" s="5"/>
      <c r="G15" s="5" t="s">
        <v>547</v>
      </c>
      <c r="H15" s="5" t="s">
        <v>462</v>
      </c>
      <c r="I15" s="5" t="s">
        <v>610</v>
      </c>
      <c r="J15" s="5" t="s">
        <v>462</v>
      </c>
      <c r="K15" s="5" t="s">
        <v>498</v>
      </c>
      <c r="L15" s="5" t="s">
        <v>332</v>
      </c>
      <c r="M15" s="5" t="s">
        <v>970</v>
      </c>
      <c r="N15" s="5" t="s">
        <v>334</v>
      </c>
      <c r="P15" s="5">
        <f t="shared" si="0"/>
        <v>11</v>
      </c>
    </row>
    <row r="16" spans="1:16" x14ac:dyDescent="0.4">
      <c r="A16" s="5">
        <v>15</v>
      </c>
      <c r="B16" s="3" t="s">
        <v>24</v>
      </c>
      <c r="C16" s="5" t="s">
        <v>320</v>
      </c>
      <c r="D16" s="5" t="s">
        <v>436</v>
      </c>
      <c r="E16" s="5"/>
      <c r="F16" s="5"/>
      <c r="G16" s="5" t="s">
        <v>326</v>
      </c>
      <c r="H16" s="5" t="s">
        <v>352</v>
      </c>
      <c r="I16" s="5" t="s">
        <v>418</v>
      </c>
      <c r="J16" s="5" t="s">
        <v>627</v>
      </c>
      <c r="K16" s="5" t="s">
        <v>320</v>
      </c>
      <c r="L16" s="5" t="s">
        <v>548</v>
      </c>
      <c r="M16" s="5" t="s">
        <v>624</v>
      </c>
      <c r="N16" s="5" t="s">
        <v>969</v>
      </c>
      <c r="O16" s="5" t="s">
        <v>572</v>
      </c>
      <c r="P16" s="5">
        <f t="shared" si="0"/>
        <v>10</v>
      </c>
    </row>
    <row r="17" spans="1:16" x14ac:dyDescent="0.4">
      <c r="A17" s="5">
        <v>16</v>
      </c>
      <c r="B17" s="3" t="s">
        <v>13</v>
      </c>
      <c r="C17" s="5" t="s">
        <v>321</v>
      </c>
      <c r="D17" s="5" t="s">
        <v>437</v>
      </c>
      <c r="E17" s="5"/>
      <c r="F17" s="5" t="s">
        <v>525</v>
      </c>
      <c r="G17" s="5" t="s">
        <v>524</v>
      </c>
      <c r="H17" s="5"/>
      <c r="I17" s="5" t="s">
        <v>611</v>
      </c>
      <c r="J17" s="5" t="s">
        <v>620</v>
      </c>
      <c r="K17" s="5" t="s">
        <v>599</v>
      </c>
      <c r="L17" s="5" t="s">
        <v>418</v>
      </c>
      <c r="M17" s="5" t="s">
        <v>971</v>
      </c>
      <c r="N17" s="5" t="s">
        <v>372</v>
      </c>
      <c r="P17" s="5">
        <f t="shared" si="0"/>
        <v>10</v>
      </c>
    </row>
    <row r="18" spans="1:16" x14ac:dyDescent="0.4">
      <c r="A18" s="5">
        <v>17</v>
      </c>
      <c r="B18" s="3" t="s">
        <v>14</v>
      </c>
      <c r="C18" s="5" t="s">
        <v>322</v>
      </c>
      <c r="D18" s="5" t="s">
        <v>362</v>
      </c>
      <c r="E18" s="5" t="s">
        <v>428</v>
      </c>
      <c r="F18" s="5"/>
      <c r="G18" s="5" t="s">
        <v>413</v>
      </c>
      <c r="H18" s="5" t="s">
        <v>581</v>
      </c>
      <c r="I18" s="5" t="s">
        <v>499</v>
      </c>
      <c r="J18" s="5" t="s">
        <v>310</v>
      </c>
      <c r="K18" s="5" t="s">
        <v>322</v>
      </c>
      <c r="L18" s="5" t="s">
        <v>663</v>
      </c>
      <c r="M18" s="5" t="s">
        <v>509</v>
      </c>
      <c r="N18" s="5" t="s">
        <v>971</v>
      </c>
      <c r="P18" s="5">
        <f t="shared" si="0"/>
        <v>11</v>
      </c>
    </row>
    <row r="19" spans="1:16" x14ac:dyDescent="0.4">
      <c r="A19" s="5">
        <v>18</v>
      </c>
      <c r="B19" s="3" t="s">
        <v>25</v>
      </c>
      <c r="C19" s="5" t="s">
        <v>323</v>
      </c>
      <c r="D19" s="5" t="s">
        <v>438</v>
      </c>
      <c r="E19" s="5" t="s">
        <v>412</v>
      </c>
      <c r="F19" s="5"/>
      <c r="G19" s="5" t="s">
        <v>501</v>
      </c>
      <c r="H19" s="5" t="s">
        <v>325</v>
      </c>
      <c r="I19" s="5" t="s">
        <v>429</v>
      </c>
      <c r="J19" s="5" t="s">
        <v>628</v>
      </c>
      <c r="K19" s="5" t="s">
        <v>350</v>
      </c>
      <c r="L19" s="5" t="s">
        <v>585</v>
      </c>
      <c r="M19" s="5" t="s">
        <v>963</v>
      </c>
      <c r="N19" s="5" t="s">
        <v>979</v>
      </c>
      <c r="O19" s="5" t="s">
        <v>493</v>
      </c>
      <c r="P19" s="5">
        <f t="shared" si="0"/>
        <v>11</v>
      </c>
    </row>
    <row r="20" spans="1:16" x14ac:dyDescent="0.4">
      <c r="A20" s="5">
        <v>19</v>
      </c>
      <c r="B20" s="3" t="s">
        <v>15</v>
      </c>
      <c r="C20" s="5" t="s">
        <v>324</v>
      </c>
      <c r="D20" s="5" t="s">
        <v>374</v>
      </c>
      <c r="E20" s="5" t="s">
        <v>449</v>
      </c>
      <c r="F20" s="5"/>
      <c r="G20" s="5" t="s">
        <v>341</v>
      </c>
      <c r="H20" s="5" t="s">
        <v>582</v>
      </c>
      <c r="I20" s="5" t="s">
        <v>612</v>
      </c>
      <c r="J20" s="5" t="s">
        <v>629</v>
      </c>
      <c r="K20" s="5" t="s">
        <v>356</v>
      </c>
      <c r="L20" s="5" t="s">
        <v>664</v>
      </c>
      <c r="M20" s="5" t="s">
        <v>973</v>
      </c>
      <c r="N20" s="5" t="s">
        <v>984</v>
      </c>
      <c r="P20" s="5">
        <f t="shared" si="0"/>
        <v>11</v>
      </c>
    </row>
    <row r="21" spans="1:16" x14ac:dyDescent="0.4">
      <c r="A21" s="5">
        <v>20</v>
      </c>
      <c r="B21" s="3" t="s">
        <v>16</v>
      </c>
      <c r="C21" s="5" t="s">
        <v>315</v>
      </c>
      <c r="D21" s="5" t="s">
        <v>362</v>
      </c>
      <c r="E21" s="5" t="s">
        <v>326</v>
      </c>
      <c r="F21" s="5"/>
      <c r="G21" s="5" t="s">
        <v>548</v>
      </c>
      <c r="H21" s="5" t="s">
        <v>583</v>
      </c>
      <c r="I21" s="5" t="s">
        <v>363</v>
      </c>
      <c r="J21" s="5" t="s">
        <v>630</v>
      </c>
      <c r="K21" s="5" t="s">
        <v>315</v>
      </c>
      <c r="L21" s="5" t="s">
        <v>464</v>
      </c>
      <c r="M21" s="5" t="s">
        <v>504</v>
      </c>
      <c r="N21" s="5" t="s">
        <v>979</v>
      </c>
      <c r="O21" s="5" t="s">
        <v>1337</v>
      </c>
      <c r="P21" s="5">
        <f t="shared" si="0"/>
        <v>11</v>
      </c>
    </row>
    <row r="22" spans="1:16" x14ac:dyDescent="0.4">
      <c r="A22" s="5">
        <v>21</v>
      </c>
      <c r="B22" s="3" t="s">
        <v>17</v>
      </c>
      <c r="C22" s="5" t="s">
        <v>325</v>
      </c>
      <c r="D22" s="5" t="s">
        <v>439</v>
      </c>
      <c r="E22" s="5"/>
      <c r="F22" s="5"/>
      <c r="G22" s="5" t="s">
        <v>549</v>
      </c>
      <c r="H22" s="5" t="s">
        <v>354</v>
      </c>
      <c r="I22" s="5" t="s">
        <v>323</v>
      </c>
      <c r="J22" s="5" t="s">
        <v>427</v>
      </c>
      <c r="K22" s="5" t="s">
        <v>325</v>
      </c>
      <c r="L22" s="5" t="s">
        <v>655</v>
      </c>
      <c r="M22" s="5" t="s">
        <v>975</v>
      </c>
      <c r="N22" s="5" t="s">
        <v>989</v>
      </c>
      <c r="P22" s="5">
        <f t="shared" si="0"/>
        <v>10</v>
      </c>
    </row>
    <row r="23" spans="1:16" x14ac:dyDescent="0.4">
      <c r="A23" s="5">
        <v>22</v>
      </c>
      <c r="B23" s="3" t="s">
        <v>18</v>
      </c>
      <c r="C23" s="5" t="s">
        <v>326</v>
      </c>
      <c r="D23" s="5" t="s">
        <v>364</v>
      </c>
      <c r="E23" s="5" t="s">
        <v>503</v>
      </c>
      <c r="F23" s="5"/>
      <c r="G23" s="5" t="s">
        <v>331</v>
      </c>
      <c r="H23" s="5" t="s">
        <v>331</v>
      </c>
      <c r="I23" s="5" t="s">
        <v>331</v>
      </c>
      <c r="J23" s="5" t="s">
        <v>503</v>
      </c>
      <c r="K23" s="5" t="s">
        <v>326</v>
      </c>
      <c r="L23" s="5" t="s">
        <v>352</v>
      </c>
      <c r="M23" s="5" t="s">
        <v>967</v>
      </c>
      <c r="N23" s="5" t="s">
        <v>311</v>
      </c>
      <c r="P23" s="5">
        <f t="shared" si="0"/>
        <v>11</v>
      </c>
    </row>
    <row r="24" spans="1:16" x14ac:dyDescent="0.4">
      <c r="A24" s="5">
        <v>23</v>
      </c>
      <c r="B24" s="3" t="s">
        <v>19</v>
      </c>
      <c r="C24" s="5" t="s">
        <v>327</v>
      </c>
      <c r="D24" s="5" t="s">
        <v>366</v>
      </c>
      <c r="E24" s="5" t="s">
        <v>504</v>
      </c>
      <c r="F24" s="5"/>
      <c r="G24" s="5" t="s">
        <v>391</v>
      </c>
      <c r="H24" s="5" t="s">
        <v>584</v>
      </c>
      <c r="I24" s="5" t="s">
        <v>333</v>
      </c>
      <c r="J24" s="5" t="s">
        <v>342</v>
      </c>
      <c r="K24" s="5" t="s">
        <v>524</v>
      </c>
      <c r="L24" s="5" t="s">
        <v>342</v>
      </c>
      <c r="M24" s="5" t="s">
        <v>966</v>
      </c>
      <c r="N24" s="5" t="s">
        <v>963</v>
      </c>
      <c r="O24" s="5" t="s">
        <v>968</v>
      </c>
      <c r="P24" s="5">
        <f t="shared" si="0"/>
        <v>11</v>
      </c>
    </row>
    <row r="25" spans="1:16" x14ac:dyDescent="0.4">
      <c r="A25" s="5">
        <v>24</v>
      </c>
      <c r="B25" s="3" t="s">
        <v>20</v>
      </c>
      <c r="C25" s="5" t="s">
        <v>328</v>
      </c>
      <c r="D25" s="5" t="s">
        <v>342</v>
      </c>
      <c r="E25" s="5" t="s">
        <v>500</v>
      </c>
      <c r="F25" s="5"/>
      <c r="G25" s="5" t="s">
        <v>351</v>
      </c>
      <c r="H25" s="5" t="s">
        <v>334</v>
      </c>
      <c r="I25" s="5" t="s">
        <v>443</v>
      </c>
      <c r="J25" s="5" t="s">
        <v>385</v>
      </c>
      <c r="K25" s="5" t="s">
        <v>328</v>
      </c>
      <c r="L25" s="5"/>
      <c r="M25" s="5" t="s">
        <v>969</v>
      </c>
      <c r="N25" s="5" t="s">
        <v>366</v>
      </c>
      <c r="P25" s="5">
        <f t="shared" si="0"/>
        <v>10</v>
      </c>
    </row>
    <row r="26" spans="1:16" x14ac:dyDescent="0.4">
      <c r="A26" s="5">
        <v>25</v>
      </c>
      <c r="B26" s="3" t="s">
        <v>26</v>
      </c>
      <c r="C26" s="5" t="s">
        <v>329</v>
      </c>
      <c r="D26" s="5" t="s">
        <v>429</v>
      </c>
      <c r="E26" s="5" t="s">
        <v>329</v>
      </c>
      <c r="F26" s="5"/>
      <c r="G26" s="5" t="s">
        <v>484</v>
      </c>
      <c r="H26" s="5" t="s">
        <v>585</v>
      </c>
      <c r="I26" s="5" t="s">
        <v>613</v>
      </c>
      <c r="J26" s="5" t="s">
        <v>585</v>
      </c>
      <c r="K26" s="5" t="s">
        <v>329</v>
      </c>
      <c r="L26" s="5" t="s">
        <v>585</v>
      </c>
      <c r="M26" s="5" t="s">
        <v>487</v>
      </c>
      <c r="N26" s="5" t="s">
        <v>979</v>
      </c>
      <c r="O26" s="5" t="s">
        <v>1337</v>
      </c>
      <c r="P26" s="5">
        <f t="shared" si="0"/>
        <v>11</v>
      </c>
    </row>
    <row r="27" spans="1:16" x14ac:dyDescent="0.4">
      <c r="A27" s="5">
        <v>26</v>
      </c>
      <c r="B27" s="3" t="s">
        <v>21</v>
      </c>
      <c r="C27" s="5"/>
      <c r="D27" s="5" t="s">
        <v>440</v>
      </c>
      <c r="E27" s="5"/>
      <c r="F27" s="5"/>
      <c r="G27" s="5"/>
      <c r="H27" s="5"/>
      <c r="I27" s="5"/>
      <c r="J27" s="5"/>
      <c r="K27" s="5"/>
      <c r="L27" s="5"/>
      <c r="M27" s="5" t="s">
        <v>970</v>
      </c>
      <c r="N27" s="5" t="s">
        <v>311</v>
      </c>
      <c r="O27" s="5" t="s">
        <v>1338</v>
      </c>
      <c r="P27" s="5">
        <f t="shared" si="0"/>
        <v>3</v>
      </c>
    </row>
    <row r="28" spans="1:16" x14ac:dyDescent="0.4">
      <c r="A28" s="5">
        <v>27</v>
      </c>
      <c r="B28" s="3" t="s">
        <v>27</v>
      </c>
      <c r="C28" s="5"/>
      <c r="D28" s="5"/>
      <c r="E28" s="5"/>
      <c r="F28" s="5"/>
      <c r="G28" s="5"/>
      <c r="H28" s="5"/>
      <c r="I28" s="5"/>
      <c r="J28" s="5"/>
      <c r="K28" s="5"/>
      <c r="L28" s="5"/>
      <c r="P28" s="5">
        <f t="shared" si="0"/>
        <v>0</v>
      </c>
    </row>
    <row r="29" spans="1:16" x14ac:dyDescent="0.4">
      <c r="A29" s="5">
        <v>28</v>
      </c>
      <c r="B29" s="3" t="s">
        <v>28</v>
      </c>
      <c r="C29" s="5" t="s">
        <v>330</v>
      </c>
      <c r="D29" s="5" t="s">
        <v>330</v>
      </c>
      <c r="E29" s="5" t="s">
        <v>330</v>
      </c>
      <c r="F29" s="5"/>
      <c r="G29" s="5" t="s">
        <v>330</v>
      </c>
      <c r="H29" s="5"/>
      <c r="I29" s="5" t="s">
        <v>330</v>
      </c>
      <c r="J29" s="5" t="s">
        <v>330</v>
      </c>
      <c r="K29" s="5" t="s">
        <v>562</v>
      </c>
      <c r="L29" s="5" t="s">
        <v>311</v>
      </c>
      <c r="M29" s="5" t="s">
        <v>349</v>
      </c>
      <c r="N29" s="5" t="s">
        <v>394</v>
      </c>
      <c r="P29" s="5">
        <f t="shared" si="0"/>
        <v>10</v>
      </c>
    </row>
    <row r="30" spans="1:16" x14ac:dyDescent="0.4">
      <c r="A30" s="5">
        <v>29</v>
      </c>
      <c r="B30" s="3" t="s">
        <v>29</v>
      </c>
      <c r="C30" s="5" t="s">
        <v>331</v>
      </c>
      <c r="D30" s="5" t="s">
        <v>339</v>
      </c>
      <c r="E30" s="5" t="s">
        <v>366</v>
      </c>
      <c r="F30" s="5" t="s">
        <v>331</v>
      </c>
      <c r="G30" s="5" t="s">
        <v>351</v>
      </c>
      <c r="H30" s="5" t="s">
        <v>586</v>
      </c>
      <c r="I30" s="5"/>
      <c r="J30" s="5" t="s">
        <v>366</v>
      </c>
      <c r="K30" s="5" t="s">
        <v>339</v>
      </c>
      <c r="L30" s="5" t="s">
        <v>339</v>
      </c>
      <c r="M30" s="5" t="s">
        <v>566</v>
      </c>
      <c r="N30" s="5" t="s">
        <v>970</v>
      </c>
      <c r="O30" s="5" t="s">
        <v>379</v>
      </c>
      <c r="P30" s="5">
        <f t="shared" si="0"/>
        <v>11</v>
      </c>
    </row>
    <row r="31" spans="1:16" x14ac:dyDescent="0.4">
      <c r="A31" s="5">
        <v>30</v>
      </c>
      <c r="B31" s="3" t="s">
        <v>30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 t="s">
        <v>451</v>
      </c>
      <c r="P31" s="5">
        <f t="shared" si="0"/>
        <v>1</v>
      </c>
    </row>
    <row r="32" spans="1:16" x14ac:dyDescent="0.4">
      <c r="A32" s="5">
        <v>31</v>
      </c>
      <c r="B32" s="3" t="s">
        <v>31</v>
      </c>
      <c r="C32" s="5" t="s">
        <v>332</v>
      </c>
      <c r="D32" s="5" t="s">
        <v>422</v>
      </c>
      <c r="E32" s="5" t="s">
        <v>505</v>
      </c>
      <c r="F32" s="5" t="s">
        <v>328</v>
      </c>
      <c r="G32" s="5" t="s">
        <v>503</v>
      </c>
      <c r="H32" s="5"/>
      <c r="I32" s="5" t="s">
        <v>443</v>
      </c>
      <c r="J32" s="5" t="s">
        <v>422</v>
      </c>
      <c r="K32" s="5" t="s">
        <v>383</v>
      </c>
      <c r="L32" s="5" t="s">
        <v>627</v>
      </c>
      <c r="M32" s="5" t="s">
        <v>566</v>
      </c>
      <c r="N32" s="5" t="s">
        <v>504</v>
      </c>
      <c r="P32" s="5">
        <f t="shared" si="0"/>
        <v>11</v>
      </c>
    </row>
    <row r="33" spans="1:16" x14ac:dyDescent="0.4">
      <c r="A33" s="5">
        <v>32</v>
      </c>
      <c r="B33" s="3" t="s">
        <v>32</v>
      </c>
      <c r="C33" s="5" t="s">
        <v>333</v>
      </c>
      <c r="D33" s="5" t="s">
        <v>356</v>
      </c>
      <c r="E33" s="5"/>
      <c r="F33" s="5"/>
      <c r="G33" s="5" t="s">
        <v>339</v>
      </c>
      <c r="H33" s="5" t="s">
        <v>339</v>
      </c>
      <c r="I33" s="5" t="s">
        <v>339</v>
      </c>
      <c r="J33" s="5" t="s">
        <v>366</v>
      </c>
      <c r="K33" s="5"/>
      <c r="L33" s="5" t="s">
        <v>519</v>
      </c>
      <c r="M33" s="5" t="s">
        <v>962</v>
      </c>
      <c r="N33" s="5" t="s">
        <v>963</v>
      </c>
      <c r="P33" s="5">
        <f t="shared" si="0"/>
        <v>9</v>
      </c>
    </row>
    <row r="34" spans="1:16" x14ac:dyDescent="0.4">
      <c r="A34" s="5">
        <v>33</v>
      </c>
      <c r="B34" s="3" t="s">
        <v>33</v>
      </c>
      <c r="C34" s="5" t="s">
        <v>334</v>
      </c>
      <c r="D34" s="5" t="s">
        <v>334</v>
      </c>
      <c r="E34" s="5"/>
      <c r="F34" s="5"/>
      <c r="G34" s="5" t="s">
        <v>349</v>
      </c>
      <c r="H34" s="5" t="s">
        <v>349</v>
      </c>
      <c r="I34" s="5" t="s">
        <v>342</v>
      </c>
      <c r="J34" s="5" t="s">
        <v>333</v>
      </c>
      <c r="K34" s="5" t="s">
        <v>373</v>
      </c>
      <c r="L34" s="5" t="s">
        <v>373</v>
      </c>
      <c r="M34" s="5" t="s">
        <v>504</v>
      </c>
      <c r="N34" s="5" t="s">
        <v>963</v>
      </c>
      <c r="P34" s="5">
        <f t="shared" si="0"/>
        <v>10</v>
      </c>
    </row>
    <row r="35" spans="1:16" x14ac:dyDescent="0.4">
      <c r="A35" s="5">
        <v>34</v>
      </c>
      <c r="B35" s="3" t="s">
        <v>34</v>
      </c>
      <c r="C35" s="5" t="s">
        <v>328</v>
      </c>
      <c r="D35" s="5" t="s">
        <v>441</v>
      </c>
      <c r="E35" s="5" t="s">
        <v>492</v>
      </c>
      <c r="F35" s="5"/>
      <c r="G35" s="5" t="s">
        <v>339</v>
      </c>
      <c r="H35" s="5" t="s">
        <v>363</v>
      </c>
      <c r="I35" s="5" t="s">
        <v>614</v>
      </c>
      <c r="J35" s="5" t="s">
        <v>351</v>
      </c>
      <c r="K35" s="5" t="s">
        <v>328</v>
      </c>
      <c r="L35" s="5" t="s">
        <v>492</v>
      </c>
      <c r="M35" s="5" t="s">
        <v>967</v>
      </c>
      <c r="N35" s="5" t="s">
        <v>963</v>
      </c>
      <c r="P35" s="5">
        <f t="shared" si="0"/>
        <v>11</v>
      </c>
    </row>
    <row r="36" spans="1:16" x14ac:dyDescent="0.4">
      <c r="A36" s="5">
        <v>35</v>
      </c>
      <c r="B36" s="3" t="s">
        <v>35</v>
      </c>
      <c r="C36" s="5" t="s">
        <v>335</v>
      </c>
      <c r="D36" s="5" t="s">
        <v>380</v>
      </c>
      <c r="E36" s="5"/>
      <c r="F36" s="5" t="s">
        <v>526</v>
      </c>
      <c r="G36" s="5" t="s">
        <v>550</v>
      </c>
      <c r="H36" s="5" t="s">
        <v>587</v>
      </c>
      <c r="I36" s="5" t="s">
        <v>615</v>
      </c>
      <c r="J36" s="5" t="s">
        <v>631</v>
      </c>
      <c r="K36" s="5" t="s">
        <v>651</v>
      </c>
      <c r="L36" s="5" t="s">
        <v>665</v>
      </c>
      <c r="M36" s="5" t="s">
        <v>465</v>
      </c>
      <c r="N36" s="5" t="s">
        <v>963</v>
      </c>
      <c r="O36" s="5" t="s">
        <v>435</v>
      </c>
      <c r="P36" s="5">
        <f t="shared" si="0"/>
        <v>11</v>
      </c>
    </row>
    <row r="37" spans="1:16" x14ac:dyDescent="0.4">
      <c r="A37" s="5">
        <v>36</v>
      </c>
      <c r="B37" s="3" t="s">
        <v>36</v>
      </c>
      <c r="C37" s="5" t="s">
        <v>336</v>
      </c>
      <c r="D37" s="5" t="s">
        <v>334</v>
      </c>
      <c r="E37" s="5" t="s">
        <v>392</v>
      </c>
      <c r="F37" s="5"/>
      <c r="G37" s="5" t="s">
        <v>443</v>
      </c>
      <c r="H37" s="5" t="s">
        <v>388</v>
      </c>
      <c r="I37" s="5" t="s">
        <v>523</v>
      </c>
      <c r="J37" s="5" t="s">
        <v>311</v>
      </c>
      <c r="K37" s="5" t="s">
        <v>389</v>
      </c>
      <c r="L37" s="5" t="s">
        <v>326</v>
      </c>
      <c r="M37" s="5" t="s">
        <v>504</v>
      </c>
      <c r="N37" s="5" t="s">
        <v>963</v>
      </c>
      <c r="O37" s="5" t="s">
        <v>1337</v>
      </c>
      <c r="P37" s="5">
        <f t="shared" si="0"/>
        <v>11</v>
      </c>
    </row>
    <row r="38" spans="1:16" x14ac:dyDescent="0.4">
      <c r="A38" s="5">
        <v>37</v>
      </c>
      <c r="B38" s="3" t="s">
        <v>37</v>
      </c>
      <c r="C38" s="5" t="s">
        <v>337</v>
      </c>
      <c r="D38" s="5" t="s">
        <v>442</v>
      </c>
      <c r="E38" s="5"/>
      <c r="F38" s="5"/>
      <c r="G38" s="5" t="s">
        <v>551</v>
      </c>
      <c r="H38" s="5" t="s">
        <v>484</v>
      </c>
      <c r="I38" s="5" t="s">
        <v>423</v>
      </c>
      <c r="J38" s="5" t="s">
        <v>416</v>
      </c>
      <c r="K38" s="5"/>
      <c r="L38" s="5" t="s">
        <v>418</v>
      </c>
      <c r="M38" s="5" t="s">
        <v>334</v>
      </c>
      <c r="N38" s="5" t="s">
        <v>979</v>
      </c>
      <c r="P38" s="5">
        <f t="shared" si="0"/>
        <v>9</v>
      </c>
    </row>
    <row r="39" spans="1:16" x14ac:dyDescent="0.4">
      <c r="A39" s="5">
        <v>38</v>
      </c>
      <c r="B39" s="3" t="s">
        <v>38</v>
      </c>
      <c r="C39" s="5" t="s">
        <v>330</v>
      </c>
      <c r="D39" s="5" t="s">
        <v>330</v>
      </c>
      <c r="E39" s="5"/>
      <c r="F39" s="5"/>
      <c r="G39" s="5" t="s">
        <v>330</v>
      </c>
      <c r="H39" s="5" t="s">
        <v>330</v>
      </c>
      <c r="I39" s="5" t="s">
        <v>330</v>
      </c>
      <c r="J39" s="5" t="s">
        <v>330</v>
      </c>
      <c r="K39" s="5" t="s">
        <v>330</v>
      </c>
      <c r="L39" s="5" t="s">
        <v>330</v>
      </c>
      <c r="M39" s="5" t="s">
        <v>443</v>
      </c>
      <c r="N39" s="5" t="s">
        <v>963</v>
      </c>
      <c r="P39" s="5">
        <f t="shared" si="0"/>
        <v>10</v>
      </c>
    </row>
    <row r="40" spans="1:16" x14ac:dyDescent="0.4">
      <c r="A40" s="5">
        <v>39</v>
      </c>
      <c r="B40" s="3" t="s">
        <v>39</v>
      </c>
      <c r="C40" s="5"/>
      <c r="D40" s="5"/>
      <c r="E40" s="5"/>
      <c r="F40" s="5"/>
      <c r="G40" s="5"/>
      <c r="H40" s="5" t="s">
        <v>339</v>
      </c>
      <c r="I40" s="5" t="s">
        <v>331</v>
      </c>
      <c r="J40" s="5"/>
      <c r="K40" s="5"/>
      <c r="L40" s="5"/>
      <c r="M40" s="5" t="s">
        <v>977</v>
      </c>
      <c r="P40" s="5">
        <f t="shared" si="0"/>
        <v>3</v>
      </c>
    </row>
    <row r="41" spans="1:16" x14ac:dyDescent="0.4">
      <c r="A41" s="5">
        <v>40</v>
      </c>
      <c r="B41" s="3" t="s">
        <v>40</v>
      </c>
      <c r="C41" s="5" t="s">
        <v>338</v>
      </c>
      <c r="D41" s="5" t="s">
        <v>443</v>
      </c>
      <c r="E41" s="5" t="s">
        <v>506</v>
      </c>
      <c r="F41" s="5"/>
      <c r="G41" s="5" t="s">
        <v>552</v>
      </c>
      <c r="H41" s="5" t="s">
        <v>366</v>
      </c>
      <c r="I41" s="5" t="s">
        <v>443</v>
      </c>
      <c r="J41" s="5" t="s">
        <v>506</v>
      </c>
      <c r="K41" s="5" t="s">
        <v>443</v>
      </c>
      <c r="L41" s="5" t="s">
        <v>506</v>
      </c>
      <c r="M41" s="5" t="s">
        <v>515</v>
      </c>
      <c r="N41" s="5" t="s">
        <v>333</v>
      </c>
      <c r="P41" s="5">
        <f t="shared" si="0"/>
        <v>11</v>
      </c>
    </row>
    <row r="42" spans="1:16" x14ac:dyDescent="0.4">
      <c r="A42" s="5">
        <v>41</v>
      </c>
      <c r="B42" s="3" t="s">
        <v>41</v>
      </c>
      <c r="C42" s="5" t="s">
        <v>339</v>
      </c>
      <c r="D42" s="5" t="s">
        <v>328</v>
      </c>
      <c r="E42" s="5"/>
      <c r="F42" s="5"/>
      <c r="G42" s="5" t="s">
        <v>331</v>
      </c>
      <c r="H42" s="5" t="s">
        <v>325</v>
      </c>
      <c r="I42" s="5" t="s">
        <v>339</v>
      </c>
      <c r="J42" s="5" t="s">
        <v>632</v>
      </c>
      <c r="K42" s="5"/>
      <c r="L42" s="5" t="s">
        <v>373</v>
      </c>
      <c r="M42" s="5" t="s">
        <v>521</v>
      </c>
      <c r="N42" s="5" t="s">
        <v>971</v>
      </c>
      <c r="P42" s="5">
        <f t="shared" si="0"/>
        <v>9</v>
      </c>
    </row>
    <row r="43" spans="1:16" x14ac:dyDescent="0.4">
      <c r="A43" s="5">
        <v>42</v>
      </c>
      <c r="B43" s="3" t="s">
        <v>42</v>
      </c>
      <c r="C43" s="5" t="s">
        <v>331</v>
      </c>
      <c r="D43" s="5" t="s">
        <v>339</v>
      </c>
      <c r="E43" s="5"/>
      <c r="F43" s="5"/>
      <c r="G43" s="5" t="s">
        <v>339</v>
      </c>
      <c r="H43" s="5" t="s">
        <v>424</v>
      </c>
      <c r="I43" s="5" t="s">
        <v>375</v>
      </c>
      <c r="J43" s="5" t="s">
        <v>443</v>
      </c>
      <c r="K43" s="5"/>
      <c r="L43" s="5" t="s">
        <v>335</v>
      </c>
      <c r="M43" s="5" t="s">
        <v>978</v>
      </c>
      <c r="N43" s="5" t="s">
        <v>359</v>
      </c>
      <c r="O43" s="5" t="s">
        <v>1339</v>
      </c>
      <c r="P43" s="5">
        <f t="shared" si="0"/>
        <v>9</v>
      </c>
    </row>
    <row r="44" spans="1:16" x14ac:dyDescent="0.4">
      <c r="A44" s="5">
        <v>43</v>
      </c>
      <c r="B44" s="3" t="s">
        <v>43</v>
      </c>
      <c r="C44" s="5" t="s">
        <v>333</v>
      </c>
      <c r="D44" s="5" t="s">
        <v>444</v>
      </c>
      <c r="E44" s="5" t="s">
        <v>342</v>
      </c>
      <c r="F44" s="5" t="s">
        <v>342</v>
      </c>
      <c r="G44" s="5" t="s">
        <v>553</v>
      </c>
      <c r="H44" s="5" t="s">
        <v>422</v>
      </c>
      <c r="I44" s="5" t="s">
        <v>373</v>
      </c>
      <c r="J44" s="5" t="s">
        <v>422</v>
      </c>
      <c r="K44" s="5" t="s">
        <v>333</v>
      </c>
      <c r="L44" s="5" t="s">
        <v>349</v>
      </c>
      <c r="M44" s="5" t="s">
        <v>966</v>
      </c>
      <c r="N44" s="5" t="s">
        <v>969</v>
      </c>
      <c r="O44" s="5" t="s">
        <v>393</v>
      </c>
      <c r="P44" s="5">
        <f t="shared" si="0"/>
        <v>12</v>
      </c>
    </row>
    <row r="45" spans="1:16" x14ac:dyDescent="0.4">
      <c r="A45" s="5">
        <v>44</v>
      </c>
      <c r="B45" s="3" t="s">
        <v>44</v>
      </c>
      <c r="C45" s="5"/>
      <c r="D45" s="5"/>
      <c r="E45" s="5"/>
      <c r="F45" s="5"/>
      <c r="G45" s="5"/>
      <c r="H45" s="5"/>
      <c r="I45" s="5"/>
      <c r="J45" s="5"/>
      <c r="K45" s="5"/>
      <c r="L45" s="5"/>
      <c r="P45" s="5">
        <f t="shared" si="0"/>
        <v>0</v>
      </c>
    </row>
    <row r="46" spans="1:16" x14ac:dyDescent="0.4">
      <c r="A46" s="5">
        <v>45</v>
      </c>
      <c r="B46" s="3" t="s">
        <v>45</v>
      </c>
      <c r="C46" s="5" t="s">
        <v>340</v>
      </c>
      <c r="D46" s="5" t="s">
        <v>383</v>
      </c>
      <c r="E46" s="5"/>
      <c r="F46" s="5" t="s">
        <v>527</v>
      </c>
      <c r="G46" s="5" t="s">
        <v>340</v>
      </c>
      <c r="H46" s="5" t="s">
        <v>309</v>
      </c>
      <c r="I46" s="5" t="s">
        <v>510</v>
      </c>
      <c r="J46" s="5" t="s">
        <v>351</v>
      </c>
      <c r="K46" s="5" t="s">
        <v>383</v>
      </c>
      <c r="L46" s="5" t="s">
        <v>527</v>
      </c>
      <c r="M46" s="5" t="s">
        <v>349</v>
      </c>
      <c r="N46" s="5" t="s">
        <v>963</v>
      </c>
      <c r="O46" s="5" t="s">
        <v>353</v>
      </c>
      <c r="P46" s="5">
        <f t="shared" si="0"/>
        <v>11</v>
      </c>
    </row>
    <row r="47" spans="1:16" x14ac:dyDescent="0.4">
      <c r="A47" s="5">
        <v>46</v>
      </c>
      <c r="B47" s="3" t="s">
        <v>46</v>
      </c>
      <c r="C47" s="5" t="s">
        <v>341</v>
      </c>
      <c r="D47" s="5" t="s">
        <v>406</v>
      </c>
      <c r="E47" s="5" t="s">
        <v>507</v>
      </c>
      <c r="F47" s="5"/>
      <c r="G47" s="5" t="s">
        <v>504</v>
      </c>
      <c r="H47" s="5" t="s">
        <v>588</v>
      </c>
      <c r="I47" s="5" t="s">
        <v>370</v>
      </c>
      <c r="J47" s="5" t="s">
        <v>370</v>
      </c>
      <c r="K47" s="5" t="s">
        <v>339</v>
      </c>
      <c r="L47" s="5" t="s">
        <v>406</v>
      </c>
      <c r="M47" s="5" t="s">
        <v>366</v>
      </c>
      <c r="N47" s="5" t="s">
        <v>969</v>
      </c>
      <c r="O47" s="5" t="s">
        <v>509</v>
      </c>
      <c r="P47" s="5">
        <f t="shared" si="0"/>
        <v>11</v>
      </c>
    </row>
    <row r="48" spans="1:16" x14ac:dyDescent="0.4">
      <c r="A48" s="5">
        <v>47</v>
      </c>
      <c r="B48" s="3" t="s">
        <v>47</v>
      </c>
      <c r="C48" s="5" t="s">
        <v>342</v>
      </c>
      <c r="D48" s="5" t="s">
        <v>422</v>
      </c>
      <c r="E48" s="5"/>
      <c r="F48" s="5" t="s">
        <v>422</v>
      </c>
      <c r="G48" s="5" t="s">
        <v>331</v>
      </c>
      <c r="H48" s="5" t="s">
        <v>422</v>
      </c>
      <c r="I48" s="5" t="s">
        <v>422</v>
      </c>
      <c r="J48" s="5" t="s">
        <v>422</v>
      </c>
      <c r="K48" s="5" t="s">
        <v>328</v>
      </c>
      <c r="L48" s="5" t="s">
        <v>331</v>
      </c>
      <c r="M48" s="5" t="s">
        <v>542</v>
      </c>
      <c r="N48" s="5" t="s">
        <v>979</v>
      </c>
      <c r="P48" s="5">
        <f t="shared" si="0"/>
        <v>11</v>
      </c>
    </row>
    <row r="49" spans="1:16" x14ac:dyDescent="0.4">
      <c r="A49" s="5">
        <v>48</v>
      </c>
      <c r="B49" s="3" t="s">
        <v>48</v>
      </c>
      <c r="C49" s="5" t="s">
        <v>343</v>
      </c>
      <c r="D49" s="5" t="s">
        <v>445</v>
      </c>
      <c r="E49" s="5" t="s">
        <v>471</v>
      </c>
      <c r="F49" s="5"/>
      <c r="G49" s="5" t="s">
        <v>554</v>
      </c>
      <c r="H49" s="5" t="s">
        <v>370</v>
      </c>
      <c r="I49" s="5"/>
      <c r="J49" s="5" t="s">
        <v>633</v>
      </c>
      <c r="K49" s="5" t="s">
        <v>343</v>
      </c>
      <c r="L49" s="5"/>
      <c r="M49" s="5" t="s">
        <v>969</v>
      </c>
      <c r="N49" s="5" t="s">
        <v>970</v>
      </c>
      <c r="P49" s="5">
        <f t="shared" si="0"/>
        <v>9</v>
      </c>
    </row>
    <row r="50" spans="1:16" x14ac:dyDescent="0.4">
      <c r="A50" s="5">
        <v>49</v>
      </c>
      <c r="B50" s="3" t="s">
        <v>49</v>
      </c>
      <c r="C50" s="5" t="s">
        <v>344</v>
      </c>
      <c r="D50" s="5" t="s">
        <v>437</v>
      </c>
      <c r="E50" s="5" t="s">
        <v>311</v>
      </c>
      <c r="F50" s="5" t="s">
        <v>311</v>
      </c>
      <c r="G50" s="5" t="s">
        <v>330</v>
      </c>
      <c r="H50" s="5" t="s">
        <v>311</v>
      </c>
      <c r="I50" s="5" t="s">
        <v>330</v>
      </c>
      <c r="J50" s="5" t="s">
        <v>311</v>
      </c>
      <c r="K50" s="5" t="s">
        <v>344</v>
      </c>
      <c r="L50" s="5" t="s">
        <v>311</v>
      </c>
      <c r="M50" s="5" t="s">
        <v>980</v>
      </c>
      <c r="N50" s="5" t="s">
        <v>979</v>
      </c>
      <c r="O50" s="5" t="s">
        <v>609</v>
      </c>
      <c r="P50" s="5">
        <f t="shared" si="0"/>
        <v>12</v>
      </c>
    </row>
    <row r="51" spans="1:16" x14ac:dyDescent="0.4">
      <c r="A51" s="5">
        <v>50</v>
      </c>
      <c r="B51" s="3" t="s">
        <v>50</v>
      </c>
      <c r="C51" s="5" t="s">
        <v>311</v>
      </c>
      <c r="D51" s="5" t="s">
        <v>366</v>
      </c>
      <c r="E51" s="5"/>
      <c r="F51" s="5"/>
      <c r="G51" s="5" t="s">
        <v>339</v>
      </c>
      <c r="H51" s="5"/>
      <c r="I51" s="5" t="s">
        <v>349</v>
      </c>
      <c r="J51" s="5"/>
      <c r="K51" s="5" t="s">
        <v>330</v>
      </c>
      <c r="L51" s="5" t="s">
        <v>330</v>
      </c>
      <c r="M51" s="5" t="s">
        <v>962</v>
      </c>
      <c r="N51" s="5" t="s">
        <v>979</v>
      </c>
      <c r="P51" s="5">
        <f t="shared" si="0"/>
        <v>8</v>
      </c>
    </row>
    <row r="52" spans="1:16" x14ac:dyDescent="0.4">
      <c r="A52" s="5">
        <v>51</v>
      </c>
      <c r="B52" s="3" t="s">
        <v>51</v>
      </c>
      <c r="C52" s="5" t="s">
        <v>328</v>
      </c>
      <c r="D52" s="5" t="s">
        <v>328</v>
      </c>
      <c r="E52" s="5" t="s">
        <v>437</v>
      </c>
      <c r="F52" s="5" t="s">
        <v>528</v>
      </c>
      <c r="G52" s="5" t="s">
        <v>555</v>
      </c>
      <c r="H52" s="5" t="s">
        <v>409</v>
      </c>
      <c r="I52" s="5" t="s">
        <v>424</v>
      </c>
      <c r="J52" s="5" t="s">
        <v>336</v>
      </c>
      <c r="K52" s="5" t="s">
        <v>350</v>
      </c>
      <c r="L52" s="5" t="s">
        <v>492</v>
      </c>
      <c r="M52" s="5" t="s">
        <v>333</v>
      </c>
      <c r="N52" s="5" t="s">
        <v>346</v>
      </c>
      <c r="O52" s="5" t="s">
        <v>1337</v>
      </c>
      <c r="P52" s="5">
        <f t="shared" si="0"/>
        <v>12</v>
      </c>
    </row>
    <row r="53" spans="1:16" x14ac:dyDescent="0.4">
      <c r="A53" s="5">
        <v>52</v>
      </c>
      <c r="B53" s="3" t="s">
        <v>52</v>
      </c>
      <c r="C53" s="5" t="s">
        <v>345</v>
      </c>
      <c r="D53" s="5" t="s">
        <v>446</v>
      </c>
      <c r="E53" s="5"/>
      <c r="F53" s="5" t="s">
        <v>423</v>
      </c>
      <c r="G53" s="5" t="s">
        <v>556</v>
      </c>
      <c r="H53" s="5" t="s">
        <v>589</v>
      </c>
      <c r="I53" s="5" t="s">
        <v>616</v>
      </c>
      <c r="J53" s="5" t="s">
        <v>634</v>
      </c>
      <c r="K53" s="5" t="s">
        <v>345</v>
      </c>
      <c r="L53" s="5"/>
      <c r="M53" s="5" t="s">
        <v>311</v>
      </c>
      <c r="N53" s="5" t="s">
        <v>963</v>
      </c>
      <c r="O53" s="5" t="s">
        <v>604</v>
      </c>
      <c r="P53" s="5">
        <f t="shared" si="0"/>
        <v>10</v>
      </c>
    </row>
    <row r="54" spans="1:16" x14ac:dyDescent="0.4">
      <c r="A54" s="5">
        <v>53</v>
      </c>
      <c r="B54" s="3" t="s">
        <v>53</v>
      </c>
      <c r="C54" s="5" t="s">
        <v>346</v>
      </c>
      <c r="D54" s="5" t="s">
        <v>333</v>
      </c>
      <c r="E54" s="5"/>
      <c r="F54" s="5" t="s">
        <v>529</v>
      </c>
      <c r="G54" s="5" t="s">
        <v>557</v>
      </c>
      <c r="H54" s="5" t="s">
        <v>538</v>
      </c>
      <c r="I54" s="5" t="s">
        <v>617</v>
      </c>
      <c r="J54" s="5" t="s">
        <v>529</v>
      </c>
      <c r="K54" s="5" t="s">
        <v>346</v>
      </c>
      <c r="L54" s="5" t="s">
        <v>529</v>
      </c>
      <c r="M54" s="5" t="s">
        <v>966</v>
      </c>
      <c r="N54" s="5" t="s">
        <v>984</v>
      </c>
      <c r="O54" s="5" t="s">
        <v>465</v>
      </c>
      <c r="P54" s="5">
        <f t="shared" si="0"/>
        <v>11</v>
      </c>
    </row>
    <row r="55" spans="1:16" x14ac:dyDescent="0.4">
      <c r="A55" s="5">
        <v>54</v>
      </c>
      <c r="B55" s="3" t="s">
        <v>54</v>
      </c>
      <c r="C55" s="5" t="s">
        <v>339</v>
      </c>
      <c r="D55" s="5" t="s">
        <v>422</v>
      </c>
      <c r="E55" s="5" t="s">
        <v>373</v>
      </c>
      <c r="F55" s="5" t="s">
        <v>383</v>
      </c>
      <c r="G55" s="5" t="s">
        <v>333</v>
      </c>
      <c r="H55" s="5" t="s">
        <v>383</v>
      </c>
      <c r="I55" s="5" t="s">
        <v>383</v>
      </c>
      <c r="J55" s="5" t="s">
        <v>328</v>
      </c>
      <c r="K55" s="5" t="s">
        <v>333</v>
      </c>
      <c r="L55" s="5" t="s">
        <v>383</v>
      </c>
      <c r="M55" s="5" t="s">
        <v>965</v>
      </c>
      <c r="N55" s="5" t="s">
        <v>963</v>
      </c>
      <c r="O55" s="5" t="s">
        <v>969</v>
      </c>
      <c r="P55" s="5">
        <f t="shared" si="0"/>
        <v>12</v>
      </c>
    </row>
    <row r="56" spans="1:16" x14ac:dyDescent="0.4">
      <c r="A56" s="5">
        <v>55</v>
      </c>
      <c r="B56" s="3" t="s">
        <v>55</v>
      </c>
      <c r="C56" s="5"/>
      <c r="D56" s="5"/>
      <c r="E56" s="5"/>
      <c r="F56" s="5"/>
      <c r="G56" s="5"/>
      <c r="H56" s="5"/>
      <c r="I56" s="5"/>
      <c r="J56" s="5"/>
      <c r="K56" s="5"/>
      <c r="L56" s="5"/>
      <c r="P56" s="5">
        <f t="shared" si="0"/>
        <v>0</v>
      </c>
    </row>
    <row r="57" spans="1:16" x14ac:dyDescent="0.4">
      <c r="A57" s="5">
        <v>56</v>
      </c>
      <c r="B57" s="3" t="s">
        <v>56</v>
      </c>
      <c r="C57" s="5" t="s">
        <v>347</v>
      </c>
      <c r="D57" s="5"/>
      <c r="E57" s="5" t="s">
        <v>347</v>
      </c>
      <c r="F57" s="5"/>
      <c r="G57" s="5" t="s">
        <v>347</v>
      </c>
      <c r="H57" s="5" t="s">
        <v>347</v>
      </c>
      <c r="I57" s="5" t="s">
        <v>347</v>
      </c>
      <c r="J57" s="5" t="s">
        <v>347</v>
      </c>
      <c r="K57" s="5" t="s">
        <v>347</v>
      </c>
      <c r="L57" s="5" t="s">
        <v>347</v>
      </c>
      <c r="M57" s="5" t="s">
        <v>539</v>
      </c>
      <c r="N57" s="5" t="s">
        <v>971</v>
      </c>
      <c r="P57" s="5">
        <f t="shared" si="0"/>
        <v>10</v>
      </c>
    </row>
    <row r="58" spans="1:16" x14ac:dyDescent="0.4">
      <c r="A58" s="5">
        <v>57</v>
      </c>
      <c r="B58" s="3" t="s">
        <v>57</v>
      </c>
      <c r="C58" s="5" t="s">
        <v>348</v>
      </c>
      <c r="D58" s="5"/>
      <c r="E58" s="5"/>
      <c r="F58" s="5"/>
      <c r="G58" s="5"/>
      <c r="H58" s="5"/>
      <c r="I58" s="5" t="s">
        <v>490</v>
      </c>
      <c r="J58" s="5"/>
      <c r="K58" s="5"/>
      <c r="L58" s="5"/>
      <c r="M58" s="5" t="s">
        <v>963</v>
      </c>
      <c r="P58" s="5">
        <f t="shared" si="0"/>
        <v>3</v>
      </c>
    </row>
    <row r="59" spans="1:16" x14ac:dyDescent="0.4">
      <c r="A59" s="5">
        <v>58</v>
      </c>
      <c r="B59" s="3" t="s">
        <v>58</v>
      </c>
      <c r="C59" s="5" t="s">
        <v>349</v>
      </c>
      <c r="D59" s="5" t="s">
        <v>447</v>
      </c>
      <c r="E59" s="5" t="s">
        <v>333</v>
      </c>
      <c r="F59" s="5"/>
      <c r="G59" s="5" t="s">
        <v>342</v>
      </c>
      <c r="H59" s="5" t="s">
        <v>333</v>
      </c>
      <c r="I59" s="5" t="s">
        <v>373</v>
      </c>
      <c r="J59" s="5" t="s">
        <v>344</v>
      </c>
      <c r="K59" s="5" t="s">
        <v>443</v>
      </c>
      <c r="L59" s="5" t="s">
        <v>333</v>
      </c>
      <c r="M59" s="5" t="s">
        <v>981</v>
      </c>
      <c r="N59" s="5" t="s">
        <v>979</v>
      </c>
      <c r="P59" s="5">
        <f t="shared" si="0"/>
        <v>11</v>
      </c>
    </row>
    <row r="60" spans="1:16" x14ac:dyDescent="0.4">
      <c r="A60" s="5">
        <v>59</v>
      </c>
      <c r="B60" s="3" t="s">
        <v>59</v>
      </c>
      <c r="C60" s="5" t="s">
        <v>311</v>
      </c>
      <c r="D60" s="5" t="s">
        <v>366</v>
      </c>
      <c r="E60" s="5"/>
      <c r="F60" s="5"/>
      <c r="G60" s="5" t="s">
        <v>387</v>
      </c>
      <c r="H60" s="5"/>
      <c r="I60" s="5" t="s">
        <v>339</v>
      </c>
      <c r="J60" s="5" t="s">
        <v>339</v>
      </c>
      <c r="K60" s="5" t="s">
        <v>366</v>
      </c>
      <c r="L60" s="5" t="s">
        <v>366</v>
      </c>
      <c r="M60" s="5" t="s">
        <v>359</v>
      </c>
      <c r="N60" s="5" t="s">
        <v>984</v>
      </c>
      <c r="P60" s="5">
        <f t="shared" si="0"/>
        <v>9</v>
      </c>
    </row>
    <row r="61" spans="1:16" x14ac:dyDescent="0.4">
      <c r="A61" s="5">
        <v>60</v>
      </c>
      <c r="B61" s="3" t="s">
        <v>60</v>
      </c>
      <c r="C61" s="5" t="s">
        <v>350</v>
      </c>
      <c r="D61" s="5" t="s">
        <v>328</v>
      </c>
      <c r="E61" s="5"/>
      <c r="F61" s="5" t="s">
        <v>530</v>
      </c>
      <c r="G61" s="5" t="s">
        <v>558</v>
      </c>
      <c r="H61" s="5" t="s">
        <v>558</v>
      </c>
      <c r="I61" s="5" t="s">
        <v>358</v>
      </c>
      <c r="J61" s="5" t="s">
        <v>617</v>
      </c>
      <c r="K61" s="5" t="s">
        <v>401</v>
      </c>
      <c r="L61" s="5" t="s">
        <v>347</v>
      </c>
      <c r="M61" s="5" t="s">
        <v>504</v>
      </c>
      <c r="N61" s="5" t="s">
        <v>969</v>
      </c>
      <c r="O61" s="5" t="s">
        <v>515</v>
      </c>
      <c r="P61" s="5">
        <f t="shared" si="0"/>
        <v>11</v>
      </c>
    </row>
    <row r="62" spans="1:16" x14ac:dyDescent="0.4">
      <c r="A62" s="5">
        <v>61</v>
      </c>
      <c r="B62" s="3" t="s">
        <v>61</v>
      </c>
      <c r="C62" s="5" t="s">
        <v>351</v>
      </c>
      <c r="D62" s="5" t="s">
        <v>330</v>
      </c>
      <c r="E62" s="5"/>
      <c r="F62" s="5"/>
      <c r="G62" s="5" t="s">
        <v>330</v>
      </c>
      <c r="H62" s="5" t="s">
        <v>311</v>
      </c>
      <c r="I62" s="5" t="s">
        <v>330</v>
      </c>
      <c r="J62" s="5" t="s">
        <v>330</v>
      </c>
      <c r="K62" s="5" t="s">
        <v>359</v>
      </c>
      <c r="L62" s="5" t="s">
        <v>359</v>
      </c>
      <c r="M62" s="5" t="s">
        <v>978</v>
      </c>
      <c r="N62" s="5" t="s">
        <v>346</v>
      </c>
      <c r="O62" s="5" t="s">
        <v>324</v>
      </c>
      <c r="P62" s="5">
        <f t="shared" si="0"/>
        <v>10</v>
      </c>
    </row>
    <row r="63" spans="1:16" x14ac:dyDescent="0.4">
      <c r="A63" s="5">
        <v>62</v>
      </c>
      <c r="B63" s="3" t="s">
        <v>62</v>
      </c>
      <c r="C63" s="5" t="s">
        <v>339</v>
      </c>
      <c r="D63" s="5" t="s">
        <v>448</v>
      </c>
      <c r="E63" s="5" t="s">
        <v>379</v>
      </c>
      <c r="F63" s="5"/>
      <c r="G63" s="5" t="s">
        <v>342</v>
      </c>
      <c r="H63" s="5" t="s">
        <v>330</v>
      </c>
      <c r="I63" s="5" t="s">
        <v>351</v>
      </c>
      <c r="J63" s="5" t="s">
        <v>330</v>
      </c>
      <c r="K63" s="5" t="s">
        <v>330</v>
      </c>
      <c r="L63" s="5" t="s">
        <v>497</v>
      </c>
      <c r="M63" s="5" t="s">
        <v>504</v>
      </c>
      <c r="N63" s="5" t="s">
        <v>979</v>
      </c>
      <c r="O63" s="5" t="s">
        <v>1340</v>
      </c>
      <c r="P63" s="5">
        <f t="shared" si="0"/>
        <v>11</v>
      </c>
    </row>
    <row r="64" spans="1:16" x14ac:dyDescent="0.4">
      <c r="A64" s="5">
        <v>63</v>
      </c>
      <c r="B64" s="3" t="s">
        <v>63</v>
      </c>
      <c r="C64" s="5" t="s">
        <v>352</v>
      </c>
      <c r="D64" s="5" t="s">
        <v>352</v>
      </c>
      <c r="E64" s="5" t="s">
        <v>503</v>
      </c>
      <c r="F64" s="5" t="s">
        <v>352</v>
      </c>
      <c r="G64" s="5" t="s">
        <v>352</v>
      </c>
      <c r="H64" s="5" t="s">
        <v>352</v>
      </c>
      <c r="I64" s="5" t="s">
        <v>503</v>
      </c>
      <c r="J64" s="5" t="s">
        <v>352</v>
      </c>
      <c r="K64" s="5" t="s">
        <v>352</v>
      </c>
      <c r="L64" s="5" t="s">
        <v>352</v>
      </c>
      <c r="M64" s="5" t="s">
        <v>359</v>
      </c>
      <c r="N64" s="5" t="s">
        <v>311</v>
      </c>
      <c r="O64" s="5" t="s">
        <v>469</v>
      </c>
      <c r="P64" s="5">
        <f t="shared" si="0"/>
        <v>12</v>
      </c>
    </row>
    <row r="65" spans="1:16" x14ac:dyDescent="0.4">
      <c r="A65" s="5">
        <v>64</v>
      </c>
      <c r="B65" s="3" t="s">
        <v>64</v>
      </c>
      <c r="C65" s="5"/>
      <c r="D65" s="5"/>
      <c r="E65" s="5"/>
      <c r="F65" s="5"/>
      <c r="G65" s="5"/>
      <c r="H65" s="5"/>
      <c r="I65" s="5"/>
      <c r="J65" s="5"/>
      <c r="K65" s="5"/>
      <c r="L65" s="5"/>
      <c r="P65" s="5">
        <f t="shared" si="0"/>
        <v>0</v>
      </c>
    </row>
    <row r="66" spans="1:16" x14ac:dyDescent="0.4">
      <c r="A66" s="5">
        <v>65</v>
      </c>
      <c r="B66" s="3" t="s">
        <v>65</v>
      </c>
      <c r="C66" s="5"/>
      <c r="D66" s="5" t="s">
        <v>403</v>
      </c>
      <c r="E66" s="5"/>
      <c r="F66" s="5" t="s">
        <v>516</v>
      </c>
      <c r="G66" s="5"/>
      <c r="H66" s="5"/>
      <c r="I66" s="5" t="s">
        <v>514</v>
      </c>
      <c r="J66" s="5"/>
      <c r="K66" s="5"/>
      <c r="L66" s="5"/>
      <c r="M66" s="5" t="s">
        <v>311</v>
      </c>
      <c r="P66" s="5">
        <f t="shared" ref="P66:P129" si="1">COUNTA(C66:N66)</f>
        <v>4</v>
      </c>
    </row>
    <row r="67" spans="1:16" x14ac:dyDescent="0.4">
      <c r="A67" s="5">
        <v>66</v>
      </c>
      <c r="B67" s="3" t="s">
        <v>66</v>
      </c>
      <c r="C67" s="5" t="s">
        <v>353</v>
      </c>
      <c r="D67" s="5" t="s">
        <v>403</v>
      </c>
      <c r="E67" s="5" t="s">
        <v>403</v>
      </c>
      <c r="F67" s="5" t="s">
        <v>424</v>
      </c>
      <c r="G67" s="5" t="s">
        <v>559</v>
      </c>
      <c r="H67" s="5" t="s">
        <v>425</v>
      </c>
      <c r="I67" s="5" t="s">
        <v>618</v>
      </c>
      <c r="J67" s="5" t="s">
        <v>625</v>
      </c>
      <c r="K67" s="5" t="s">
        <v>652</v>
      </c>
      <c r="L67" s="5" t="s">
        <v>360</v>
      </c>
      <c r="M67" s="5" t="s">
        <v>982</v>
      </c>
      <c r="N67" s="5" t="s">
        <v>979</v>
      </c>
      <c r="O67" s="5" t="s">
        <v>551</v>
      </c>
      <c r="P67" s="5">
        <f t="shared" si="1"/>
        <v>12</v>
      </c>
    </row>
    <row r="68" spans="1:16" x14ac:dyDescent="0.4">
      <c r="A68" s="5">
        <v>67</v>
      </c>
      <c r="B68" s="3" t="s">
        <v>67</v>
      </c>
      <c r="C68" s="5" t="s">
        <v>354</v>
      </c>
      <c r="D68" s="5" t="s">
        <v>383</v>
      </c>
      <c r="E68" s="5" t="s">
        <v>508</v>
      </c>
      <c r="F68" s="5"/>
      <c r="G68" s="5" t="s">
        <v>344</v>
      </c>
      <c r="H68" s="5" t="s">
        <v>590</v>
      </c>
      <c r="I68" s="5"/>
      <c r="J68" s="5" t="s">
        <v>443</v>
      </c>
      <c r="K68" s="5" t="s">
        <v>375</v>
      </c>
      <c r="L68" s="5" t="s">
        <v>614</v>
      </c>
      <c r="M68" s="5" t="s">
        <v>624</v>
      </c>
      <c r="N68" s="5" t="s">
        <v>624</v>
      </c>
      <c r="O68" s="5" t="s">
        <v>320</v>
      </c>
      <c r="P68" s="5">
        <f t="shared" si="1"/>
        <v>10</v>
      </c>
    </row>
    <row r="69" spans="1:16" x14ac:dyDescent="0.4">
      <c r="A69" s="5">
        <v>68</v>
      </c>
      <c r="B69" s="3" t="s">
        <v>68</v>
      </c>
      <c r="C69" s="5" t="s">
        <v>355</v>
      </c>
      <c r="D69" s="5" t="s">
        <v>403</v>
      </c>
      <c r="E69" s="5" t="s">
        <v>314</v>
      </c>
      <c r="F69" s="5"/>
      <c r="G69" s="5" t="s">
        <v>414</v>
      </c>
      <c r="H69" s="5" t="s">
        <v>314</v>
      </c>
      <c r="I69" s="5" t="s">
        <v>314</v>
      </c>
      <c r="J69" s="5"/>
      <c r="K69" s="5" t="s">
        <v>403</v>
      </c>
      <c r="L69" s="5" t="s">
        <v>314</v>
      </c>
      <c r="M69" s="5" t="s">
        <v>372</v>
      </c>
      <c r="N69" s="5" t="s">
        <v>333</v>
      </c>
      <c r="O69" s="5" t="s">
        <v>1341</v>
      </c>
      <c r="P69" s="5">
        <f t="shared" si="1"/>
        <v>10</v>
      </c>
    </row>
    <row r="70" spans="1:16" x14ac:dyDescent="0.4">
      <c r="A70" s="5">
        <v>69</v>
      </c>
      <c r="B70" s="3" t="s">
        <v>69</v>
      </c>
      <c r="C70" s="5" t="s">
        <v>356</v>
      </c>
      <c r="D70" s="5" t="s">
        <v>389</v>
      </c>
      <c r="E70" s="5"/>
      <c r="F70" s="5" t="s">
        <v>383</v>
      </c>
      <c r="G70" s="5" t="s">
        <v>356</v>
      </c>
      <c r="H70" s="5" t="s">
        <v>363</v>
      </c>
      <c r="I70" s="5" t="s">
        <v>383</v>
      </c>
      <c r="J70" s="5" t="s">
        <v>388</v>
      </c>
      <c r="K70" s="5" t="s">
        <v>403</v>
      </c>
      <c r="L70" s="5" t="s">
        <v>666</v>
      </c>
      <c r="M70" s="5" t="s">
        <v>963</v>
      </c>
      <c r="N70" s="5" t="s">
        <v>979</v>
      </c>
      <c r="O70" s="5" t="s">
        <v>533</v>
      </c>
      <c r="P70" s="5">
        <f t="shared" si="1"/>
        <v>11</v>
      </c>
    </row>
    <row r="71" spans="1:16" x14ac:dyDescent="0.4">
      <c r="A71" s="5">
        <v>70</v>
      </c>
      <c r="B71" s="3" t="s">
        <v>70</v>
      </c>
      <c r="C71" s="5"/>
      <c r="D71" s="5"/>
      <c r="E71" s="5"/>
      <c r="F71" s="5"/>
      <c r="G71" s="5"/>
      <c r="H71" s="5"/>
      <c r="I71" s="5"/>
      <c r="J71" s="5"/>
      <c r="K71" s="5"/>
      <c r="L71" s="5"/>
      <c r="P71" s="5">
        <f t="shared" si="1"/>
        <v>0</v>
      </c>
    </row>
    <row r="72" spans="1:16" x14ac:dyDescent="0.4">
      <c r="A72" s="5">
        <v>71</v>
      </c>
      <c r="B72" s="3" t="s">
        <v>71</v>
      </c>
      <c r="C72" s="5"/>
      <c r="D72" s="5" t="s">
        <v>449</v>
      </c>
      <c r="E72" s="5"/>
      <c r="F72" s="5"/>
      <c r="G72" s="5"/>
      <c r="H72" s="5"/>
      <c r="I72" s="5"/>
      <c r="J72" s="5"/>
      <c r="K72" s="5"/>
      <c r="L72" s="5"/>
      <c r="M72" s="5" t="s">
        <v>467</v>
      </c>
      <c r="P72" s="5">
        <f t="shared" si="1"/>
        <v>2</v>
      </c>
    </row>
    <row r="73" spans="1:16" x14ac:dyDescent="0.4">
      <c r="A73" s="5">
        <v>72</v>
      </c>
      <c r="B73" s="3" t="s">
        <v>75</v>
      </c>
      <c r="C73" s="5" t="s">
        <v>357</v>
      </c>
      <c r="D73" s="5" t="s">
        <v>450</v>
      </c>
      <c r="E73" s="5"/>
      <c r="F73" s="5" t="s">
        <v>385</v>
      </c>
      <c r="G73" s="5" t="s">
        <v>410</v>
      </c>
      <c r="H73" s="5" t="s">
        <v>357</v>
      </c>
      <c r="I73" s="5"/>
      <c r="J73" s="5" t="s">
        <v>357</v>
      </c>
      <c r="K73" s="5" t="s">
        <v>438</v>
      </c>
      <c r="L73" s="5" t="s">
        <v>489</v>
      </c>
      <c r="M73" s="5" t="s">
        <v>973</v>
      </c>
      <c r="N73" s="5" t="s">
        <v>969</v>
      </c>
      <c r="O73" s="5" t="s">
        <v>481</v>
      </c>
      <c r="P73" s="5">
        <f t="shared" si="1"/>
        <v>10</v>
      </c>
    </row>
    <row r="74" spans="1:16" x14ac:dyDescent="0.4">
      <c r="A74" s="5">
        <v>73</v>
      </c>
      <c r="B74" s="3" t="s">
        <v>72</v>
      </c>
      <c r="C74" s="5" t="s">
        <v>344</v>
      </c>
      <c r="D74" s="5" t="s">
        <v>451</v>
      </c>
      <c r="E74" s="5"/>
      <c r="F74" s="5" t="s">
        <v>346</v>
      </c>
      <c r="G74" s="5" t="s">
        <v>344</v>
      </c>
      <c r="H74" s="5" t="s">
        <v>328</v>
      </c>
      <c r="I74" s="5" t="s">
        <v>619</v>
      </c>
      <c r="J74" s="5" t="s">
        <v>359</v>
      </c>
      <c r="K74" s="5" t="s">
        <v>359</v>
      </c>
      <c r="L74" s="5" t="s">
        <v>667</v>
      </c>
      <c r="M74" s="5" t="s">
        <v>443</v>
      </c>
      <c r="N74" s="5" t="s">
        <v>504</v>
      </c>
      <c r="O74" s="5" t="s">
        <v>1342</v>
      </c>
      <c r="P74" s="5">
        <f t="shared" si="1"/>
        <v>11</v>
      </c>
    </row>
    <row r="75" spans="1:16" x14ac:dyDescent="0.4">
      <c r="A75" s="5">
        <v>74</v>
      </c>
      <c r="B75" s="3" t="s">
        <v>73</v>
      </c>
      <c r="C75" s="5" t="s">
        <v>349</v>
      </c>
      <c r="D75" s="5" t="s">
        <v>452</v>
      </c>
      <c r="E75" s="5"/>
      <c r="F75" s="5"/>
      <c r="G75" s="5" t="s">
        <v>349</v>
      </c>
      <c r="H75" s="5" t="s">
        <v>591</v>
      </c>
      <c r="I75" s="5" t="s">
        <v>349</v>
      </c>
      <c r="J75" s="5" t="s">
        <v>349</v>
      </c>
      <c r="K75" s="5" t="s">
        <v>349</v>
      </c>
      <c r="L75" s="5"/>
      <c r="M75" s="5" t="s">
        <v>971</v>
      </c>
      <c r="N75" s="5" t="s">
        <v>984</v>
      </c>
      <c r="O75" s="5" t="s">
        <v>379</v>
      </c>
      <c r="P75" s="5">
        <f t="shared" si="1"/>
        <v>9</v>
      </c>
    </row>
    <row r="76" spans="1:16" x14ac:dyDescent="0.4">
      <c r="A76" s="5">
        <v>75</v>
      </c>
      <c r="B76" s="3" t="s">
        <v>74</v>
      </c>
      <c r="C76" s="5" t="s">
        <v>350</v>
      </c>
      <c r="D76" s="5" t="s">
        <v>453</v>
      </c>
      <c r="E76" s="5"/>
      <c r="F76" s="5"/>
      <c r="G76" s="5" t="s">
        <v>560</v>
      </c>
      <c r="H76" s="5" t="s">
        <v>592</v>
      </c>
      <c r="I76" s="5" t="s">
        <v>453</v>
      </c>
      <c r="J76" s="5"/>
      <c r="K76" s="5" t="s">
        <v>479</v>
      </c>
      <c r="L76" s="5" t="s">
        <v>464</v>
      </c>
      <c r="M76" s="5" t="s">
        <v>390</v>
      </c>
      <c r="N76" s="5" t="s">
        <v>366</v>
      </c>
      <c r="O76" s="5" t="s">
        <v>972</v>
      </c>
      <c r="P76" s="5">
        <f t="shared" si="1"/>
        <v>9</v>
      </c>
    </row>
    <row r="77" spans="1:16" x14ac:dyDescent="0.4">
      <c r="A77" s="5">
        <v>76</v>
      </c>
      <c r="B77" s="3" t="s">
        <v>76</v>
      </c>
      <c r="C77" s="5"/>
      <c r="D77" s="5"/>
      <c r="E77" s="5"/>
      <c r="F77" s="5"/>
      <c r="G77" s="5"/>
      <c r="H77" s="5"/>
      <c r="I77" s="5"/>
      <c r="J77" s="5"/>
      <c r="K77" s="5"/>
      <c r="L77" s="5"/>
      <c r="P77" s="5">
        <f t="shared" si="1"/>
        <v>0</v>
      </c>
    </row>
    <row r="78" spans="1:16" x14ac:dyDescent="0.4">
      <c r="A78" s="5">
        <v>77</v>
      </c>
      <c r="B78" s="3" t="s">
        <v>77</v>
      </c>
      <c r="C78" s="5" t="s">
        <v>358</v>
      </c>
      <c r="D78" s="5" t="s">
        <v>331</v>
      </c>
      <c r="E78" s="5"/>
      <c r="F78" s="5"/>
      <c r="G78" s="5" t="s">
        <v>344</v>
      </c>
      <c r="H78" s="5" t="s">
        <v>339</v>
      </c>
      <c r="I78" s="5" t="s">
        <v>331</v>
      </c>
      <c r="J78" s="5" t="s">
        <v>386</v>
      </c>
      <c r="K78" s="5" t="s">
        <v>349</v>
      </c>
      <c r="L78" s="5"/>
      <c r="M78" s="5" t="s">
        <v>359</v>
      </c>
      <c r="N78" s="5" t="s">
        <v>443</v>
      </c>
      <c r="O78" s="5" t="s">
        <v>1343</v>
      </c>
      <c r="P78" s="5">
        <f t="shared" si="1"/>
        <v>9</v>
      </c>
    </row>
    <row r="79" spans="1:16" x14ac:dyDescent="0.4">
      <c r="A79" s="5">
        <v>78</v>
      </c>
      <c r="B79" s="3" t="s">
        <v>78</v>
      </c>
      <c r="C79" s="5" t="s">
        <v>350</v>
      </c>
      <c r="D79" s="5" t="s">
        <v>334</v>
      </c>
      <c r="E79" s="5"/>
      <c r="F79" s="5"/>
      <c r="G79" s="5" t="s">
        <v>314</v>
      </c>
      <c r="H79" s="5" t="s">
        <v>334</v>
      </c>
      <c r="I79" s="5" t="s">
        <v>422</v>
      </c>
      <c r="J79" s="5" t="s">
        <v>331</v>
      </c>
      <c r="K79" s="5" t="s">
        <v>488</v>
      </c>
      <c r="L79" s="5" t="s">
        <v>563</v>
      </c>
      <c r="M79" s="5" t="s">
        <v>346</v>
      </c>
      <c r="N79" s="5" t="s">
        <v>979</v>
      </c>
      <c r="P79" s="5">
        <f t="shared" si="1"/>
        <v>10</v>
      </c>
    </row>
    <row r="80" spans="1:16" x14ac:dyDescent="0.4">
      <c r="A80" s="5">
        <v>79</v>
      </c>
      <c r="B80" s="3" t="s">
        <v>81</v>
      </c>
      <c r="C80" s="5"/>
      <c r="D80" s="5"/>
      <c r="E80" s="5"/>
      <c r="F80" s="5"/>
      <c r="G80" s="5"/>
      <c r="H80" s="5"/>
      <c r="I80" s="5" t="s">
        <v>560</v>
      </c>
      <c r="J80" s="5"/>
      <c r="K80" s="5"/>
      <c r="L80" s="5"/>
      <c r="M80" s="5" t="s">
        <v>983</v>
      </c>
      <c r="P80" s="5">
        <f t="shared" si="1"/>
        <v>2</v>
      </c>
    </row>
    <row r="81" spans="1:16" x14ac:dyDescent="0.4">
      <c r="A81" s="5">
        <v>80</v>
      </c>
      <c r="B81" s="3" t="s">
        <v>79</v>
      </c>
      <c r="C81" s="5" t="s">
        <v>331</v>
      </c>
      <c r="D81" s="5" t="s">
        <v>351</v>
      </c>
      <c r="E81" s="5" t="s">
        <v>344</v>
      </c>
      <c r="F81" s="5" t="s">
        <v>311</v>
      </c>
      <c r="G81" s="5" t="s">
        <v>344</v>
      </c>
      <c r="H81" s="5" t="s">
        <v>344</v>
      </c>
      <c r="I81" s="5" t="s">
        <v>344</v>
      </c>
      <c r="J81" s="5" t="s">
        <v>366</v>
      </c>
      <c r="K81" s="5" t="s">
        <v>331</v>
      </c>
      <c r="L81" s="5" t="s">
        <v>344</v>
      </c>
      <c r="M81" s="5" t="s">
        <v>346</v>
      </c>
      <c r="N81" s="5" t="s">
        <v>963</v>
      </c>
      <c r="O81" s="5" t="s">
        <v>993</v>
      </c>
      <c r="P81" s="5">
        <f t="shared" si="1"/>
        <v>12</v>
      </c>
    </row>
    <row r="82" spans="1:16" x14ac:dyDescent="0.4">
      <c r="A82" s="5">
        <v>81</v>
      </c>
      <c r="B82" s="3" t="s">
        <v>80</v>
      </c>
      <c r="C82" s="5" t="s">
        <v>359</v>
      </c>
      <c r="D82" s="5" t="s">
        <v>331</v>
      </c>
      <c r="E82" s="5"/>
      <c r="F82" s="5" t="s">
        <v>443</v>
      </c>
      <c r="G82" s="5" t="s">
        <v>496</v>
      </c>
      <c r="H82" s="5"/>
      <c r="I82" s="5" t="s">
        <v>503</v>
      </c>
      <c r="J82" s="5"/>
      <c r="K82" s="5"/>
      <c r="L82" s="5" t="s">
        <v>668</v>
      </c>
      <c r="M82" s="5" t="s">
        <v>963</v>
      </c>
      <c r="N82" s="5" t="s">
        <v>504</v>
      </c>
      <c r="O82" s="5" t="s">
        <v>387</v>
      </c>
      <c r="P82" s="5">
        <f t="shared" si="1"/>
        <v>8</v>
      </c>
    </row>
    <row r="83" spans="1:16" x14ac:dyDescent="0.4">
      <c r="A83" s="5">
        <v>82</v>
      </c>
      <c r="B83" s="3" t="s">
        <v>82</v>
      </c>
      <c r="C83" s="5" t="s">
        <v>349</v>
      </c>
      <c r="D83" s="5" t="s">
        <v>311</v>
      </c>
      <c r="E83" s="5" t="s">
        <v>311</v>
      </c>
      <c r="F83" s="5" t="s">
        <v>331</v>
      </c>
      <c r="G83" s="5" t="s">
        <v>330</v>
      </c>
      <c r="H83" s="5" t="s">
        <v>344</v>
      </c>
      <c r="I83" s="5" t="s">
        <v>331</v>
      </c>
      <c r="J83" s="5" t="s">
        <v>635</v>
      </c>
      <c r="K83" s="5" t="s">
        <v>331</v>
      </c>
      <c r="L83" s="5"/>
      <c r="M83" s="5" t="s">
        <v>979</v>
      </c>
      <c r="N83" s="5" t="s">
        <v>359</v>
      </c>
      <c r="O83" s="5" t="s">
        <v>979</v>
      </c>
      <c r="P83" s="5">
        <f t="shared" si="1"/>
        <v>11</v>
      </c>
    </row>
    <row r="84" spans="1:16" x14ac:dyDescent="0.4">
      <c r="A84" s="5">
        <v>83</v>
      </c>
      <c r="B84" s="3" t="s">
        <v>83</v>
      </c>
      <c r="C84" s="5"/>
      <c r="D84" s="5"/>
      <c r="E84" s="5"/>
      <c r="F84" s="5"/>
      <c r="G84" s="5"/>
      <c r="H84" s="5"/>
      <c r="I84" s="5"/>
      <c r="J84" s="5"/>
      <c r="K84" s="5"/>
      <c r="L84" s="5"/>
      <c r="P84" s="5">
        <f t="shared" si="1"/>
        <v>0</v>
      </c>
    </row>
    <row r="85" spans="1:16" x14ac:dyDescent="0.4">
      <c r="A85" s="5">
        <v>84</v>
      </c>
      <c r="B85" s="3" t="s">
        <v>84</v>
      </c>
      <c r="C85" s="5" t="s">
        <v>360</v>
      </c>
      <c r="D85" s="5"/>
      <c r="E85" s="5" t="s">
        <v>328</v>
      </c>
      <c r="F85" s="5" t="s">
        <v>433</v>
      </c>
      <c r="G85" s="5" t="s">
        <v>557</v>
      </c>
      <c r="H85" s="5" t="s">
        <v>593</v>
      </c>
      <c r="I85" s="5" t="s">
        <v>332</v>
      </c>
      <c r="J85" s="5" t="s">
        <v>555</v>
      </c>
      <c r="K85" s="5" t="s">
        <v>555</v>
      </c>
      <c r="L85" s="5" t="s">
        <v>326</v>
      </c>
      <c r="M85" s="5" t="s">
        <v>372</v>
      </c>
      <c r="N85" s="5" t="s">
        <v>979</v>
      </c>
      <c r="O85" s="5" t="s">
        <v>1344</v>
      </c>
      <c r="P85" s="5">
        <f t="shared" si="1"/>
        <v>11</v>
      </c>
    </row>
    <row r="86" spans="1:16" x14ac:dyDescent="0.4">
      <c r="A86" s="5">
        <v>85</v>
      </c>
      <c r="B86" s="3" t="s">
        <v>111</v>
      </c>
      <c r="C86" s="5" t="s">
        <v>361</v>
      </c>
      <c r="D86" s="5" t="s">
        <v>352</v>
      </c>
      <c r="E86" s="5" t="s">
        <v>352</v>
      </c>
      <c r="F86" s="5" t="s">
        <v>320</v>
      </c>
      <c r="G86" s="5" t="s">
        <v>349</v>
      </c>
      <c r="H86" s="5" t="s">
        <v>418</v>
      </c>
      <c r="I86" s="5"/>
      <c r="J86" s="5" t="s">
        <v>497</v>
      </c>
      <c r="K86" s="5" t="s">
        <v>361</v>
      </c>
      <c r="L86" s="5" t="s">
        <v>361</v>
      </c>
      <c r="M86" s="5" t="s">
        <v>971</v>
      </c>
      <c r="N86" s="5" t="s">
        <v>979</v>
      </c>
      <c r="O86" s="5" t="s">
        <v>1341</v>
      </c>
      <c r="P86" s="5">
        <f t="shared" si="1"/>
        <v>11</v>
      </c>
    </row>
    <row r="87" spans="1:16" x14ac:dyDescent="0.4">
      <c r="A87" s="5">
        <v>86</v>
      </c>
      <c r="B87" s="3" t="s">
        <v>85</v>
      </c>
      <c r="C87" s="5" t="s">
        <v>344</v>
      </c>
      <c r="D87" s="5" t="s">
        <v>359</v>
      </c>
      <c r="E87" s="5"/>
      <c r="F87" s="5"/>
      <c r="G87" s="5" t="s">
        <v>328</v>
      </c>
      <c r="H87" s="5" t="s">
        <v>339</v>
      </c>
      <c r="I87" s="5" t="s">
        <v>328</v>
      </c>
      <c r="J87" s="5" t="s">
        <v>443</v>
      </c>
      <c r="K87" s="5" t="s">
        <v>339</v>
      </c>
      <c r="L87" s="5" t="s">
        <v>344</v>
      </c>
      <c r="M87" s="5" t="s">
        <v>366</v>
      </c>
      <c r="N87" s="5" t="s">
        <v>979</v>
      </c>
      <c r="O87" s="5" t="s">
        <v>966</v>
      </c>
      <c r="P87" s="5">
        <f t="shared" si="1"/>
        <v>10</v>
      </c>
    </row>
    <row r="88" spans="1:16" x14ac:dyDescent="0.4">
      <c r="A88" s="5">
        <v>87</v>
      </c>
      <c r="B88" s="3" t="s">
        <v>86</v>
      </c>
      <c r="C88" s="5" t="s">
        <v>362</v>
      </c>
      <c r="D88" s="5" t="s">
        <v>454</v>
      </c>
      <c r="E88" s="5"/>
      <c r="F88" s="5" t="s">
        <v>531</v>
      </c>
      <c r="G88" s="5"/>
      <c r="H88" s="5" t="s">
        <v>516</v>
      </c>
      <c r="I88" s="5"/>
      <c r="J88" s="5" t="s">
        <v>636</v>
      </c>
      <c r="K88" s="5"/>
      <c r="L88" s="5"/>
      <c r="M88" s="5" t="s">
        <v>504</v>
      </c>
      <c r="N88" s="5" t="s">
        <v>970</v>
      </c>
      <c r="O88" s="5" t="s">
        <v>487</v>
      </c>
      <c r="P88" s="5">
        <f t="shared" si="1"/>
        <v>7</v>
      </c>
    </row>
    <row r="89" spans="1:16" x14ac:dyDescent="0.4">
      <c r="A89" s="5">
        <v>88</v>
      </c>
      <c r="B89" s="3" t="s">
        <v>87</v>
      </c>
      <c r="C89" s="5" t="s">
        <v>361</v>
      </c>
      <c r="D89" s="5" t="s">
        <v>455</v>
      </c>
      <c r="E89" s="5"/>
      <c r="F89" s="5"/>
      <c r="G89" s="5" t="s">
        <v>552</v>
      </c>
      <c r="H89" s="5" t="s">
        <v>346</v>
      </c>
      <c r="I89" s="5" t="s">
        <v>403</v>
      </c>
      <c r="J89" s="5"/>
      <c r="K89" s="5" t="s">
        <v>653</v>
      </c>
      <c r="L89" s="5"/>
      <c r="M89" s="5" t="s">
        <v>566</v>
      </c>
      <c r="N89" s="5" t="s">
        <v>963</v>
      </c>
      <c r="O89" s="5" t="s">
        <v>438</v>
      </c>
      <c r="P89" s="5">
        <f t="shared" si="1"/>
        <v>8</v>
      </c>
    </row>
    <row r="90" spans="1:16" x14ac:dyDescent="0.4">
      <c r="A90" s="5">
        <v>89</v>
      </c>
      <c r="B90" s="3" t="s">
        <v>88</v>
      </c>
      <c r="C90" s="5" t="s">
        <v>363</v>
      </c>
      <c r="D90" s="5" t="s">
        <v>372</v>
      </c>
      <c r="E90" s="5" t="s">
        <v>330</v>
      </c>
      <c r="F90" s="5" t="s">
        <v>366</v>
      </c>
      <c r="G90" s="5" t="s">
        <v>561</v>
      </c>
      <c r="H90" s="5"/>
      <c r="I90" s="5" t="s">
        <v>311</v>
      </c>
      <c r="J90" s="5" t="s">
        <v>339</v>
      </c>
      <c r="K90" s="5" t="s">
        <v>334</v>
      </c>
      <c r="L90" s="5" t="s">
        <v>344</v>
      </c>
      <c r="M90" s="5" t="s">
        <v>963</v>
      </c>
      <c r="N90" s="5" t="s">
        <v>979</v>
      </c>
      <c r="O90" s="5" t="s">
        <v>504</v>
      </c>
      <c r="P90" s="5">
        <f t="shared" si="1"/>
        <v>11</v>
      </c>
    </row>
    <row r="91" spans="1:16" x14ac:dyDescent="0.4">
      <c r="A91" s="5">
        <v>90</v>
      </c>
      <c r="B91" s="3" t="s">
        <v>89</v>
      </c>
      <c r="C91" s="5" t="s">
        <v>364</v>
      </c>
      <c r="D91" s="5" t="s">
        <v>339</v>
      </c>
      <c r="E91" s="5" t="s">
        <v>397</v>
      </c>
      <c r="F91" s="5"/>
      <c r="G91" s="5" t="s">
        <v>562</v>
      </c>
      <c r="H91" s="5" t="s">
        <v>418</v>
      </c>
      <c r="I91" s="5" t="s">
        <v>389</v>
      </c>
      <c r="J91" s="5"/>
      <c r="K91" s="5" t="s">
        <v>654</v>
      </c>
      <c r="L91" s="5"/>
      <c r="M91" s="5" t="s">
        <v>504</v>
      </c>
      <c r="N91" s="5" t="s">
        <v>971</v>
      </c>
      <c r="O91" s="5" t="s">
        <v>465</v>
      </c>
      <c r="P91" s="5">
        <f t="shared" si="1"/>
        <v>9</v>
      </c>
    </row>
    <row r="92" spans="1:16" x14ac:dyDescent="0.4">
      <c r="A92" s="5">
        <v>91</v>
      </c>
      <c r="B92" s="3" t="s">
        <v>112</v>
      </c>
      <c r="C92" s="5" t="s">
        <v>365</v>
      </c>
      <c r="D92" s="5" t="s">
        <v>456</v>
      </c>
      <c r="E92" s="5"/>
      <c r="F92" s="5" t="s">
        <v>502</v>
      </c>
      <c r="G92" s="5" t="s">
        <v>502</v>
      </c>
      <c r="H92" s="5" t="s">
        <v>368</v>
      </c>
      <c r="I92" s="5" t="s">
        <v>456</v>
      </c>
      <c r="J92" s="5" t="s">
        <v>487</v>
      </c>
      <c r="K92" s="5" t="s">
        <v>365</v>
      </c>
      <c r="L92" s="5" t="s">
        <v>365</v>
      </c>
      <c r="M92" s="5" t="s">
        <v>970</v>
      </c>
      <c r="N92" s="5" t="s">
        <v>963</v>
      </c>
      <c r="O92" s="5" t="s">
        <v>623</v>
      </c>
      <c r="P92" s="5">
        <f t="shared" si="1"/>
        <v>11</v>
      </c>
    </row>
    <row r="93" spans="1:16" x14ac:dyDescent="0.4">
      <c r="A93" s="5">
        <v>92</v>
      </c>
      <c r="B93" s="3" t="s">
        <v>90</v>
      </c>
      <c r="C93" s="5"/>
      <c r="D93" s="5" t="s">
        <v>403</v>
      </c>
      <c r="E93" s="5"/>
      <c r="F93" s="5"/>
      <c r="G93" s="5"/>
      <c r="H93" s="5"/>
      <c r="I93" s="5"/>
      <c r="J93" s="5"/>
      <c r="K93" s="5"/>
      <c r="L93" s="5"/>
      <c r="M93" s="5" t="s">
        <v>969</v>
      </c>
      <c r="N93" s="5" t="s">
        <v>504</v>
      </c>
      <c r="O93" s="5" t="s">
        <v>359</v>
      </c>
      <c r="P93" s="5">
        <f t="shared" si="1"/>
        <v>3</v>
      </c>
    </row>
    <row r="94" spans="1:16" x14ac:dyDescent="0.4">
      <c r="A94" s="5">
        <v>93</v>
      </c>
      <c r="B94" s="3" t="s">
        <v>91</v>
      </c>
      <c r="C94" s="5" t="s">
        <v>342</v>
      </c>
      <c r="D94" s="5" t="s">
        <v>339</v>
      </c>
      <c r="E94" s="5" t="s">
        <v>418</v>
      </c>
      <c r="F94" s="5" t="s">
        <v>331</v>
      </c>
      <c r="G94" s="5" t="s">
        <v>340</v>
      </c>
      <c r="H94" s="5" t="s">
        <v>311</v>
      </c>
      <c r="I94" s="5" t="s">
        <v>413</v>
      </c>
      <c r="J94" s="5" t="s">
        <v>331</v>
      </c>
      <c r="K94" s="5" t="s">
        <v>334</v>
      </c>
      <c r="L94" s="5" t="s">
        <v>515</v>
      </c>
      <c r="M94" s="5" t="s">
        <v>963</v>
      </c>
      <c r="N94" s="5" t="s">
        <v>504</v>
      </c>
      <c r="O94" s="5" t="s">
        <v>970</v>
      </c>
      <c r="P94" s="5">
        <f t="shared" si="1"/>
        <v>12</v>
      </c>
    </row>
    <row r="95" spans="1:16" x14ac:dyDescent="0.4">
      <c r="A95" s="5">
        <v>94</v>
      </c>
      <c r="B95" s="3" t="s">
        <v>92</v>
      </c>
      <c r="C95" s="5" t="s">
        <v>366</v>
      </c>
      <c r="D95" s="5" t="s">
        <v>339</v>
      </c>
      <c r="E95" s="5"/>
      <c r="F95" s="5" t="s">
        <v>373</v>
      </c>
      <c r="G95" s="5" t="s">
        <v>351</v>
      </c>
      <c r="H95" s="5" t="s">
        <v>339</v>
      </c>
      <c r="I95" s="5" t="s">
        <v>339</v>
      </c>
      <c r="J95" s="5" t="s">
        <v>339</v>
      </c>
      <c r="K95" s="5" t="s">
        <v>339</v>
      </c>
      <c r="L95" s="5" t="s">
        <v>339</v>
      </c>
      <c r="M95" s="5" t="s">
        <v>311</v>
      </c>
      <c r="N95" s="5" t="s">
        <v>504</v>
      </c>
      <c r="O95" s="5" t="s">
        <v>1345</v>
      </c>
      <c r="P95" s="5">
        <f t="shared" si="1"/>
        <v>11</v>
      </c>
    </row>
    <row r="96" spans="1:16" x14ac:dyDescent="0.4">
      <c r="A96" s="5">
        <v>95</v>
      </c>
      <c r="B96" s="3" t="s">
        <v>93</v>
      </c>
      <c r="C96" s="5" t="s">
        <v>367</v>
      </c>
      <c r="D96" s="5" t="s">
        <v>375</v>
      </c>
      <c r="E96" s="5" t="s">
        <v>338</v>
      </c>
      <c r="F96" s="5" t="s">
        <v>388</v>
      </c>
      <c r="G96" s="5" t="s">
        <v>388</v>
      </c>
      <c r="H96" s="5" t="s">
        <v>594</v>
      </c>
      <c r="I96" s="5" t="s">
        <v>620</v>
      </c>
      <c r="J96" s="5" t="s">
        <v>620</v>
      </c>
      <c r="K96" s="5" t="s">
        <v>332</v>
      </c>
      <c r="L96" s="5" t="s">
        <v>620</v>
      </c>
      <c r="M96" s="5" t="s">
        <v>393</v>
      </c>
      <c r="N96" s="5" t="s">
        <v>504</v>
      </c>
      <c r="O96" s="5" t="s">
        <v>500</v>
      </c>
      <c r="P96" s="5">
        <f t="shared" si="1"/>
        <v>12</v>
      </c>
    </row>
    <row r="97" spans="1:16" x14ac:dyDescent="0.4">
      <c r="A97" s="5">
        <v>96</v>
      </c>
      <c r="B97" s="3" t="s">
        <v>94</v>
      </c>
      <c r="C97" s="5" t="s">
        <v>368</v>
      </c>
      <c r="D97" s="5" t="s">
        <v>355</v>
      </c>
      <c r="E97" s="5" t="s">
        <v>467</v>
      </c>
      <c r="F97" s="5" t="s">
        <v>532</v>
      </c>
      <c r="G97" s="5" t="s">
        <v>502</v>
      </c>
      <c r="H97" s="5" t="s">
        <v>595</v>
      </c>
      <c r="I97" s="5" t="s">
        <v>621</v>
      </c>
      <c r="J97" s="5" t="s">
        <v>580</v>
      </c>
      <c r="K97" s="5" t="s">
        <v>350</v>
      </c>
      <c r="L97" s="5" t="s">
        <v>532</v>
      </c>
      <c r="M97" s="5" t="s">
        <v>465</v>
      </c>
      <c r="N97" s="5" t="s">
        <v>504</v>
      </c>
      <c r="O97" s="5" t="s">
        <v>963</v>
      </c>
      <c r="P97" s="5">
        <f t="shared" si="1"/>
        <v>12</v>
      </c>
    </row>
    <row r="98" spans="1:16" x14ac:dyDescent="0.4">
      <c r="A98" s="5">
        <v>97</v>
      </c>
      <c r="B98" s="3" t="s">
        <v>95</v>
      </c>
      <c r="C98" s="5" t="s">
        <v>369</v>
      </c>
      <c r="D98" s="5" t="s">
        <v>457</v>
      </c>
      <c r="E98" s="5"/>
      <c r="F98" s="5" t="s">
        <v>355</v>
      </c>
      <c r="G98" s="5" t="s">
        <v>376</v>
      </c>
      <c r="H98" s="5" t="s">
        <v>375</v>
      </c>
      <c r="I98" s="5" t="s">
        <v>356</v>
      </c>
      <c r="J98" s="5" t="s">
        <v>416</v>
      </c>
      <c r="K98" s="5" t="s">
        <v>601</v>
      </c>
      <c r="L98" s="5" t="s">
        <v>355</v>
      </c>
      <c r="M98" s="5" t="s">
        <v>521</v>
      </c>
      <c r="N98" s="5" t="s">
        <v>979</v>
      </c>
      <c r="O98" s="5" t="s">
        <v>590</v>
      </c>
      <c r="P98" s="5">
        <f t="shared" si="1"/>
        <v>11</v>
      </c>
    </row>
    <row r="99" spans="1:16" x14ac:dyDescent="0.4">
      <c r="A99" s="5">
        <v>98</v>
      </c>
      <c r="B99" s="3" t="s">
        <v>96</v>
      </c>
      <c r="C99" s="5" t="s">
        <v>370</v>
      </c>
      <c r="D99" s="5" t="s">
        <v>458</v>
      </c>
      <c r="E99" s="5" t="s">
        <v>376</v>
      </c>
      <c r="F99" s="5" t="s">
        <v>520</v>
      </c>
      <c r="G99" s="5" t="s">
        <v>425</v>
      </c>
      <c r="H99" s="5" t="s">
        <v>370</v>
      </c>
      <c r="I99" s="5" t="s">
        <v>370</v>
      </c>
      <c r="J99" s="5" t="s">
        <v>370</v>
      </c>
      <c r="K99" s="5" t="s">
        <v>370</v>
      </c>
      <c r="L99" s="5" t="s">
        <v>370</v>
      </c>
      <c r="M99" s="5" t="s">
        <v>401</v>
      </c>
      <c r="N99" s="5" t="s">
        <v>346</v>
      </c>
      <c r="O99" s="5" t="s">
        <v>1337</v>
      </c>
      <c r="P99" s="5">
        <f t="shared" si="1"/>
        <v>12</v>
      </c>
    </row>
    <row r="100" spans="1:16" x14ac:dyDescent="0.4">
      <c r="A100" s="5">
        <v>99</v>
      </c>
      <c r="B100" s="3" t="s">
        <v>97</v>
      </c>
      <c r="C100" s="5" t="s">
        <v>371</v>
      </c>
      <c r="D100" s="5" t="s">
        <v>371</v>
      </c>
      <c r="E100" s="5" t="s">
        <v>509</v>
      </c>
      <c r="F100" s="5" t="s">
        <v>401</v>
      </c>
      <c r="G100" s="5" t="s">
        <v>362</v>
      </c>
      <c r="H100" s="5" t="s">
        <v>500</v>
      </c>
      <c r="I100" s="5" t="s">
        <v>534</v>
      </c>
      <c r="J100" s="5" t="s">
        <v>317</v>
      </c>
      <c r="K100" s="5" t="s">
        <v>371</v>
      </c>
      <c r="L100" s="5"/>
      <c r="M100" s="5" t="s">
        <v>346</v>
      </c>
      <c r="N100" s="5" t="s">
        <v>349</v>
      </c>
      <c r="O100" s="5" t="s">
        <v>482</v>
      </c>
      <c r="P100" s="5">
        <f t="shared" si="1"/>
        <v>11</v>
      </c>
    </row>
    <row r="101" spans="1:16" x14ac:dyDescent="0.4">
      <c r="A101" s="5">
        <v>100</v>
      </c>
      <c r="B101" s="3" t="s">
        <v>98</v>
      </c>
      <c r="C101" s="5" t="s">
        <v>334</v>
      </c>
      <c r="D101" s="5" t="s">
        <v>459</v>
      </c>
      <c r="E101" s="5" t="s">
        <v>311</v>
      </c>
      <c r="F101" s="5" t="s">
        <v>533</v>
      </c>
      <c r="G101" s="5" t="s">
        <v>342</v>
      </c>
      <c r="H101" s="5" t="s">
        <v>596</v>
      </c>
      <c r="I101" s="5" t="s">
        <v>351</v>
      </c>
      <c r="J101" s="5" t="s">
        <v>563</v>
      </c>
      <c r="K101" s="5" t="s">
        <v>334</v>
      </c>
      <c r="L101" s="5" t="s">
        <v>669</v>
      </c>
      <c r="M101" s="5" t="s">
        <v>542</v>
      </c>
      <c r="N101" s="5" t="s">
        <v>979</v>
      </c>
      <c r="O101" s="5" t="s">
        <v>472</v>
      </c>
      <c r="P101" s="5">
        <f t="shared" si="1"/>
        <v>12</v>
      </c>
    </row>
    <row r="102" spans="1:16" x14ac:dyDescent="0.4">
      <c r="A102" s="5">
        <v>101</v>
      </c>
      <c r="B102" s="3" t="s">
        <v>99</v>
      </c>
      <c r="C102" s="5" t="s">
        <v>372</v>
      </c>
      <c r="D102" s="5" t="s">
        <v>413</v>
      </c>
      <c r="E102" s="5" t="s">
        <v>312</v>
      </c>
      <c r="F102" s="5" t="s">
        <v>413</v>
      </c>
      <c r="G102" s="5" t="s">
        <v>433</v>
      </c>
      <c r="H102" s="5" t="s">
        <v>326</v>
      </c>
      <c r="I102" s="5" t="s">
        <v>503</v>
      </c>
      <c r="J102" s="5" t="s">
        <v>376</v>
      </c>
      <c r="K102" s="5" t="s">
        <v>341</v>
      </c>
      <c r="L102" s="5" t="s">
        <v>405</v>
      </c>
      <c r="M102" s="5" t="s">
        <v>963</v>
      </c>
      <c r="N102" s="5" t="s">
        <v>963</v>
      </c>
      <c r="O102" s="5" t="s">
        <v>1346</v>
      </c>
      <c r="P102" s="5">
        <f t="shared" si="1"/>
        <v>12</v>
      </c>
    </row>
    <row r="103" spans="1:16" x14ac:dyDescent="0.4">
      <c r="A103" s="5">
        <v>102</v>
      </c>
      <c r="B103" s="3" t="s">
        <v>100</v>
      </c>
      <c r="C103" s="5" t="s">
        <v>309</v>
      </c>
      <c r="D103" s="5" t="s">
        <v>366</v>
      </c>
      <c r="E103" s="5" t="s">
        <v>510</v>
      </c>
      <c r="F103" s="5" t="s">
        <v>510</v>
      </c>
      <c r="G103" s="5" t="s">
        <v>352</v>
      </c>
      <c r="H103" s="5" t="s">
        <v>352</v>
      </c>
      <c r="I103" s="5" t="s">
        <v>510</v>
      </c>
      <c r="J103" s="5" t="s">
        <v>409</v>
      </c>
      <c r="K103" s="5" t="s">
        <v>309</v>
      </c>
      <c r="L103" s="5" t="s">
        <v>312</v>
      </c>
      <c r="M103" s="5" t="s">
        <v>971</v>
      </c>
      <c r="N103" s="5" t="s">
        <v>349</v>
      </c>
      <c r="O103" s="5" t="s">
        <v>359</v>
      </c>
      <c r="P103" s="5">
        <f t="shared" si="1"/>
        <v>12</v>
      </c>
    </row>
    <row r="104" spans="1:16" x14ac:dyDescent="0.4">
      <c r="A104" s="5">
        <v>103</v>
      </c>
      <c r="B104" s="3" t="s">
        <v>101</v>
      </c>
      <c r="C104" s="5" t="s">
        <v>373</v>
      </c>
      <c r="D104" s="5" t="s">
        <v>460</v>
      </c>
      <c r="E104" s="5"/>
      <c r="F104" s="5" t="s">
        <v>373</v>
      </c>
      <c r="G104" s="5" t="s">
        <v>443</v>
      </c>
      <c r="H104" s="5" t="s">
        <v>399</v>
      </c>
      <c r="I104" s="5" t="s">
        <v>399</v>
      </c>
      <c r="J104" s="5" t="s">
        <v>333</v>
      </c>
      <c r="K104" s="5" t="s">
        <v>655</v>
      </c>
      <c r="L104" s="5" t="s">
        <v>364</v>
      </c>
      <c r="M104" s="5" t="s">
        <v>339</v>
      </c>
      <c r="N104" s="5" t="s">
        <v>970</v>
      </c>
      <c r="O104" s="5" t="s">
        <v>359</v>
      </c>
      <c r="P104" s="5">
        <f t="shared" si="1"/>
        <v>11</v>
      </c>
    </row>
    <row r="105" spans="1:16" x14ac:dyDescent="0.4">
      <c r="A105" s="5">
        <v>104</v>
      </c>
      <c r="B105" s="3" t="s">
        <v>110</v>
      </c>
      <c r="C105" s="5" t="s">
        <v>363</v>
      </c>
      <c r="D105" s="5" t="s">
        <v>363</v>
      </c>
      <c r="E105" s="5"/>
      <c r="F105" s="5" t="s">
        <v>363</v>
      </c>
      <c r="G105" s="5" t="s">
        <v>363</v>
      </c>
      <c r="H105" s="5" t="s">
        <v>597</v>
      </c>
      <c r="I105" s="5" t="s">
        <v>597</v>
      </c>
      <c r="J105" s="5" t="s">
        <v>356</v>
      </c>
      <c r="K105" s="5" t="s">
        <v>375</v>
      </c>
      <c r="L105" s="5"/>
      <c r="M105" s="5" t="s">
        <v>350</v>
      </c>
      <c r="N105" s="5" t="s">
        <v>979</v>
      </c>
      <c r="O105" s="5" t="s">
        <v>1347</v>
      </c>
      <c r="P105" s="5">
        <f t="shared" si="1"/>
        <v>10</v>
      </c>
    </row>
    <row r="106" spans="1:16" x14ac:dyDescent="0.4">
      <c r="A106" s="5">
        <v>105</v>
      </c>
      <c r="B106" s="3" t="s">
        <v>102</v>
      </c>
      <c r="C106" s="5" t="s">
        <v>374</v>
      </c>
      <c r="D106" s="5" t="s">
        <v>461</v>
      </c>
      <c r="E106" s="5"/>
      <c r="F106" s="5"/>
      <c r="G106" s="5" t="s">
        <v>507</v>
      </c>
      <c r="H106" s="5" t="s">
        <v>510</v>
      </c>
      <c r="I106" s="5" t="s">
        <v>503</v>
      </c>
      <c r="J106" s="5" t="s">
        <v>503</v>
      </c>
      <c r="K106" s="5" t="s">
        <v>503</v>
      </c>
      <c r="L106" s="5" t="s">
        <v>510</v>
      </c>
      <c r="M106" s="5" t="s">
        <v>985</v>
      </c>
      <c r="N106" s="5" t="s">
        <v>504</v>
      </c>
      <c r="O106" s="5" t="s">
        <v>401</v>
      </c>
      <c r="P106" s="5">
        <f t="shared" si="1"/>
        <v>10</v>
      </c>
    </row>
    <row r="107" spans="1:16" x14ac:dyDescent="0.4">
      <c r="A107" s="5">
        <v>106</v>
      </c>
      <c r="B107" s="3" t="s">
        <v>103</v>
      </c>
      <c r="C107" s="5" t="s">
        <v>328</v>
      </c>
      <c r="D107" s="5" t="s">
        <v>328</v>
      </c>
      <c r="E107" s="5" t="s">
        <v>418</v>
      </c>
      <c r="F107" s="5" t="s">
        <v>328</v>
      </c>
      <c r="G107" s="5" t="s">
        <v>328</v>
      </c>
      <c r="H107" s="5" t="s">
        <v>328</v>
      </c>
      <c r="I107" s="5" t="s">
        <v>328</v>
      </c>
      <c r="J107" s="5" t="s">
        <v>328</v>
      </c>
      <c r="K107" s="5" t="s">
        <v>328</v>
      </c>
      <c r="L107" s="5"/>
      <c r="M107" s="5" t="s">
        <v>443</v>
      </c>
      <c r="N107" s="5" t="s">
        <v>966</v>
      </c>
      <c r="O107" s="5" t="s">
        <v>346</v>
      </c>
      <c r="P107" s="5">
        <f t="shared" si="1"/>
        <v>11</v>
      </c>
    </row>
    <row r="108" spans="1:16" x14ac:dyDescent="0.4">
      <c r="A108" s="5">
        <v>107</v>
      </c>
      <c r="B108" s="3" t="s">
        <v>104</v>
      </c>
      <c r="C108" s="5" t="s">
        <v>375</v>
      </c>
      <c r="D108" s="5" t="s">
        <v>462</v>
      </c>
      <c r="E108" s="5" t="s">
        <v>484</v>
      </c>
      <c r="F108" s="5"/>
      <c r="G108" s="5" t="s">
        <v>355</v>
      </c>
      <c r="H108" s="5" t="s">
        <v>594</v>
      </c>
      <c r="I108" s="5"/>
      <c r="J108" s="5" t="s">
        <v>637</v>
      </c>
      <c r="K108" s="5" t="s">
        <v>458</v>
      </c>
      <c r="L108" s="5" t="s">
        <v>413</v>
      </c>
      <c r="M108" s="5" t="s">
        <v>986</v>
      </c>
      <c r="N108" s="5" t="s">
        <v>965</v>
      </c>
      <c r="O108" s="5" t="s">
        <v>1337</v>
      </c>
      <c r="P108" s="5">
        <f t="shared" si="1"/>
        <v>10</v>
      </c>
    </row>
    <row r="109" spans="1:16" x14ac:dyDescent="0.4">
      <c r="A109" s="5">
        <v>108</v>
      </c>
      <c r="B109" s="3" t="s">
        <v>105</v>
      </c>
      <c r="C109" s="5" t="s">
        <v>311</v>
      </c>
      <c r="D109" s="5" t="s">
        <v>339</v>
      </c>
      <c r="E109" s="5" t="s">
        <v>339</v>
      </c>
      <c r="F109" s="5" t="s">
        <v>339</v>
      </c>
      <c r="G109" s="5" t="s">
        <v>344</v>
      </c>
      <c r="H109" s="5" t="s">
        <v>397</v>
      </c>
      <c r="I109" s="5" t="s">
        <v>351</v>
      </c>
      <c r="J109" s="5" t="s">
        <v>331</v>
      </c>
      <c r="K109" s="5" t="s">
        <v>339</v>
      </c>
      <c r="L109" s="5" t="s">
        <v>351</v>
      </c>
      <c r="M109" s="5" t="s">
        <v>311</v>
      </c>
      <c r="N109" s="5" t="s">
        <v>1364</v>
      </c>
      <c r="O109" s="5" t="s">
        <v>1348</v>
      </c>
      <c r="P109" s="5">
        <f t="shared" si="1"/>
        <v>12</v>
      </c>
    </row>
    <row r="110" spans="1:16" x14ac:dyDescent="0.4">
      <c r="A110" s="5">
        <v>109</v>
      </c>
      <c r="B110" s="3" t="s">
        <v>113</v>
      </c>
      <c r="C110" s="5" t="s">
        <v>376</v>
      </c>
      <c r="D110" s="5" t="s">
        <v>322</v>
      </c>
      <c r="E110" s="5"/>
      <c r="F110" s="5" t="s">
        <v>322</v>
      </c>
      <c r="G110" s="5" t="s">
        <v>369</v>
      </c>
      <c r="H110" s="5" t="s">
        <v>598</v>
      </c>
      <c r="I110" s="5" t="s">
        <v>401</v>
      </c>
      <c r="J110" s="5" t="s">
        <v>322</v>
      </c>
      <c r="K110" s="5" t="s">
        <v>322</v>
      </c>
      <c r="L110" s="5" t="s">
        <v>551</v>
      </c>
      <c r="M110" s="5" t="s">
        <v>346</v>
      </c>
      <c r="N110" s="5" t="s">
        <v>970</v>
      </c>
      <c r="O110" s="5" t="s">
        <v>604</v>
      </c>
      <c r="P110" s="5">
        <f t="shared" si="1"/>
        <v>11</v>
      </c>
    </row>
    <row r="111" spans="1:16" x14ac:dyDescent="0.4">
      <c r="A111" s="5">
        <v>110</v>
      </c>
      <c r="B111" s="3" t="s">
        <v>106</v>
      </c>
      <c r="C111" s="5" t="s">
        <v>377</v>
      </c>
      <c r="D111" s="5" t="s">
        <v>416</v>
      </c>
      <c r="E111" s="5"/>
      <c r="F111" s="5" t="s">
        <v>312</v>
      </c>
      <c r="G111" s="5" t="s">
        <v>422</v>
      </c>
      <c r="H111" s="5" t="s">
        <v>501</v>
      </c>
      <c r="I111" s="5" t="s">
        <v>416</v>
      </c>
      <c r="J111" s="5" t="s">
        <v>416</v>
      </c>
      <c r="K111" s="5" t="s">
        <v>436</v>
      </c>
      <c r="L111" s="5" t="s">
        <v>416</v>
      </c>
      <c r="M111" s="5" t="s">
        <v>390</v>
      </c>
      <c r="N111" s="5" t="s">
        <v>969</v>
      </c>
      <c r="O111" s="5" t="s">
        <v>963</v>
      </c>
      <c r="P111" s="5">
        <f t="shared" si="1"/>
        <v>11</v>
      </c>
    </row>
    <row r="112" spans="1:16" x14ac:dyDescent="0.4">
      <c r="A112" s="5">
        <v>111</v>
      </c>
      <c r="B112" s="3" t="s">
        <v>107</v>
      </c>
      <c r="C112" s="5" t="s">
        <v>378</v>
      </c>
      <c r="D112" s="5" t="s">
        <v>375</v>
      </c>
      <c r="E112" s="5"/>
      <c r="F112" s="5"/>
      <c r="G112" s="5" t="s">
        <v>424</v>
      </c>
      <c r="H112" s="5" t="s">
        <v>424</v>
      </c>
      <c r="I112" s="5" t="s">
        <v>424</v>
      </c>
      <c r="J112" s="5" t="s">
        <v>449</v>
      </c>
      <c r="K112" s="5" t="s">
        <v>523</v>
      </c>
      <c r="L112" s="5" t="s">
        <v>424</v>
      </c>
      <c r="M112" s="5" t="s">
        <v>465</v>
      </c>
      <c r="N112" s="5" t="s">
        <v>359</v>
      </c>
      <c r="O112" s="5" t="s">
        <v>961</v>
      </c>
      <c r="P112" s="5">
        <f t="shared" si="1"/>
        <v>10</v>
      </c>
    </row>
    <row r="113" spans="1:16" x14ac:dyDescent="0.4">
      <c r="A113" s="5">
        <v>112</v>
      </c>
      <c r="B113" s="3" t="s">
        <v>108</v>
      </c>
      <c r="C113" s="5" t="s">
        <v>379</v>
      </c>
      <c r="D113" s="5" t="s">
        <v>449</v>
      </c>
      <c r="E113" s="5"/>
      <c r="F113" s="5"/>
      <c r="G113" s="5" t="s">
        <v>401</v>
      </c>
      <c r="H113" s="5" t="s">
        <v>599</v>
      </c>
      <c r="I113" s="5" t="s">
        <v>324</v>
      </c>
      <c r="J113" s="5" t="s">
        <v>350</v>
      </c>
      <c r="K113" s="5" t="s">
        <v>393</v>
      </c>
      <c r="L113" s="5" t="s">
        <v>368</v>
      </c>
      <c r="M113" s="5" t="s">
        <v>968</v>
      </c>
      <c r="N113" s="5" t="s">
        <v>1365</v>
      </c>
      <c r="O113" s="5" t="s">
        <v>1349</v>
      </c>
      <c r="P113" s="5">
        <f t="shared" si="1"/>
        <v>10</v>
      </c>
    </row>
    <row r="114" spans="1:16" x14ac:dyDescent="0.4">
      <c r="A114" s="5">
        <v>113</v>
      </c>
      <c r="B114" s="3" t="s">
        <v>109</v>
      </c>
      <c r="C114" s="5" t="s">
        <v>380</v>
      </c>
      <c r="D114" s="5" t="s">
        <v>334</v>
      </c>
      <c r="E114" s="5"/>
      <c r="F114" s="5" t="s">
        <v>332</v>
      </c>
      <c r="G114" s="5" t="s">
        <v>432</v>
      </c>
      <c r="H114" s="5" t="s">
        <v>425</v>
      </c>
      <c r="I114" s="5" t="s">
        <v>334</v>
      </c>
      <c r="J114" s="5" t="s">
        <v>443</v>
      </c>
      <c r="K114" s="5" t="s">
        <v>363</v>
      </c>
      <c r="L114" s="5"/>
      <c r="M114" s="5" t="s">
        <v>974</v>
      </c>
      <c r="N114" s="5" t="s">
        <v>979</v>
      </c>
      <c r="O114" s="5" t="s">
        <v>359</v>
      </c>
      <c r="P114" s="5">
        <f t="shared" si="1"/>
        <v>10</v>
      </c>
    </row>
    <row r="115" spans="1:16" x14ac:dyDescent="0.4">
      <c r="A115" s="5">
        <v>114</v>
      </c>
      <c r="B115" s="3" t="s">
        <v>114</v>
      </c>
      <c r="C115" s="5"/>
      <c r="D115" s="5" t="s">
        <v>315</v>
      </c>
      <c r="E115" s="5"/>
      <c r="F115" s="5"/>
      <c r="G115" s="5"/>
      <c r="H115" s="5"/>
      <c r="I115" s="5"/>
      <c r="J115" s="5"/>
      <c r="K115" s="5"/>
      <c r="L115" s="5"/>
      <c r="M115" s="5" t="s">
        <v>971</v>
      </c>
      <c r="N115" s="5" t="s">
        <v>504</v>
      </c>
      <c r="O115" s="5" t="s">
        <v>339</v>
      </c>
      <c r="P115" s="5">
        <f t="shared" si="1"/>
        <v>3</v>
      </c>
    </row>
    <row r="116" spans="1:16" x14ac:dyDescent="0.4">
      <c r="A116" s="5">
        <v>115</v>
      </c>
      <c r="B116" s="3" t="s">
        <v>115</v>
      </c>
      <c r="C116" s="5"/>
      <c r="D116" s="5"/>
      <c r="E116" s="5"/>
      <c r="F116" s="5"/>
      <c r="G116" s="5"/>
      <c r="H116" s="5"/>
      <c r="I116" s="5"/>
      <c r="J116" s="5"/>
      <c r="K116" s="5"/>
      <c r="L116" s="5"/>
      <c r="P116" s="5">
        <f t="shared" si="1"/>
        <v>0</v>
      </c>
    </row>
    <row r="117" spans="1:16" x14ac:dyDescent="0.4">
      <c r="A117" s="5">
        <v>116</v>
      </c>
      <c r="B117" s="3" t="s">
        <v>126</v>
      </c>
      <c r="C117" s="5" t="s">
        <v>381</v>
      </c>
      <c r="D117" s="5" t="s">
        <v>463</v>
      </c>
      <c r="E117" s="5"/>
      <c r="F117" s="5" t="s">
        <v>534</v>
      </c>
      <c r="G117" s="5"/>
      <c r="H117" s="5" t="s">
        <v>366</v>
      </c>
      <c r="I117" s="5"/>
      <c r="J117" s="5" t="s">
        <v>511</v>
      </c>
      <c r="K117" s="5" t="s">
        <v>403</v>
      </c>
      <c r="L117" s="5" t="s">
        <v>670</v>
      </c>
      <c r="M117" s="5" t="s">
        <v>975</v>
      </c>
      <c r="N117" s="5" t="s">
        <v>359</v>
      </c>
      <c r="O117" s="5" t="s">
        <v>339</v>
      </c>
      <c r="P117" s="5">
        <f t="shared" si="1"/>
        <v>9</v>
      </c>
    </row>
    <row r="118" spans="1:16" x14ac:dyDescent="0.4">
      <c r="A118" s="5">
        <v>117</v>
      </c>
      <c r="B118" s="3" t="s">
        <v>122</v>
      </c>
      <c r="C118" s="5" t="s">
        <v>382</v>
      </c>
      <c r="D118" s="5" t="s">
        <v>352</v>
      </c>
      <c r="E118" s="5"/>
      <c r="F118" s="5" t="s">
        <v>535</v>
      </c>
      <c r="G118" s="5" t="s">
        <v>377</v>
      </c>
      <c r="H118" s="5" t="s">
        <v>559</v>
      </c>
      <c r="I118" s="5" t="s">
        <v>519</v>
      </c>
      <c r="J118" s="5" t="s">
        <v>638</v>
      </c>
      <c r="K118" s="5" t="s">
        <v>656</v>
      </c>
      <c r="L118" s="5" t="s">
        <v>463</v>
      </c>
      <c r="M118" s="5" t="s">
        <v>969</v>
      </c>
      <c r="N118" s="5" t="s">
        <v>963</v>
      </c>
      <c r="O118" s="5" t="s">
        <v>963</v>
      </c>
      <c r="P118" s="5">
        <f t="shared" si="1"/>
        <v>11</v>
      </c>
    </row>
    <row r="119" spans="1:16" x14ac:dyDescent="0.4">
      <c r="A119" s="5">
        <v>118</v>
      </c>
      <c r="B119" s="3" t="s">
        <v>116</v>
      </c>
      <c r="C119" s="5" t="s">
        <v>350</v>
      </c>
      <c r="D119" s="5" t="s">
        <v>464</v>
      </c>
      <c r="E119" s="5" t="s">
        <v>464</v>
      </c>
      <c r="F119" s="5"/>
      <c r="G119" s="5" t="s">
        <v>563</v>
      </c>
      <c r="H119" s="5" t="s">
        <v>489</v>
      </c>
      <c r="I119" s="5" t="s">
        <v>355</v>
      </c>
      <c r="J119" s="5" t="s">
        <v>343</v>
      </c>
      <c r="K119" s="5" t="s">
        <v>351</v>
      </c>
      <c r="L119" s="5" t="s">
        <v>381</v>
      </c>
      <c r="M119" s="5" t="s">
        <v>349</v>
      </c>
      <c r="N119" s="5" t="s">
        <v>979</v>
      </c>
      <c r="O119" s="5" t="s">
        <v>1350</v>
      </c>
      <c r="P119" s="5">
        <f t="shared" si="1"/>
        <v>11</v>
      </c>
    </row>
    <row r="120" spans="1:16" x14ac:dyDescent="0.4">
      <c r="A120" s="5">
        <v>119</v>
      </c>
      <c r="B120" s="3" t="s">
        <v>118</v>
      </c>
      <c r="C120" s="5" t="s">
        <v>383</v>
      </c>
      <c r="D120" s="5" t="s">
        <v>465</v>
      </c>
      <c r="E120" s="5"/>
      <c r="F120" s="5" t="s">
        <v>334</v>
      </c>
      <c r="G120" s="5" t="s">
        <v>406</v>
      </c>
      <c r="H120" s="5" t="s">
        <v>443</v>
      </c>
      <c r="I120" s="5" t="s">
        <v>422</v>
      </c>
      <c r="J120" s="5" t="s">
        <v>372</v>
      </c>
      <c r="K120" s="5" t="s">
        <v>377</v>
      </c>
      <c r="L120" s="5" t="s">
        <v>377</v>
      </c>
      <c r="M120" s="5" t="s">
        <v>978</v>
      </c>
      <c r="N120" s="5" t="s">
        <v>971</v>
      </c>
      <c r="O120" s="5" t="s">
        <v>311</v>
      </c>
      <c r="P120" s="5">
        <f t="shared" si="1"/>
        <v>11</v>
      </c>
    </row>
    <row r="121" spans="1:16" x14ac:dyDescent="0.4">
      <c r="A121" s="5">
        <v>120</v>
      </c>
      <c r="B121" s="3" t="s">
        <v>129</v>
      </c>
      <c r="C121" s="5" t="s">
        <v>343</v>
      </c>
      <c r="D121" s="5" t="s">
        <v>385</v>
      </c>
      <c r="E121" s="5" t="s">
        <v>511</v>
      </c>
      <c r="F121" s="5" t="s">
        <v>536</v>
      </c>
      <c r="G121" s="5" t="s">
        <v>516</v>
      </c>
      <c r="H121" s="5" t="s">
        <v>516</v>
      </c>
      <c r="I121" s="5" t="s">
        <v>429</v>
      </c>
      <c r="J121" s="5" t="s">
        <v>343</v>
      </c>
      <c r="K121" s="5" t="s">
        <v>343</v>
      </c>
      <c r="L121" s="5"/>
      <c r="M121" s="5" t="s">
        <v>972</v>
      </c>
      <c r="N121" s="5" t="s">
        <v>394</v>
      </c>
      <c r="O121" s="5" t="s">
        <v>477</v>
      </c>
      <c r="P121" s="5">
        <f t="shared" si="1"/>
        <v>11</v>
      </c>
    </row>
    <row r="122" spans="1:16" x14ac:dyDescent="0.4">
      <c r="A122" s="5">
        <v>121</v>
      </c>
      <c r="B122" s="3" t="s">
        <v>130</v>
      </c>
      <c r="C122" s="5" t="s">
        <v>384</v>
      </c>
      <c r="D122" s="5" t="s">
        <v>403</v>
      </c>
      <c r="E122" s="5"/>
      <c r="F122" s="5"/>
      <c r="G122" s="5"/>
      <c r="H122" s="5"/>
      <c r="I122" s="5"/>
      <c r="J122" s="5"/>
      <c r="K122" s="5"/>
      <c r="L122" s="5"/>
      <c r="M122" s="5" t="s">
        <v>987</v>
      </c>
      <c r="N122" s="5" t="s">
        <v>979</v>
      </c>
      <c r="O122" s="5" t="s">
        <v>566</v>
      </c>
      <c r="P122" s="5">
        <f t="shared" si="1"/>
        <v>4</v>
      </c>
    </row>
    <row r="123" spans="1:16" x14ac:dyDescent="0.4">
      <c r="A123" s="5">
        <v>122</v>
      </c>
      <c r="B123" s="3" t="s">
        <v>119</v>
      </c>
      <c r="C123" s="5" t="s">
        <v>311</v>
      </c>
      <c r="D123" s="5" t="s">
        <v>342</v>
      </c>
      <c r="E123" s="5" t="s">
        <v>443</v>
      </c>
      <c r="F123" s="5"/>
      <c r="G123" s="5" t="s">
        <v>331</v>
      </c>
      <c r="H123" s="5" t="s">
        <v>334</v>
      </c>
      <c r="I123" s="5" t="s">
        <v>505</v>
      </c>
      <c r="J123" s="5" t="s">
        <v>342</v>
      </c>
      <c r="K123" s="5" t="s">
        <v>331</v>
      </c>
      <c r="L123" s="5"/>
      <c r="M123" s="5" t="s">
        <v>482</v>
      </c>
      <c r="N123" s="5" t="s">
        <v>979</v>
      </c>
      <c r="O123" s="5" t="s">
        <v>965</v>
      </c>
      <c r="P123" s="5">
        <f t="shared" si="1"/>
        <v>10</v>
      </c>
    </row>
    <row r="124" spans="1:16" x14ac:dyDescent="0.4">
      <c r="A124" s="5">
        <v>123</v>
      </c>
      <c r="B124" s="3" t="s">
        <v>131</v>
      </c>
      <c r="C124" s="5"/>
      <c r="D124" s="5" t="s">
        <v>466</v>
      </c>
      <c r="E124" s="5"/>
      <c r="F124" s="5"/>
      <c r="G124" s="5"/>
      <c r="H124" s="5"/>
      <c r="I124" s="5"/>
      <c r="J124" s="5"/>
      <c r="K124" s="5"/>
      <c r="L124" s="5"/>
      <c r="M124" s="5" t="s">
        <v>465</v>
      </c>
      <c r="N124" s="5" t="s">
        <v>963</v>
      </c>
      <c r="O124" s="5" t="s">
        <v>521</v>
      </c>
      <c r="P124" s="5">
        <f t="shared" si="1"/>
        <v>3</v>
      </c>
    </row>
    <row r="125" spans="1:16" x14ac:dyDescent="0.4">
      <c r="A125" s="5">
        <v>124</v>
      </c>
      <c r="B125" s="3" t="s">
        <v>128</v>
      </c>
      <c r="C125" s="5" t="s">
        <v>334</v>
      </c>
      <c r="D125" s="5" t="s">
        <v>330</v>
      </c>
      <c r="E125" s="5"/>
      <c r="F125" s="5" t="s">
        <v>372</v>
      </c>
      <c r="G125" s="5" t="s">
        <v>418</v>
      </c>
      <c r="H125" s="5" t="s">
        <v>330</v>
      </c>
      <c r="I125" s="5" t="s">
        <v>416</v>
      </c>
      <c r="J125" s="5" t="s">
        <v>416</v>
      </c>
      <c r="K125" s="5"/>
      <c r="L125" s="5"/>
      <c r="M125" s="5" t="s">
        <v>311</v>
      </c>
      <c r="N125" s="5" t="s">
        <v>521</v>
      </c>
      <c r="O125" s="5" t="s">
        <v>969</v>
      </c>
      <c r="P125" s="5">
        <f t="shared" si="1"/>
        <v>9</v>
      </c>
    </row>
    <row r="126" spans="1:16" x14ac:dyDescent="0.4">
      <c r="A126" s="5">
        <v>125</v>
      </c>
      <c r="B126" s="3" t="s">
        <v>132</v>
      </c>
      <c r="C126" s="5" t="s">
        <v>385</v>
      </c>
      <c r="D126" s="5" t="s">
        <v>343</v>
      </c>
      <c r="E126" s="5"/>
      <c r="F126" s="5"/>
      <c r="G126" s="5" t="s">
        <v>484</v>
      </c>
      <c r="H126" s="5" t="s">
        <v>385</v>
      </c>
      <c r="I126" s="5" t="s">
        <v>385</v>
      </c>
      <c r="J126" s="5" t="s">
        <v>385</v>
      </c>
      <c r="K126" s="5"/>
      <c r="L126" s="5"/>
      <c r="M126" s="5" t="s">
        <v>443</v>
      </c>
      <c r="N126" s="5" t="s">
        <v>359</v>
      </c>
      <c r="O126" s="5" t="s">
        <v>971</v>
      </c>
      <c r="P126" s="5">
        <f t="shared" si="1"/>
        <v>8</v>
      </c>
    </row>
    <row r="127" spans="1:16" x14ac:dyDescent="0.4">
      <c r="A127" s="5">
        <v>126</v>
      </c>
      <c r="B127" s="3" t="s">
        <v>127</v>
      </c>
      <c r="C127" s="5" t="s">
        <v>386</v>
      </c>
      <c r="D127" s="5" t="s">
        <v>467</v>
      </c>
      <c r="E127" s="5" t="s">
        <v>339</v>
      </c>
      <c r="F127" s="5" t="s">
        <v>467</v>
      </c>
      <c r="G127" s="5" t="s">
        <v>349</v>
      </c>
      <c r="H127" s="5" t="s">
        <v>467</v>
      </c>
      <c r="I127" s="5" t="s">
        <v>467</v>
      </c>
      <c r="J127" s="5" t="s">
        <v>467</v>
      </c>
      <c r="K127" s="5"/>
      <c r="L127" s="5"/>
      <c r="M127" s="5" t="s">
        <v>347</v>
      </c>
      <c r="N127" s="5" t="s">
        <v>359</v>
      </c>
      <c r="O127" s="5" t="s">
        <v>966</v>
      </c>
      <c r="P127" s="5">
        <f t="shared" si="1"/>
        <v>10</v>
      </c>
    </row>
    <row r="128" spans="1:16" x14ac:dyDescent="0.4">
      <c r="A128" s="5">
        <v>127</v>
      </c>
      <c r="B128" s="3" t="s">
        <v>124</v>
      </c>
      <c r="C128" s="5" t="s">
        <v>346</v>
      </c>
      <c r="D128" s="5" t="s">
        <v>359</v>
      </c>
      <c r="E128" s="5" t="s">
        <v>350</v>
      </c>
      <c r="F128" s="5"/>
      <c r="G128" s="5" t="s">
        <v>346</v>
      </c>
      <c r="H128" s="5" t="s">
        <v>377</v>
      </c>
      <c r="I128" s="5" t="s">
        <v>554</v>
      </c>
      <c r="J128" s="5" t="s">
        <v>359</v>
      </c>
      <c r="K128" s="5" t="s">
        <v>657</v>
      </c>
      <c r="L128" s="5"/>
      <c r="M128" s="5" t="s">
        <v>347</v>
      </c>
      <c r="N128" s="5" t="s">
        <v>334</v>
      </c>
      <c r="O128" s="5" t="s">
        <v>334</v>
      </c>
      <c r="P128" s="5">
        <f t="shared" si="1"/>
        <v>10</v>
      </c>
    </row>
    <row r="129" spans="1:16" x14ac:dyDescent="0.4">
      <c r="A129" s="5">
        <v>128</v>
      </c>
      <c r="B129" s="3" t="s">
        <v>125</v>
      </c>
      <c r="C129" s="5" t="s">
        <v>339</v>
      </c>
      <c r="D129" s="5" t="s">
        <v>359</v>
      </c>
      <c r="E129" s="5"/>
      <c r="F129" s="5" t="s">
        <v>529</v>
      </c>
      <c r="G129" s="5" t="s">
        <v>529</v>
      </c>
      <c r="H129" s="5" t="s">
        <v>529</v>
      </c>
      <c r="I129" s="5"/>
      <c r="J129" s="5"/>
      <c r="K129" s="5"/>
      <c r="L129" s="5" t="s">
        <v>529</v>
      </c>
      <c r="M129" s="5" t="s">
        <v>988</v>
      </c>
      <c r="N129" s="5" t="s">
        <v>311</v>
      </c>
      <c r="O129" s="5" t="s">
        <v>465</v>
      </c>
      <c r="P129" s="5">
        <f t="shared" si="1"/>
        <v>8</v>
      </c>
    </row>
    <row r="130" spans="1:16" x14ac:dyDescent="0.4">
      <c r="A130" s="5">
        <v>129</v>
      </c>
      <c r="B130" s="3" t="s">
        <v>133</v>
      </c>
      <c r="C130" s="5"/>
      <c r="D130" s="5" t="s">
        <v>468</v>
      </c>
      <c r="E130" s="5"/>
      <c r="F130" s="5"/>
      <c r="G130" s="5"/>
      <c r="H130" s="5"/>
      <c r="I130" s="5"/>
      <c r="J130" s="5"/>
      <c r="K130" s="5"/>
      <c r="L130" s="5"/>
      <c r="M130" s="5" t="s">
        <v>467</v>
      </c>
      <c r="N130" s="5" t="s">
        <v>979</v>
      </c>
      <c r="O130" s="5" t="s">
        <v>982</v>
      </c>
      <c r="P130" s="5">
        <f t="shared" ref="P130:P193" si="2">COUNTA(C130:N130)</f>
        <v>3</v>
      </c>
    </row>
    <row r="131" spans="1:16" x14ac:dyDescent="0.4">
      <c r="A131" s="5">
        <v>130</v>
      </c>
      <c r="B131" s="3" t="s">
        <v>120</v>
      </c>
      <c r="C131" s="5" t="s">
        <v>330</v>
      </c>
      <c r="D131" s="5" t="s">
        <v>469</v>
      </c>
      <c r="E131" s="5"/>
      <c r="F131" s="5"/>
      <c r="G131" s="5" t="s">
        <v>344</v>
      </c>
      <c r="H131" s="5" t="s">
        <v>309</v>
      </c>
      <c r="I131" s="5" t="s">
        <v>423</v>
      </c>
      <c r="J131" s="5"/>
      <c r="K131" s="5" t="s">
        <v>452</v>
      </c>
      <c r="L131" s="5"/>
      <c r="M131" s="5" t="s">
        <v>393</v>
      </c>
      <c r="N131" s="5" t="s">
        <v>401</v>
      </c>
      <c r="O131" s="5" t="s">
        <v>1341</v>
      </c>
      <c r="P131" s="5">
        <f t="shared" si="2"/>
        <v>8</v>
      </c>
    </row>
    <row r="132" spans="1:16" x14ac:dyDescent="0.4">
      <c r="A132" s="5">
        <v>131</v>
      </c>
      <c r="B132" s="3" t="s">
        <v>123</v>
      </c>
      <c r="C132" s="5" t="s">
        <v>387</v>
      </c>
      <c r="D132" s="5" t="s">
        <v>470</v>
      </c>
      <c r="E132" s="5"/>
      <c r="F132" s="5"/>
      <c r="G132" s="5" t="s">
        <v>387</v>
      </c>
      <c r="H132" s="5" t="s">
        <v>470</v>
      </c>
      <c r="I132" s="5" t="s">
        <v>470</v>
      </c>
      <c r="J132" s="5" t="s">
        <v>470</v>
      </c>
      <c r="K132" s="5"/>
      <c r="L132" s="5"/>
      <c r="M132" s="5" t="s">
        <v>390</v>
      </c>
      <c r="N132" s="5" t="s">
        <v>1357</v>
      </c>
      <c r="O132" s="5" t="s">
        <v>359</v>
      </c>
      <c r="P132" s="5">
        <f t="shared" si="2"/>
        <v>8</v>
      </c>
    </row>
    <row r="133" spans="1:16" x14ac:dyDescent="0.4">
      <c r="A133" s="5">
        <v>132</v>
      </c>
      <c r="B133" s="3" t="s">
        <v>117</v>
      </c>
      <c r="C133" s="5" t="s">
        <v>351</v>
      </c>
      <c r="D133" s="5" t="s">
        <v>366</v>
      </c>
      <c r="E133" s="5"/>
      <c r="F133" s="5"/>
      <c r="G133" s="5" t="s">
        <v>443</v>
      </c>
      <c r="H133" s="5"/>
      <c r="I133" s="5"/>
      <c r="J133" s="5" t="s">
        <v>391</v>
      </c>
      <c r="K133" s="5" t="s">
        <v>366</v>
      </c>
      <c r="L133" s="5"/>
      <c r="M133" s="5" t="s">
        <v>467</v>
      </c>
      <c r="N133" s="5" t="s">
        <v>963</v>
      </c>
      <c r="O133" s="5" t="s">
        <v>1351</v>
      </c>
      <c r="P133" s="5">
        <f t="shared" si="2"/>
        <v>7</v>
      </c>
    </row>
    <row r="134" spans="1:16" x14ac:dyDescent="0.4">
      <c r="A134" s="5">
        <v>133</v>
      </c>
      <c r="B134" s="3" t="s">
        <v>121</v>
      </c>
      <c r="C134" s="5" t="s">
        <v>350</v>
      </c>
      <c r="D134" s="5" t="s">
        <v>349</v>
      </c>
      <c r="E134" s="5" t="s">
        <v>512</v>
      </c>
      <c r="F134" s="5"/>
      <c r="G134" s="5" t="s">
        <v>564</v>
      </c>
      <c r="H134" s="5" t="s">
        <v>472</v>
      </c>
      <c r="I134" s="5"/>
      <c r="J134" s="5" t="s">
        <v>639</v>
      </c>
      <c r="K134" s="5"/>
      <c r="L134" s="5"/>
      <c r="M134" s="5" t="s">
        <v>443</v>
      </c>
      <c r="N134" s="5" t="s">
        <v>979</v>
      </c>
      <c r="O134" s="5" t="s">
        <v>504</v>
      </c>
      <c r="P134" s="5">
        <f t="shared" si="2"/>
        <v>8</v>
      </c>
    </row>
    <row r="135" spans="1:16" x14ac:dyDescent="0.4">
      <c r="A135" s="5">
        <v>134</v>
      </c>
      <c r="B135" s="3" t="s">
        <v>134</v>
      </c>
      <c r="C135" s="5"/>
      <c r="D135" s="5"/>
      <c r="E135" s="5"/>
      <c r="F135" s="5"/>
      <c r="G135" s="5"/>
      <c r="H135" s="5"/>
      <c r="I135" s="5"/>
      <c r="J135" s="5"/>
      <c r="K135" s="5"/>
      <c r="L135" s="5"/>
      <c r="P135" s="5">
        <f t="shared" si="2"/>
        <v>0</v>
      </c>
    </row>
    <row r="136" spans="1:16" x14ac:dyDescent="0.4">
      <c r="A136" s="5">
        <v>135</v>
      </c>
      <c r="B136" s="3" t="s">
        <v>135</v>
      </c>
      <c r="C136" s="5" t="s">
        <v>388</v>
      </c>
      <c r="D136" s="5" t="s">
        <v>355</v>
      </c>
      <c r="E136" s="5"/>
      <c r="F136" s="5" t="s">
        <v>537</v>
      </c>
      <c r="G136" s="5" t="s">
        <v>416</v>
      </c>
      <c r="H136" s="5"/>
      <c r="I136" s="5"/>
      <c r="J136" s="5"/>
      <c r="K136" s="5"/>
      <c r="L136" s="5"/>
      <c r="M136" s="5" t="s">
        <v>504</v>
      </c>
      <c r="N136" s="5" t="s">
        <v>979</v>
      </c>
      <c r="O136" s="5" t="s">
        <v>372</v>
      </c>
      <c r="P136" s="5">
        <f t="shared" si="2"/>
        <v>6</v>
      </c>
    </row>
    <row r="137" spans="1:16" x14ac:dyDescent="0.4">
      <c r="A137" s="5">
        <v>136</v>
      </c>
      <c r="B137" s="3" t="s">
        <v>659</v>
      </c>
      <c r="C137" s="5" t="s">
        <v>328</v>
      </c>
      <c r="D137" s="5" t="s">
        <v>328</v>
      </c>
      <c r="E137" s="5"/>
      <c r="F137" s="5" t="s">
        <v>328</v>
      </c>
      <c r="G137" s="5" t="s">
        <v>328</v>
      </c>
      <c r="H137" s="5" t="s">
        <v>328</v>
      </c>
      <c r="I137" s="5" t="s">
        <v>328</v>
      </c>
      <c r="J137" s="5" t="s">
        <v>328</v>
      </c>
      <c r="K137" s="2" t="s">
        <v>328</v>
      </c>
      <c r="L137" s="5"/>
      <c r="M137" s="5" t="s">
        <v>963</v>
      </c>
      <c r="N137" s="5" t="s">
        <v>346</v>
      </c>
      <c r="O137" s="5" t="s">
        <v>979</v>
      </c>
      <c r="P137" s="5">
        <f t="shared" si="2"/>
        <v>10</v>
      </c>
    </row>
    <row r="138" spans="1:16" x14ac:dyDescent="0.4">
      <c r="A138" s="5">
        <v>137</v>
      </c>
      <c r="B138" s="3" t="s">
        <v>137</v>
      </c>
      <c r="C138" s="5" t="s">
        <v>330</v>
      </c>
      <c r="D138" s="5" t="s">
        <v>471</v>
      </c>
      <c r="E138" s="5"/>
      <c r="F138" s="5" t="s">
        <v>331</v>
      </c>
      <c r="G138" s="5" t="s">
        <v>366</v>
      </c>
      <c r="H138" s="5" t="s">
        <v>600</v>
      </c>
      <c r="I138" s="5" t="s">
        <v>366</v>
      </c>
      <c r="J138" s="5" t="s">
        <v>375</v>
      </c>
      <c r="K138" s="5" t="s">
        <v>344</v>
      </c>
      <c r="L138" s="5" t="s">
        <v>666</v>
      </c>
      <c r="M138" s="5" t="s">
        <v>989</v>
      </c>
      <c r="N138" s="5" t="s">
        <v>971</v>
      </c>
      <c r="O138" s="5" t="s">
        <v>966</v>
      </c>
      <c r="P138" s="5">
        <f t="shared" si="2"/>
        <v>11</v>
      </c>
    </row>
    <row r="139" spans="1:16" x14ac:dyDescent="0.4">
      <c r="A139" s="5">
        <v>138</v>
      </c>
      <c r="B139" s="3" t="s">
        <v>138</v>
      </c>
      <c r="C139" s="5" t="s">
        <v>375</v>
      </c>
      <c r="D139" s="5" t="s">
        <v>423</v>
      </c>
      <c r="E139" s="5"/>
      <c r="F139" s="5" t="s">
        <v>503</v>
      </c>
      <c r="G139" s="5" t="s">
        <v>418</v>
      </c>
      <c r="H139" s="5" t="s">
        <v>444</v>
      </c>
      <c r="I139" s="5" t="s">
        <v>403</v>
      </c>
      <c r="J139" s="5" t="s">
        <v>403</v>
      </c>
      <c r="K139" s="5" t="s">
        <v>503</v>
      </c>
      <c r="L139" s="5"/>
      <c r="M139" s="5" t="s">
        <v>333</v>
      </c>
      <c r="N139" s="5" t="s">
        <v>339</v>
      </c>
      <c r="O139" s="5" t="s">
        <v>969</v>
      </c>
      <c r="P139" s="5">
        <f t="shared" si="2"/>
        <v>10</v>
      </c>
    </row>
    <row r="140" spans="1:16" x14ac:dyDescent="0.4">
      <c r="A140" s="5">
        <v>139</v>
      </c>
      <c r="B140" s="3" t="s">
        <v>139</v>
      </c>
      <c r="C140" s="5" t="s">
        <v>349</v>
      </c>
      <c r="D140" s="5" t="s">
        <v>472</v>
      </c>
      <c r="E140" s="5" t="s">
        <v>370</v>
      </c>
      <c r="F140" s="5" t="s">
        <v>383</v>
      </c>
      <c r="G140" s="5" t="s">
        <v>349</v>
      </c>
      <c r="H140" s="5" t="s">
        <v>342</v>
      </c>
      <c r="I140" s="5" t="s">
        <v>423</v>
      </c>
      <c r="J140" s="5" t="s">
        <v>366</v>
      </c>
      <c r="K140" s="5" t="s">
        <v>383</v>
      </c>
      <c r="L140" s="5" t="s">
        <v>472</v>
      </c>
      <c r="M140" s="5" t="s">
        <v>372</v>
      </c>
      <c r="N140" s="5" t="s">
        <v>970</v>
      </c>
      <c r="O140" s="5" t="s">
        <v>1352</v>
      </c>
      <c r="P140" s="5">
        <f t="shared" si="2"/>
        <v>12</v>
      </c>
    </row>
    <row r="141" spans="1:16" x14ac:dyDescent="0.4">
      <c r="A141" s="5">
        <v>140</v>
      </c>
      <c r="B141" s="3" t="s">
        <v>140</v>
      </c>
      <c r="C141" s="5" t="s">
        <v>349</v>
      </c>
      <c r="D141" s="5" t="s">
        <v>403</v>
      </c>
      <c r="E141" s="5"/>
      <c r="F141" s="5"/>
      <c r="G141" s="5" t="s">
        <v>349</v>
      </c>
      <c r="H141" s="5" t="s">
        <v>339</v>
      </c>
      <c r="I141" s="5" t="s">
        <v>339</v>
      </c>
      <c r="J141" s="5" t="s">
        <v>503</v>
      </c>
      <c r="K141" s="5"/>
      <c r="L141" s="5" t="s">
        <v>331</v>
      </c>
      <c r="M141" s="5" t="s">
        <v>962</v>
      </c>
      <c r="N141" s="5" t="s">
        <v>539</v>
      </c>
      <c r="O141" s="5" t="s">
        <v>1336</v>
      </c>
      <c r="P141" s="5">
        <f t="shared" si="2"/>
        <v>9</v>
      </c>
    </row>
    <row r="142" spans="1:16" x14ac:dyDescent="0.4">
      <c r="A142" s="5">
        <v>141</v>
      </c>
      <c r="B142" s="3" t="s">
        <v>141</v>
      </c>
      <c r="C142" s="5" t="s">
        <v>388</v>
      </c>
      <c r="D142" s="5" t="s">
        <v>443</v>
      </c>
      <c r="E142" s="5"/>
      <c r="F142" s="5"/>
      <c r="G142" s="5" t="s">
        <v>443</v>
      </c>
      <c r="H142" s="5" t="s">
        <v>332</v>
      </c>
      <c r="I142" s="5" t="s">
        <v>385</v>
      </c>
      <c r="J142" s="5" t="s">
        <v>640</v>
      </c>
      <c r="K142" s="5" t="s">
        <v>422</v>
      </c>
      <c r="L142" s="5" t="s">
        <v>418</v>
      </c>
      <c r="M142" s="5" t="s">
        <v>528</v>
      </c>
      <c r="N142" s="5" t="s">
        <v>379</v>
      </c>
      <c r="O142" s="5" t="s">
        <v>530</v>
      </c>
      <c r="P142" s="5">
        <f t="shared" si="2"/>
        <v>10</v>
      </c>
    </row>
    <row r="143" spans="1:16" x14ac:dyDescent="0.4">
      <c r="A143" s="5">
        <v>142</v>
      </c>
      <c r="B143" s="3" t="s">
        <v>142</v>
      </c>
      <c r="C143" s="5" t="s">
        <v>389</v>
      </c>
      <c r="D143" s="5" t="s">
        <v>403</v>
      </c>
      <c r="E143" s="5"/>
      <c r="F143" s="5" t="s">
        <v>416</v>
      </c>
      <c r="G143" s="5"/>
      <c r="H143" s="5"/>
      <c r="I143" s="5"/>
      <c r="J143" s="5"/>
      <c r="K143" s="5"/>
      <c r="L143" s="5"/>
      <c r="M143" s="5" t="s">
        <v>465</v>
      </c>
      <c r="N143" s="5" t="s">
        <v>963</v>
      </c>
      <c r="O143" s="5" t="s">
        <v>347</v>
      </c>
      <c r="P143" s="5">
        <f t="shared" si="2"/>
        <v>5</v>
      </c>
    </row>
    <row r="144" spans="1:16" x14ac:dyDescent="0.4">
      <c r="A144" s="5">
        <v>143</v>
      </c>
      <c r="B144" s="3" t="s">
        <v>143</v>
      </c>
      <c r="C144" s="5" t="s">
        <v>339</v>
      </c>
      <c r="D144" s="5" t="s">
        <v>473</v>
      </c>
      <c r="E144" s="5" t="s">
        <v>513</v>
      </c>
      <c r="F144" s="5" t="s">
        <v>538</v>
      </c>
      <c r="G144" s="5" t="s">
        <v>437</v>
      </c>
      <c r="H144" s="5" t="s">
        <v>403</v>
      </c>
      <c r="I144" s="5" t="s">
        <v>478</v>
      </c>
      <c r="J144" s="5" t="s">
        <v>611</v>
      </c>
      <c r="K144" s="5"/>
      <c r="L144" s="5" t="s">
        <v>325</v>
      </c>
      <c r="M144" s="5" t="s">
        <v>346</v>
      </c>
      <c r="N144" s="5" t="s">
        <v>349</v>
      </c>
      <c r="O144" s="5" t="s">
        <v>333</v>
      </c>
      <c r="P144" s="5">
        <f t="shared" si="2"/>
        <v>11</v>
      </c>
    </row>
    <row r="145" spans="1:16" x14ac:dyDescent="0.4">
      <c r="A145" s="5">
        <v>144</v>
      </c>
      <c r="B145" s="3" t="s">
        <v>144</v>
      </c>
      <c r="C145" s="5" t="s">
        <v>390</v>
      </c>
      <c r="D145" s="5" t="s">
        <v>385</v>
      </c>
      <c r="E145" s="5"/>
      <c r="F145" s="5" t="s">
        <v>386</v>
      </c>
      <c r="G145" s="5" t="s">
        <v>390</v>
      </c>
      <c r="H145" s="5" t="s">
        <v>542</v>
      </c>
      <c r="I145" s="5" t="s">
        <v>355</v>
      </c>
      <c r="J145" s="5" t="s">
        <v>559</v>
      </c>
      <c r="K145" s="5"/>
      <c r="L145" s="5"/>
      <c r="M145" s="5" t="s">
        <v>372</v>
      </c>
      <c r="N145" s="5" t="s">
        <v>979</v>
      </c>
      <c r="O145" s="5" t="s">
        <v>963</v>
      </c>
      <c r="P145" s="5">
        <f t="shared" si="2"/>
        <v>9</v>
      </c>
    </row>
    <row r="146" spans="1:16" x14ac:dyDescent="0.4">
      <c r="A146" s="5">
        <v>145</v>
      </c>
      <c r="B146" s="3" t="s">
        <v>145</v>
      </c>
      <c r="C146" s="5" t="s">
        <v>391</v>
      </c>
      <c r="D146" s="5"/>
      <c r="E146" s="5"/>
      <c r="F146" s="5" t="s">
        <v>391</v>
      </c>
      <c r="G146" s="5" t="s">
        <v>565</v>
      </c>
      <c r="H146" s="5" t="s">
        <v>462</v>
      </c>
      <c r="I146" s="5" t="s">
        <v>409</v>
      </c>
      <c r="J146" s="5" t="s">
        <v>391</v>
      </c>
      <c r="K146" s="5" t="s">
        <v>391</v>
      </c>
      <c r="L146" s="5" t="s">
        <v>403</v>
      </c>
      <c r="M146" s="5" t="s">
        <v>566</v>
      </c>
      <c r="N146" s="5" t="s">
        <v>339</v>
      </c>
      <c r="O146" s="5" t="s">
        <v>390</v>
      </c>
      <c r="P146" s="5">
        <f t="shared" si="2"/>
        <v>10</v>
      </c>
    </row>
    <row r="147" spans="1:16" x14ac:dyDescent="0.4">
      <c r="A147" s="5">
        <v>146</v>
      </c>
      <c r="B147" s="3" t="s">
        <v>146</v>
      </c>
      <c r="C147" s="5"/>
      <c r="D147" s="5"/>
      <c r="E147" s="5"/>
      <c r="F147" s="5"/>
      <c r="G147" s="5"/>
      <c r="H147" s="5"/>
      <c r="I147" s="5"/>
      <c r="J147" s="5"/>
      <c r="K147" s="5"/>
      <c r="L147" s="5"/>
      <c r="P147" s="5">
        <f t="shared" si="2"/>
        <v>0</v>
      </c>
    </row>
    <row r="148" spans="1:16" x14ac:dyDescent="0.4">
      <c r="A148" s="5">
        <v>147</v>
      </c>
      <c r="B148" s="3" t="s">
        <v>147</v>
      </c>
      <c r="C148" s="5" t="s">
        <v>328</v>
      </c>
      <c r="D148" s="5" t="s">
        <v>443</v>
      </c>
      <c r="E148" s="5" t="s">
        <v>443</v>
      </c>
      <c r="F148" s="5" t="s">
        <v>443</v>
      </c>
      <c r="G148" s="5" t="s">
        <v>386</v>
      </c>
      <c r="H148" s="5" t="s">
        <v>443</v>
      </c>
      <c r="I148" s="5" t="s">
        <v>443</v>
      </c>
      <c r="J148" s="5" t="s">
        <v>386</v>
      </c>
      <c r="K148" s="5" t="s">
        <v>443</v>
      </c>
      <c r="L148" s="5" t="s">
        <v>443</v>
      </c>
      <c r="M148" s="5" t="s">
        <v>333</v>
      </c>
      <c r="N148" s="5" t="s">
        <v>970</v>
      </c>
      <c r="O148" s="5" t="s">
        <v>969</v>
      </c>
      <c r="P148" s="5">
        <f t="shared" si="2"/>
        <v>12</v>
      </c>
    </row>
    <row r="149" spans="1:16" x14ac:dyDescent="0.4">
      <c r="A149" s="5">
        <v>148</v>
      </c>
      <c r="B149" s="3" t="s">
        <v>148</v>
      </c>
      <c r="C149" s="5" t="s">
        <v>311</v>
      </c>
      <c r="D149" s="5" t="s">
        <v>427</v>
      </c>
      <c r="E149" s="5"/>
      <c r="F149" s="5" t="s">
        <v>311</v>
      </c>
      <c r="G149" s="5" t="s">
        <v>311</v>
      </c>
      <c r="H149" s="5" t="s">
        <v>311</v>
      </c>
      <c r="I149" s="5"/>
      <c r="J149" s="5" t="s">
        <v>311</v>
      </c>
      <c r="K149" s="5" t="s">
        <v>311</v>
      </c>
      <c r="L149" s="5" t="s">
        <v>311</v>
      </c>
      <c r="M149" s="5" t="s">
        <v>990</v>
      </c>
      <c r="N149" s="5" t="s">
        <v>359</v>
      </c>
      <c r="O149" s="5" t="s">
        <v>366</v>
      </c>
      <c r="P149" s="5">
        <f t="shared" si="2"/>
        <v>10</v>
      </c>
    </row>
    <row r="150" spans="1:16" x14ac:dyDescent="0.4">
      <c r="A150" s="5">
        <v>149</v>
      </c>
      <c r="B150" s="3" t="s">
        <v>149</v>
      </c>
      <c r="C150" s="5" t="s">
        <v>366</v>
      </c>
      <c r="D150" s="5" t="s">
        <v>351</v>
      </c>
      <c r="E150" s="5" t="s">
        <v>351</v>
      </c>
      <c r="F150" s="5" t="s">
        <v>373</v>
      </c>
      <c r="G150" s="5" t="s">
        <v>349</v>
      </c>
      <c r="H150" s="5" t="s">
        <v>421</v>
      </c>
      <c r="I150" s="5" t="s">
        <v>351</v>
      </c>
      <c r="J150" s="5" t="s">
        <v>366</v>
      </c>
      <c r="K150" s="5" t="s">
        <v>331</v>
      </c>
      <c r="L150" s="5"/>
      <c r="M150" s="5" t="s">
        <v>504</v>
      </c>
      <c r="N150" s="5" t="s">
        <v>346</v>
      </c>
      <c r="O150" s="5" t="s">
        <v>366</v>
      </c>
      <c r="P150" s="5">
        <f t="shared" si="2"/>
        <v>11</v>
      </c>
    </row>
    <row r="151" spans="1:16" x14ac:dyDescent="0.4">
      <c r="A151" s="5">
        <v>150</v>
      </c>
      <c r="B151" s="3" t="s">
        <v>150</v>
      </c>
      <c r="C151" s="5"/>
      <c r="D151" s="5" t="s">
        <v>474</v>
      </c>
      <c r="E151" s="5"/>
      <c r="F151" s="5"/>
      <c r="G151" s="5"/>
      <c r="H151" s="5"/>
      <c r="I151" s="5"/>
      <c r="J151" s="5"/>
      <c r="K151" s="5"/>
      <c r="L151" s="5"/>
      <c r="M151" s="5" t="s">
        <v>984</v>
      </c>
      <c r="N151" s="5" t="s">
        <v>979</v>
      </c>
      <c r="O151" s="5" t="s">
        <v>1351</v>
      </c>
      <c r="P151" s="5">
        <f t="shared" si="2"/>
        <v>3</v>
      </c>
    </row>
    <row r="152" spans="1:16" x14ac:dyDescent="0.4">
      <c r="A152" s="5">
        <v>151</v>
      </c>
      <c r="B152" s="3" t="s">
        <v>151</v>
      </c>
      <c r="C152" s="5" t="s">
        <v>392</v>
      </c>
      <c r="D152" s="5" t="s">
        <v>475</v>
      </c>
      <c r="E152" s="5" t="s">
        <v>514</v>
      </c>
      <c r="F152" s="5" t="s">
        <v>444</v>
      </c>
      <c r="G152" s="5" t="s">
        <v>309</v>
      </c>
      <c r="H152" s="5" t="s">
        <v>340</v>
      </c>
      <c r="I152" s="5" t="s">
        <v>392</v>
      </c>
      <c r="J152" s="5" t="s">
        <v>392</v>
      </c>
      <c r="K152" s="5" t="s">
        <v>392</v>
      </c>
      <c r="L152" s="5"/>
      <c r="M152" s="5" t="s">
        <v>509</v>
      </c>
      <c r="N152" s="5" t="s">
        <v>979</v>
      </c>
      <c r="O152" s="5" t="s">
        <v>328</v>
      </c>
      <c r="P152" s="5">
        <f t="shared" si="2"/>
        <v>11</v>
      </c>
    </row>
    <row r="153" spans="1:16" x14ac:dyDescent="0.4">
      <c r="A153" s="5">
        <v>152</v>
      </c>
      <c r="B153" s="3" t="s">
        <v>152</v>
      </c>
      <c r="C153" s="5" t="s">
        <v>328</v>
      </c>
      <c r="D153" s="5" t="s">
        <v>422</v>
      </c>
      <c r="E153" s="5" t="s">
        <v>328</v>
      </c>
      <c r="F153" s="5" t="s">
        <v>328</v>
      </c>
      <c r="G153" s="5" t="s">
        <v>443</v>
      </c>
      <c r="H153" s="5" t="s">
        <v>328</v>
      </c>
      <c r="I153" s="5" t="s">
        <v>351</v>
      </c>
      <c r="J153" s="5" t="s">
        <v>349</v>
      </c>
      <c r="K153" s="5" t="s">
        <v>328</v>
      </c>
      <c r="L153" s="5" t="s">
        <v>351</v>
      </c>
      <c r="M153" s="5" t="s">
        <v>366</v>
      </c>
      <c r="N153" s="5" t="s">
        <v>963</v>
      </c>
      <c r="O153" s="5" t="s">
        <v>974</v>
      </c>
      <c r="P153" s="5">
        <f t="shared" si="2"/>
        <v>12</v>
      </c>
    </row>
    <row r="154" spans="1:16" x14ac:dyDescent="0.4">
      <c r="A154" s="5">
        <v>153</v>
      </c>
      <c r="B154" s="3" t="s">
        <v>153</v>
      </c>
      <c r="C154" s="5"/>
      <c r="D154" s="5" t="s">
        <v>476</v>
      </c>
      <c r="E154" s="5"/>
      <c r="F154" s="5"/>
      <c r="G154" s="5"/>
      <c r="H154" s="5"/>
      <c r="I154" s="5"/>
      <c r="J154" s="5"/>
      <c r="K154" s="5"/>
      <c r="L154" s="5"/>
      <c r="M154" s="5" t="s">
        <v>477</v>
      </c>
      <c r="N154" s="5" t="s">
        <v>971</v>
      </c>
      <c r="P154" s="5">
        <f t="shared" si="2"/>
        <v>3</v>
      </c>
    </row>
    <row r="155" spans="1:16" x14ac:dyDescent="0.4">
      <c r="A155" s="5">
        <v>154</v>
      </c>
      <c r="B155" s="3" t="s">
        <v>154</v>
      </c>
      <c r="C155" s="5" t="s">
        <v>393</v>
      </c>
      <c r="D155" s="5" t="s">
        <v>477</v>
      </c>
      <c r="E155" s="5" t="s">
        <v>358</v>
      </c>
      <c r="F155" s="5" t="s">
        <v>358</v>
      </c>
      <c r="G155" s="5" t="s">
        <v>324</v>
      </c>
      <c r="H155" s="5"/>
      <c r="I155" s="5" t="s">
        <v>467</v>
      </c>
      <c r="J155" s="5"/>
      <c r="K155" s="5" t="s">
        <v>358</v>
      </c>
      <c r="L155" s="5" t="s">
        <v>358</v>
      </c>
      <c r="M155" s="5" t="s">
        <v>324</v>
      </c>
      <c r="N155" s="5" t="s">
        <v>346</v>
      </c>
      <c r="O155" s="5" t="s">
        <v>393</v>
      </c>
      <c r="P155" s="5">
        <f t="shared" si="2"/>
        <v>10</v>
      </c>
    </row>
    <row r="156" spans="1:16" x14ac:dyDescent="0.4">
      <c r="A156" s="5">
        <v>155</v>
      </c>
      <c r="B156" s="3" t="s">
        <v>155</v>
      </c>
      <c r="C156" s="5" t="s">
        <v>394</v>
      </c>
      <c r="D156" s="5" t="s">
        <v>394</v>
      </c>
      <c r="E156" s="5"/>
      <c r="F156" s="5" t="s">
        <v>394</v>
      </c>
      <c r="G156" s="5" t="s">
        <v>394</v>
      </c>
      <c r="H156" s="5" t="s">
        <v>422</v>
      </c>
      <c r="I156" s="5" t="s">
        <v>394</v>
      </c>
      <c r="J156" s="5" t="s">
        <v>394</v>
      </c>
      <c r="K156" s="5" t="s">
        <v>394</v>
      </c>
      <c r="L156" s="5"/>
      <c r="M156" s="5" t="s">
        <v>334</v>
      </c>
      <c r="N156" s="5" t="s">
        <v>394</v>
      </c>
      <c r="O156" s="5" t="s">
        <v>420</v>
      </c>
      <c r="P156" s="5">
        <f t="shared" si="2"/>
        <v>10</v>
      </c>
    </row>
    <row r="157" spans="1:16" x14ac:dyDescent="0.4">
      <c r="A157" s="5">
        <v>156</v>
      </c>
      <c r="B157" s="3" t="s">
        <v>156</v>
      </c>
      <c r="C157" s="5" t="s">
        <v>395</v>
      </c>
      <c r="D157" s="5" t="s">
        <v>478</v>
      </c>
      <c r="E157" s="5" t="s">
        <v>403</v>
      </c>
      <c r="F157" s="5" t="s">
        <v>403</v>
      </c>
      <c r="G157" s="5" t="s">
        <v>395</v>
      </c>
      <c r="H157" s="5" t="s">
        <v>403</v>
      </c>
      <c r="I157" s="5" t="s">
        <v>309</v>
      </c>
      <c r="J157" s="5" t="s">
        <v>470</v>
      </c>
      <c r="K157" s="5"/>
      <c r="L157" s="5" t="s">
        <v>470</v>
      </c>
      <c r="M157" s="5" t="s">
        <v>349</v>
      </c>
      <c r="N157" s="5" t="s">
        <v>987</v>
      </c>
      <c r="O157" s="5" t="s">
        <v>347</v>
      </c>
      <c r="P157" s="5">
        <f t="shared" si="2"/>
        <v>11</v>
      </c>
    </row>
    <row r="158" spans="1:16" x14ac:dyDescent="0.4">
      <c r="A158" s="5">
        <v>157</v>
      </c>
      <c r="B158" s="3" t="s">
        <v>157</v>
      </c>
      <c r="C158" s="5" t="s">
        <v>328</v>
      </c>
      <c r="D158" s="5" t="s">
        <v>334</v>
      </c>
      <c r="E158" s="5" t="s">
        <v>358</v>
      </c>
      <c r="F158" s="5" t="s">
        <v>366</v>
      </c>
      <c r="G158" s="5" t="s">
        <v>422</v>
      </c>
      <c r="H158" s="5" t="s">
        <v>601</v>
      </c>
      <c r="I158" s="5" t="s">
        <v>342</v>
      </c>
      <c r="J158" s="5" t="s">
        <v>422</v>
      </c>
      <c r="K158" s="5" t="s">
        <v>334</v>
      </c>
      <c r="L158" s="5" t="s">
        <v>671</v>
      </c>
      <c r="M158" s="5" t="s">
        <v>984</v>
      </c>
      <c r="N158" s="5" t="s">
        <v>339</v>
      </c>
      <c r="O158" s="5" t="s">
        <v>1353</v>
      </c>
      <c r="P158" s="5">
        <f t="shared" si="2"/>
        <v>12</v>
      </c>
    </row>
    <row r="159" spans="1:16" x14ac:dyDescent="0.4">
      <c r="A159" s="5">
        <v>158</v>
      </c>
      <c r="B159" s="3" t="s">
        <v>158</v>
      </c>
      <c r="C159" s="5" t="s">
        <v>396</v>
      </c>
      <c r="D159" s="5" t="s">
        <v>479</v>
      </c>
      <c r="E159" s="5" t="s">
        <v>457</v>
      </c>
      <c r="F159" s="5"/>
      <c r="G159" s="5" t="s">
        <v>501</v>
      </c>
      <c r="H159" s="5" t="s">
        <v>392</v>
      </c>
      <c r="I159" s="5" t="s">
        <v>392</v>
      </c>
      <c r="J159" s="5" t="s">
        <v>641</v>
      </c>
      <c r="K159" s="5"/>
      <c r="L159" s="5" t="s">
        <v>501</v>
      </c>
      <c r="M159" s="5" t="s">
        <v>504</v>
      </c>
      <c r="N159" s="5" t="s">
        <v>372</v>
      </c>
      <c r="O159" s="5" t="s">
        <v>311</v>
      </c>
      <c r="P159" s="5">
        <f t="shared" si="2"/>
        <v>10</v>
      </c>
    </row>
    <row r="160" spans="1:16" x14ac:dyDescent="0.4">
      <c r="A160" s="5">
        <v>159</v>
      </c>
      <c r="B160" s="3" t="s">
        <v>159</v>
      </c>
      <c r="C160" s="5" t="s">
        <v>318</v>
      </c>
      <c r="D160" s="5" t="s">
        <v>350</v>
      </c>
      <c r="E160" s="5" t="s">
        <v>324</v>
      </c>
      <c r="F160" s="5" t="s">
        <v>324</v>
      </c>
      <c r="G160" s="5" t="s">
        <v>324</v>
      </c>
      <c r="H160" s="5" t="s">
        <v>510</v>
      </c>
      <c r="I160" s="5" t="s">
        <v>583</v>
      </c>
      <c r="J160" s="5" t="s">
        <v>324</v>
      </c>
      <c r="K160" s="5" t="s">
        <v>324</v>
      </c>
      <c r="L160" s="5" t="s">
        <v>324</v>
      </c>
      <c r="M160" s="5" t="s">
        <v>346</v>
      </c>
      <c r="N160" s="5" t="s">
        <v>359</v>
      </c>
      <c r="O160" s="5" t="s">
        <v>558</v>
      </c>
      <c r="P160" s="5">
        <f t="shared" si="2"/>
        <v>12</v>
      </c>
    </row>
    <row r="161" spans="1:16" x14ac:dyDescent="0.4">
      <c r="A161" s="5">
        <v>160</v>
      </c>
      <c r="B161" s="3" t="s">
        <v>160</v>
      </c>
      <c r="C161" s="5" t="s">
        <v>366</v>
      </c>
      <c r="D161" s="5" t="s">
        <v>334</v>
      </c>
      <c r="E161" s="5" t="s">
        <v>366</v>
      </c>
      <c r="F161" s="5" t="s">
        <v>366</v>
      </c>
      <c r="G161" s="5" t="s">
        <v>366</v>
      </c>
      <c r="H161" s="5" t="s">
        <v>366</v>
      </c>
      <c r="I161" s="5" t="s">
        <v>342</v>
      </c>
      <c r="J161" s="5" t="s">
        <v>422</v>
      </c>
      <c r="K161" s="5" t="s">
        <v>366</v>
      </c>
      <c r="L161" s="5" t="s">
        <v>324</v>
      </c>
      <c r="M161" s="5" t="s">
        <v>966</v>
      </c>
      <c r="N161" s="5" t="s">
        <v>971</v>
      </c>
      <c r="O161" s="5" t="s">
        <v>334</v>
      </c>
      <c r="P161" s="5">
        <f t="shared" si="2"/>
        <v>12</v>
      </c>
    </row>
    <row r="162" spans="1:16" x14ac:dyDescent="0.4">
      <c r="A162" s="5">
        <v>161</v>
      </c>
      <c r="B162" s="3" t="s">
        <v>161</v>
      </c>
      <c r="C162" s="5" t="s">
        <v>350</v>
      </c>
      <c r="D162" s="5" t="s">
        <v>350</v>
      </c>
      <c r="E162" s="5" t="s">
        <v>350</v>
      </c>
      <c r="F162" s="5" t="s">
        <v>350</v>
      </c>
      <c r="G162" s="5" t="s">
        <v>350</v>
      </c>
      <c r="H162" s="5" t="s">
        <v>350</v>
      </c>
      <c r="I162" s="5" t="s">
        <v>350</v>
      </c>
      <c r="J162" s="5" t="s">
        <v>350</v>
      </c>
      <c r="K162" s="5" t="s">
        <v>350</v>
      </c>
      <c r="L162" s="5"/>
      <c r="M162" s="5" t="s">
        <v>349</v>
      </c>
      <c r="N162" s="5" t="s">
        <v>504</v>
      </c>
      <c r="O162" s="5" t="s">
        <v>989</v>
      </c>
      <c r="P162" s="5">
        <f t="shared" si="2"/>
        <v>11</v>
      </c>
    </row>
    <row r="163" spans="1:16" x14ac:dyDescent="0.4">
      <c r="A163" s="5">
        <v>162</v>
      </c>
      <c r="B163" s="3" t="s">
        <v>162</v>
      </c>
      <c r="C163" s="5"/>
      <c r="D163" s="5"/>
      <c r="E163" s="5"/>
      <c r="F163" s="5"/>
      <c r="G163" s="5"/>
      <c r="H163" s="5"/>
      <c r="I163" s="5"/>
      <c r="J163" s="5"/>
      <c r="K163" s="5"/>
      <c r="L163" s="5"/>
      <c r="P163" s="5">
        <f t="shared" si="2"/>
        <v>0</v>
      </c>
    </row>
    <row r="164" spans="1:16" x14ac:dyDescent="0.4">
      <c r="A164" s="5">
        <v>163</v>
      </c>
      <c r="B164" s="3" t="s">
        <v>163</v>
      </c>
      <c r="C164" s="5" t="s">
        <v>342</v>
      </c>
      <c r="D164" s="5" t="s">
        <v>342</v>
      </c>
      <c r="E164" s="5"/>
      <c r="F164" s="5" t="s">
        <v>339</v>
      </c>
      <c r="G164" s="5" t="s">
        <v>349</v>
      </c>
      <c r="H164" s="5" t="s">
        <v>328</v>
      </c>
      <c r="I164" s="5" t="s">
        <v>342</v>
      </c>
      <c r="J164" s="5" t="s">
        <v>449</v>
      </c>
      <c r="K164" s="5"/>
      <c r="L164" s="5" t="s">
        <v>311</v>
      </c>
      <c r="M164" s="5" t="s">
        <v>976</v>
      </c>
      <c r="N164" s="5" t="s">
        <v>963</v>
      </c>
      <c r="O164" s="5" t="s">
        <v>1354</v>
      </c>
      <c r="P164" s="5">
        <f t="shared" si="2"/>
        <v>10</v>
      </c>
    </row>
    <row r="165" spans="1:16" x14ac:dyDescent="0.4">
      <c r="A165" s="5">
        <v>164</v>
      </c>
      <c r="B165" s="3" t="s">
        <v>164</v>
      </c>
      <c r="C165" s="5" t="s">
        <v>397</v>
      </c>
      <c r="D165" s="5" t="s">
        <v>413</v>
      </c>
      <c r="E165" s="5" t="s">
        <v>386</v>
      </c>
      <c r="F165" s="5" t="s">
        <v>539</v>
      </c>
      <c r="G165" s="5" t="s">
        <v>566</v>
      </c>
      <c r="H165" s="5" t="s">
        <v>413</v>
      </c>
      <c r="I165" s="5" t="s">
        <v>517</v>
      </c>
      <c r="J165" s="5" t="s">
        <v>509</v>
      </c>
      <c r="K165" s="5" t="s">
        <v>413</v>
      </c>
      <c r="L165" s="5" t="s">
        <v>386</v>
      </c>
      <c r="M165" s="5" t="s">
        <v>339</v>
      </c>
      <c r="N165" s="5" t="s">
        <v>311</v>
      </c>
      <c r="O165" s="5" t="s">
        <v>1355</v>
      </c>
      <c r="P165" s="5">
        <f t="shared" si="2"/>
        <v>12</v>
      </c>
    </row>
    <row r="166" spans="1:16" x14ac:dyDescent="0.4">
      <c r="A166" s="5">
        <v>165</v>
      </c>
      <c r="B166" s="3" t="s">
        <v>165</v>
      </c>
      <c r="C166" s="5" t="s">
        <v>398</v>
      </c>
      <c r="D166" s="5" t="s">
        <v>480</v>
      </c>
      <c r="E166" s="5" t="s">
        <v>312</v>
      </c>
      <c r="F166" s="5"/>
      <c r="G166" s="5"/>
      <c r="H166" s="5" t="s">
        <v>352</v>
      </c>
      <c r="I166" s="5" t="s">
        <v>352</v>
      </c>
      <c r="J166" s="5" t="s">
        <v>586</v>
      </c>
      <c r="K166" s="5" t="s">
        <v>388</v>
      </c>
      <c r="L166" s="5" t="s">
        <v>352</v>
      </c>
      <c r="M166" s="5" t="s">
        <v>967</v>
      </c>
      <c r="N166" s="5" t="s">
        <v>979</v>
      </c>
      <c r="O166" s="5" t="s">
        <v>1356</v>
      </c>
      <c r="P166" s="5">
        <f t="shared" si="2"/>
        <v>10</v>
      </c>
    </row>
    <row r="167" spans="1:16" x14ac:dyDescent="0.4">
      <c r="A167" s="5">
        <v>166</v>
      </c>
      <c r="B167" s="3" t="s">
        <v>166</v>
      </c>
      <c r="C167" s="5" t="s">
        <v>349</v>
      </c>
      <c r="D167" s="5" t="s">
        <v>349</v>
      </c>
      <c r="E167" s="5" t="s">
        <v>349</v>
      </c>
      <c r="F167" s="5" t="s">
        <v>349</v>
      </c>
      <c r="G167" s="5" t="s">
        <v>349</v>
      </c>
      <c r="H167" s="5" t="s">
        <v>349</v>
      </c>
      <c r="I167" s="5" t="s">
        <v>349</v>
      </c>
      <c r="J167" s="5" t="s">
        <v>349</v>
      </c>
      <c r="K167" s="5" t="s">
        <v>349</v>
      </c>
      <c r="L167" s="5" t="s">
        <v>349</v>
      </c>
      <c r="M167" s="5" t="s">
        <v>324</v>
      </c>
      <c r="N167" s="5" t="s">
        <v>465</v>
      </c>
      <c r="O167" s="5" t="s">
        <v>500</v>
      </c>
      <c r="P167" s="5">
        <f t="shared" si="2"/>
        <v>12</v>
      </c>
    </row>
    <row r="168" spans="1:16" x14ac:dyDescent="0.4">
      <c r="A168" s="5">
        <v>167</v>
      </c>
      <c r="B168" s="3" t="s">
        <v>167</v>
      </c>
      <c r="C168" s="5"/>
      <c r="D168" s="5" t="s">
        <v>481</v>
      </c>
      <c r="E168" s="5"/>
      <c r="F168" s="5"/>
      <c r="G168" s="5"/>
      <c r="H168" s="5"/>
      <c r="I168" s="5"/>
      <c r="J168" s="5"/>
      <c r="K168" s="5"/>
      <c r="L168" s="5"/>
      <c r="M168" s="5" t="s">
        <v>983</v>
      </c>
      <c r="N168" s="5" t="s">
        <v>967</v>
      </c>
      <c r="O168" s="5" t="s">
        <v>477</v>
      </c>
      <c r="P168" s="5">
        <f t="shared" si="2"/>
        <v>3</v>
      </c>
    </row>
    <row r="169" spans="1:16" x14ac:dyDescent="0.4">
      <c r="A169" s="5">
        <v>168</v>
      </c>
      <c r="B169" s="3" t="s">
        <v>168</v>
      </c>
      <c r="C169" s="5"/>
      <c r="D169" s="5" t="s">
        <v>341</v>
      </c>
      <c r="E169" s="5"/>
      <c r="F169" s="5"/>
      <c r="G169" s="5"/>
      <c r="H169" s="5"/>
      <c r="I169" s="5"/>
      <c r="J169" s="5"/>
      <c r="K169" s="5"/>
      <c r="L169" s="5"/>
      <c r="M169" s="5" t="s">
        <v>530</v>
      </c>
      <c r="N169" s="5" t="s">
        <v>964</v>
      </c>
      <c r="O169" s="5" t="s">
        <v>463</v>
      </c>
      <c r="P169" s="5">
        <f t="shared" si="2"/>
        <v>3</v>
      </c>
    </row>
    <row r="170" spans="1:16" x14ac:dyDescent="0.4">
      <c r="A170" s="5">
        <v>169</v>
      </c>
      <c r="B170" s="3" t="s">
        <v>169</v>
      </c>
      <c r="C170" s="5" t="s">
        <v>342</v>
      </c>
      <c r="D170" s="5" t="s">
        <v>334</v>
      </c>
      <c r="E170" s="5"/>
      <c r="F170" s="5" t="s">
        <v>339</v>
      </c>
      <c r="G170" s="5" t="s">
        <v>567</v>
      </c>
      <c r="H170" s="5" t="s">
        <v>333</v>
      </c>
      <c r="I170" s="5" t="s">
        <v>333</v>
      </c>
      <c r="J170" s="5" t="s">
        <v>334</v>
      </c>
      <c r="K170" s="5"/>
      <c r="L170" s="5" t="s">
        <v>339</v>
      </c>
      <c r="M170" s="5" t="s">
        <v>504</v>
      </c>
      <c r="N170" s="5" t="s">
        <v>971</v>
      </c>
      <c r="O170" s="5" t="s">
        <v>515</v>
      </c>
      <c r="P170" s="5">
        <f t="shared" si="2"/>
        <v>10</v>
      </c>
    </row>
    <row r="171" spans="1:16" x14ac:dyDescent="0.4">
      <c r="A171" s="5">
        <v>170</v>
      </c>
      <c r="B171" s="3" t="s">
        <v>170</v>
      </c>
      <c r="C171" s="5" t="s">
        <v>399</v>
      </c>
      <c r="D171" s="5" t="s">
        <v>482</v>
      </c>
      <c r="E171" s="5" t="s">
        <v>515</v>
      </c>
      <c r="F171" s="5" t="s">
        <v>390</v>
      </c>
      <c r="G171" s="5" t="s">
        <v>399</v>
      </c>
      <c r="H171" s="5" t="s">
        <v>467</v>
      </c>
      <c r="I171" s="5" t="s">
        <v>467</v>
      </c>
      <c r="J171" s="5" t="s">
        <v>467</v>
      </c>
      <c r="K171" s="5" t="s">
        <v>482</v>
      </c>
      <c r="L171" s="5" t="s">
        <v>467</v>
      </c>
      <c r="M171" s="5" t="s">
        <v>391</v>
      </c>
      <c r="N171" s="5" t="s">
        <v>393</v>
      </c>
      <c r="O171" s="5" t="s">
        <v>982</v>
      </c>
      <c r="P171" s="5">
        <f t="shared" si="2"/>
        <v>12</v>
      </c>
    </row>
    <row r="172" spans="1:16" x14ac:dyDescent="0.4">
      <c r="A172" s="5">
        <v>171</v>
      </c>
      <c r="B172" s="3" t="s">
        <v>171</v>
      </c>
      <c r="C172" s="5" t="s">
        <v>366</v>
      </c>
      <c r="D172" s="5" t="s">
        <v>483</v>
      </c>
      <c r="E172" s="5"/>
      <c r="F172" s="5"/>
      <c r="G172" s="5" t="s">
        <v>331</v>
      </c>
      <c r="H172" s="5" t="s">
        <v>602</v>
      </c>
      <c r="I172" s="5" t="s">
        <v>516</v>
      </c>
      <c r="J172" s="5" t="s">
        <v>507</v>
      </c>
      <c r="K172" s="5" t="s">
        <v>330</v>
      </c>
      <c r="L172" s="5"/>
      <c r="M172" s="5" t="s">
        <v>328</v>
      </c>
      <c r="N172" s="5" t="s">
        <v>311</v>
      </c>
      <c r="O172" s="5" t="s">
        <v>1357</v>
      </c>
      <c r="P172" s="5">
        <f t="shared" si="2"/>
        <v>9</v>
      </c>
    </row>
    <row r="173" spans="1:16" x14ac:dyDescent="0.4">
      <c r="A173" s="5">
        <v>172</v>
      </c>
      <c r="B173" s="3" t="s">
        <v>172</v>
      </c>
      <c r="C173" s="5" t="s">
        <v>328</v>
      </c>
      <c r="D173" s="5" t="s">
        <v>484</v>
      </c>
      <c r="E173" s="5" t="s">
        <v>443</v>
      </c>
      <c r="F173" s="5"/>
      <c r="G173" s="5" t="s">
        <v>366</v>
      </c>
      <c r="H173" s="5" t="s">
        <v>422</v>
      </c>
      <c r="I173" s="5" t="s">
        <v>403</v>
      </c>
      <c r="J173" s="5"/>
      <c r="K173" s="5" t="s">
        <v>417</v>
      </c>
      <c r="L173" s="5" t="s">
        <v>309</v>
      </c>
      <c r="M173" s="5" t="s">
        <v>572</v>
      </c>
      <c r="N173" s="5" t="s">
        <v>414</v>
      </c>
      <c r="O173" s="5" t="s">
        <v>1358</v>
      </c>
      <c r="P173" s="5">
        <f t="shared" si="2"/>
        <v>10</v>
      </c>
    </row>
    <row r="174" spans="1:16" x14ac:dyDescent="0.4">
      <c r="A174" s="5">
        <v>173</v>
      </c>
      <c r="B174" s="3" t="s">
        <v>173</v>
      </c>
      <c r="C174" s="5" t="s">
        <v>311</v>
      </c>
      <c r="D174" s="5" t="s">
        <v>311</v>
      </c>
      <c r="E174" s="5"/>
      <c r="F174" s="5" t="s">
        <v>311</v>
      </c>
      <c r="G174" s="5" t="s">
        <v>311</v>
      </c>
      <c r="H174" s="5" t="s">
        <v>311</v>
      </c>
      <c r="I174" s="5" t="s">
        <v>311</v>
      </c>
      <c r="J174" s="5" t="s">
        <v>311</v>
      </c>
      <c r="K174" s="5" t="s">
        <v>311</v>
      </c>
      <c r="L174" s="5" t="s">
        <v>311</v>
      </c>
      <c r="M174" s="5" t="s">
        <v>980</v>
      </c>
      <c r="N174" s="5" t="s">
        <v>542</v>
      </c>
      <c r="O174" s="5" t="s">
        <v>1352</v>
      </c>
      <c r="P174" s="5">
        <f t="shared" si="2"/>
        <v>11</v>
      </c>
    </row>
    <row r="175" spans="1:16" x14ac:dyDescent="0.4">
      <c r="A175" s="5">
        <v>174</v>
      </c>
      <c r="B175" s="3" t="s">
        <v>174</v>
      </c>
      <c r="C175" s="5" t="s">
        <v>400</v>
      </c>
      <c r="D175" s="5" t="s">
        <v>420</v>
      </c>
      <c r="E175" s="5" t="s">
        <v>444</v>
      </c>
      <c r="F175" s="5"/>
      <c r="G175" s="5" t="s">
        <v>444</v>
      </c>
      <c r="H175" s="5" t="s">
        <v>603</v>
      </c>
      <c r="I175" s="5" t="s">
        <v>539</v>
      </c>
      <c r="J175" s="5" t="s">
        <v>429</v>
      </c>
      <c r="K175" s="5" t="s">
        <v>420</v>
      </c>
      <c r="L175" s="5" t="s">
        <v>566</v>
      </c>
      <c r="M175" s="5" t="s">
        <v>539</v>
      </c>
      <c r="N175" s="5" t="s">
        <v>328</v>
      </c>
      <c r="O175" s="5" t="s">
        <v>989</v>
      </c>
      <c r="P175" s="5">
        <f t="shared" si="2"/>
        <v>11</v>
      </c>
    </row>
    <row r="176" spans="1:16" x14ac:dyDescent="0.4">
      <c r="A176" s="5">
        <v>175</v>
      </c>
      <c r="B176" s="3" t="s">
        <v>175</v>
      </c>
      <c r="C176" s="5"/>
      <c r="D176" s="5" t="s">
        <v>485</v>
      </c>
      <c r="E176" s="5" t="s">
        <v>424</v>
      </c>
      <c r="F176" s="5"/>
      <c r="G176" s="5"/>
      <c r="H176" s="5" t="s">
        <v>396</v>
      </c>
      <c r="I176" s="5" t="s">
        <v>377</v>
      </c>
      <c r="J176" s="5" t="s">
        <v>361</v>
      </c>
      <c r="K176" s="5"/>
      <c r="L176" s="5" t="s">
        <v>414</v>
      </c>
      <c r="M176" s="5" t="s">
        <v>991</v>
      </c>
      <c r="N176" s="5" t="s">
        <v>551</v>
      </c>
      <c r="O176" s="5" t="s">
        <v>328</v>
      </c>
      <c r="P176" s="5">
        <f t="shared" si="2"/>
        <v>8</v>
      </c>
    </row>
    <row r="177" spans="1:16" x14ac:dyDescent="0.4">
      <c r="A177" s="5">
        <v>176</v>
      </c>
      <c r="B177" s="3" t="s">
        <v>176</v>
      </c>
      <c r="C177" s="5" t="s">
        <v>383</v>
      </c>
      <c r="D177" s="5" t="s">
        <v>383</v>
      </c>
      <c r="E177" s="5" t="s">
        <v>383</v>
      </c>
      <c r="F177" s="5"/>
      <c r="G177" s="5" t="s">
        <v>383</v>
      </c>
      <c r="H177" s="5" t="s">
        <v>383</v>
      </c>
      <c r="I177" s="5" t="s">
        <v>383</v>
      </c>
      <c r="J177" s="5" t="s">
        <v>383</v>
      </c>
      <c r="K177" s="5" t="s">
        <v>383</v>
      </c>
      <c r="L177" s="5" t="s">
        <v>383</v>
      </c>
      <c r="M177" s="5" t="s">
        <v>974</v>
      </c>
      <c r="N177" s="5" t="s">
        <v>987</v>
      </c>
      <c r="O177" s="5" t="s">
        <v>1341</v>
      </c>
      <c r="P177" s="5">
        <f t="shared" si="2"/>
        <v>11</v>
      </c>
    </row>
    <row r="178" spans="1:16" x14ac:dyDescent="0.4">
      <c r="A178" s="5">
        <v>177</v>
      </c>
      <c r="B178" s="3" t="s">
        <v>177</v>
      </c>
      <c r="C178" s="5"/>
      <c r="D178" s="5"/>
      <c r="E178" s="5"/>
      <c r="F178" s="5"/>
      <c r="G178" s="5"/>
      <c r="H178" s="5"/>
      <c r="I178" s="5"/>
      <c r="J178" s="5"/>
      <c r="K178" s="5"/>
      <c r="L178" s="5"/>
      <c r="P178" s="5">
        <f t="shared" si="2"/>
        <v>0</v>
      </c>
    </row>
    <row r="179" spans="1:16" x14ac:dyDescent="0.4">
      <c r="A179" s="5">
        <v>178</v>
      </c>
      <c r="B179" s="3" t="s">
        <v>178</v>
      </c>
      <c r="C179" s="5" t="s">
        <v>401</v>
      </c>
      <c r="D179" s="5" t="s">
        <v>362</v>
      </c>
      <c r="E179" s="5" t="s">
        <v>368</v>
      </c>
      <c r="F179" s="5"/>
      <c r="G179" s="5" t="s">
        <v>568</v>
      </c>
      <c r="H179" s="5" t="s">
        <v>604</v>
      </c>
      <c r="I179" s="5" t="s">
        <v>322</v>
      </c>
      <c r="J179" s="5" t="s">
        <v>322</v>
      </c>
      <c r="K179" s="5" t="s">
        <v>418</v>
      </c>
      <c r="L179" s="5" t="s">
        <v>376</v>
      </c>
      <c r="M179" s="5" t="s">
        <v>558</v>
      </c>
      <c r="N179" s="5" t="s">
        <v>979</v>
      </c>
      <c r="P179" s="5">
        <f t="shared" si="2"/>
        <v>11</v>
      </c>
    </row>
    <row r="180" spans="1:16" x14ac:dyDescent="0.4">
      <c r="A180" s="5">
        <v>179</v>
      </c>
      <c r="B180" s="3" t="s">
        <v>179</v>
      </c>
      <c r="C180" s="5" t="s">
        <v>402</v>
      </c>
      <c r="D180" s="5" t="s">
        <v>403</v>
      </c>
      <c r="E180" s="5" t="s">
        <v>420</v>
      </c>
      <c r="F180" s="5" t="s">
        <v>402</v>
      </c>
      <c r="G180" s="5" t="s">
        <v>311</v>
      </c>
      <c r="H180" s="5" t="s">
        <v>461</v>
      </c>
      <c r="I180" s="5" t="s">
        <v>524</v>
      </c>
      <c r="J180" s="5" t="s">
        <v>529</v>
      </c>
      <c r="K180" s="5" t="s">
        <v>524</v>
      </c>
      <c r="L180" s="5" t="s">
        <v>424</v>
      </c>
      <c r="M180" s="5" t="s">
        <v>349</v>
      </c>
      <c r="N180" s="5" t="s">
        <v>979</v>
      </c>
      <c r="O180" s="5" t="s">
        <v>539</v>
      </c>
      <c r="P180" s="5">
        <f t="shared" si="2"/>
        <v>12</v>
      </c>
    </row>
    <row r="181" spans="1:16" x14ac:dyDescent="0.4">
      <c r="A181" s="5">
        <v>180</v>
      </c>
      <c r="B181" s="3" t="s">
        <v>180</v>
      </c>
      <c r="C181" s="5" t="s">
        <v>403</v>
      </c>
      <c r="D181" s="5" t="s">
        <v>316</v>
      </c>
      <c r="E181" s="5" t="s">
        <v>516</v>
      </c>
      <c r="F181" s="5"/>
      <c r="G181" s="5" t="s">
        <v>403</v>
      </c>
      <c r="H181" s="5" t="s">
        <v>403</v>
      </c>
      <c r="I181" s="5" t="s">
        <v>554</v>
      </c>
      <c r="J181" s="5" t="s">
        <v>403</v>
      </c>
      <c r="K181" s="5" t="s">
        <v>403</v>
      </c>
      <c r="L181" s="5" t="s">
        <v>516</v>
      </c>
      <c r="M181" s="5" t="s">
        <v>984</v>
      </c>
      <c r="N181" s="5" t="s">
        <v>963</v>
      </c>
      <c r="O181" s="5" t="s">
        <v>347</v>
      </c>
      <c r="P181" s="5">
        <f t="shared" si="2"/>
        <v>11</v>
      </c>
    </row>
    <row r="182" spans="1:16" x14ac:dyDescent="0.4">
      <c r="A182" s="5">
        <v>181</v>
      </c>
      <c r="B182" s="3" t="s">
        <v>199</v>
      </c>
      <c r="C182" s="5"/>
      <c r="D182" s="5" t="s">
        <v>486</v>
      </c>
      <c r="E182" s="5"/>
      <c r="F182" s="5"/>
      <c r="G182" s="5"/>
      <c r="H182" s="5"/>
      <c r="I182" s="5"/>
      <c r="J182" s="5"/>
      <c r="K182" s="5"/>
      <c r="L182" s="5"/>
      <c r="M182" s="5" t="s">
        <v>961</v>
      </c>
      <c r="N182" s="5" t="s">
        <v>1351</v>
      </c>
      <c r="O182" s="5" t="s">
        <v>968</v>
      </c>
      <c r="P182" s="5">
        <f t="shared" si="2"/>
        <v>3</v>
      </c>
    </row>
    <row r="183" spans="1:16" x14ac:dyDescent="0.4">
      <c r="A183" s="5">
        <v>182</v>
      </c>
      <c r="B183" s="3" t="s">
        <v>181</v>
      </c>
      <c r="C183" s="5" t="s">
        <v>404</v>
      </c>
      <c r="D183" s="5" t="s">
        <v>340</v>
      </c>
      <c r="E183" s="5" t="s">
        <v>335</v>
      </c>
      <c r="F183" s="5"/>
      <c r="G183" s="5" t="s">
        <v>569</v>
      </c>
      <c r="H183" s="5" t="s">
        <v>605</v>
      </c>
      <c r="I183" s="5" t="s">
        <v>498</v>
      </c>
      <c r="J183" s="5" t="s">
        <v>642</v>
      </c>
      <c r="K183" s="5" t="s">
        <v>329</v>
      </c>
      <c r="L183" s="5" t="s">
        <v>672</v>
      </c>
      <c r="M183" s="5" t="s">
        <v>346</v>
      </c>
      <c r="N183" s="5" t="s">
        <v>504</v>
      </c>
      <c r="O183" s="5" t="s">
        <v>465</v>
      </c>
      <c r="P183" s="5">
        <f t="shared" si="2"/>
        <v>11</v>
      </c>
    </row>
    <row r="184" spans="1:16" x14ac:dyDescent="0.4">
      <c r="A184" s="5">
        <v>183</v>
      </c>
      <c r="B184" s="3" t="s">
        <v>182</v>
      </c>
      <c r="C184" s="5" t="s">
        <v>339</v>
      </c>
      <c r="D184" s="5" t="s">
        <v>351</v>
      </c>
      <c r="E184" s="5" t="s">
        <v>339</v>
      </c>
      <c r="F184" s="5"/>
      <c r="G184" s="5" t="s">
        <v>339</v>
      </c>
      <c r="H184" s="5" t="s">
        <v>339</v>
      </c>
      <c r="I184" s="5" t="s">
        <v>443</v>
      </c>
      <c r="J184" s="5" t="s">
        <v>443</v>
      </c>
      <c r="K184" s="5" t="s">
        <v>443</v>
      </c>
      <c r="L184" s="5" t="s">
        <v>443</v>
      </c>
      <c r="M184" s="5" t="s">
        <v>963</v>
      </c>
      <c r="N184" s="5" t="s">
        <v>962</v>
      </c>
      <c r="O184" s="5" t="s">
        <v>488</v>
      </c>
      <c r="P184" s="5">
        <f t="shared" si="2"/>
        <v>11</v>
      </c>
    </row>
    <row r="185" spans="1:16" x14ac:dyDescent="0.4">
      <c r="A185" s="5">
        <v>184</v>
      </c>
      <c r="B185" s="3" t="s">
        <v>183</v>
      </c>
      <c r="C185" s="5" t="s">
        <v>405</v>
      </c>
      <c r="D185" s="5"/>
      <c r="E185" s="5" t="s">
        <v>517</v>
      </c>
      <c r="F185" s="5"/>
      <c r="G185" s="5" t="s">
        <v>517</v>
      </c>
      <c r="H185" s="5" t="s">
        <v>517</v>
      </c>
      <c r="I185" s="5" t="s">
        <v>517</v>
      </c>
      <c r="J185" s="5" t="s">
        <v>517</v>
      </c>
      <c r="K185" s="5"/>
      <c r="L185" s="5" t="s">
        <v>517</v>
      </c>
      <c r="M185" s="5" t="s">
        <v>339</v>
      </c>
      <c r="N185" s="5" t="s">
        <v>970</v>
      </c>
      <c r="O185" s="5" t="s">
        <v>1357</v>
      </c>
      <c r="P185" s="5">
        <f t="shared" si="2"/>
        <v>9</v>
      </c>
    </row>
    <row r="186" spans="1:16" x14ac:dyDescent="0.4">
      <c r="A186" s="5">
        <v>185</v>
      </c>
      <c r="B186" s="3" t="s">
        <v>184</v>
      </c>
      <c r="C186" s="5" t="s">
        <v>351</v>
      </c>
      <c r="D186" s="5"/>
      <c r="E186" s="5"/>
      <c r="F186" s="5"/>
      <c r="G186" s="5" t="s">
        <v>443</v>
      </c>
      <c r="H186" s="5" t="s">
        <v>349</v>
      </c>
      <c r="I186" s="5" t="s">
        <v>328</v>
      </c>
      <c r="J186" s="5" t="s">
        <v>331</v>
      </c>
      <c r="K186" s="5" t="s">
        <v>351</v>
      </c>
      <c r="L186" s="5" t="s">
        <v>339</v>
      </c>
      <c r="M186" s="5" t="s">
        <v>992</v>
      </c>
      <c r="N186" s="5" t="s">
        <v>521</v>
      </c>
      <c r="O186" s="5" t="s">
        <v>566</v>
      </c>
      <c r="P186" s="5">
        <f t="shared" si="2"/>
        <v>9</v>
      </c>
    </row>
    <row r="187" spans="1:16" x14ac:dyDescent="0.4">
      <c r="A187" s="5">
        <v>186</v>
      </c>
      <c r="B187" s="3" t="s">
        <v>185</v>
      </c>
      <c r="C187" s="5" t="s">
        <v>339</v>
      </c>
      <c r="D187" s="5" t="s">
        <v>339</v>
      </c>
      <c r="E187" s="5"/>
      <c r="F187" s="5" t="s">
        <v>339</v>
      </c>
      <c r="G187" s="5"/>
      <c r="H187" s="5"/>
      <c r="I187" s="5"/>
      <c r="J187" s="5"/>
      <c r="K187" s="5" t="s">
        <v>339</v>
      </c>
      <c r="L187" s="5" t="s">
        <v>576</v>
      </c>
      <c r="M187" s="5" t="s">
        <v>521</v>
      </c>
      <c r="N187" s="5" t="s">
        <v>504</v>
      </c>
      <c r="O187" s="5" t="s">
        <v>366</v>
      </c>
      <c r="P187" s="5">
        <f t="shared" si="2"/>
        <v>7</v>
      </c>
    </row>
    <row r="188" spans="1:16" x14ac:dyDescent="0.4">
      <c r="A188" s="5">
        <v>187</v>
      </c>
      <c r="B188" s="3" t="s">
        <v>186</v>
      </c>
      <c r="C188" s="5" t="s">
        <v>375</v>
      </c>
      <c r="D188" s="5" t="s">
        <v>389</v>
      </c>
      <c r="E188" s="5"/>
      <c r="F188" s="5"/>
      <c r="G188" s="5" t="s">
        <v>389</v>
      </c>
      <c r="H188" s="5" t="s">
        <v>375</v>
      </c>
      <c r="I188" s="5" t="s">
        <v>375</v>
      </c>
      <c r="J188" s="5" t="s">
        <v>423</v>
      </c>
      <c r="K188" s="5" t="s">
        <v>416</v>
      </c>
      <c r="L188" s="5"/>
      <c r="M188" s="5" t="s">
        <v>984</v>
      </c>
      <c r="N188" s="5" t="s">
        <v>970</v>
      </c>
      <c r="O188" s="5" t="s">
        <v>982</v>
      </c>
      <c r="P188" s="5">
        <f t="shared" si="2"/>
        <v>9</v>
      </c>
    </row>
    <row r="189" spans="1:16" x14ac:dyDescent="0.4">
      <c r="A189" s="5">
        <v>188</v>
      </c>
      <c r="B189" s="3" t="s">
        <v>187</v>
      </c>
      <c r="C189" s="5" t="s">
        <v>406</v>
      </c>
      <c r="D189" s="5" t="s">
        <v>330</v>
      </c>
      <c r="E189" s="5" t="s">
        <v>406</v>
      </c>
      <c r="F189" s="5" t="s">
        <v>406</v>
      </c>
      <c r="G189" s="5" t="s">
        <v>406</v>
      </c>
      <c r="H189" s="5" t="s">
        <v>406</v>
      </c>
      <c r="I189" s="5" t="s">
        <v>406</v>
      </c>
      <c r="J189" s="5" t="s">
        <v>406</v>
      </c>
      <c r="K189" s="5" t="s">
        <v>406</v>
      </c>
      <c r="L189" s="5" t="s">
        <v>406</v>
      </c>
      <c r="M189" s="5" t="s">
        <v>349</v>
      </c>
      <c r="N189" s="5" t="s">
        <v>311</v>
      </c>
      <c r="O189" s="5" t="s">
        <v>976</v>
      </c>
      <c r="P189" s="5">
        <f t="shared" si="2"/>
        <v>12</v>
      </c>
    </row>
    <row r="190" spans="1:16" x14ac:dyDescent="0.4">
      <c r="A190" s="5">
        <v>189</v>
      </c>
      <c r="B190" s="3" t="s">
        <v>188</v>
      </c>
      <c r="C190" s="5" t="s">
        <v>407</v>
      </c>
      <c r="D190" s="5" t="s">
        <v>372</v>
      </c>
      <c r="E190" s="5"/>
      <c r="F190" s="5" t="s">
        <v>540</v>
      </c>
      <c r="G190" s="5" t="s">
        <v>570</v>
      </c>
      <c r="H190" s="5" t="s">
        <v>606</v>
      </c>
      <c r="I190" s="5" t="s">
        <v>342</v>
      </c>
      <c r="J190" s="5" t="s">
        <v>557</v>
      </c>
      <c r="K190" s="5" t="s">
        <v>407</v>
      </c>
      <c r="L190" s="5"/>
      <c r="M190" s="5" t="s">
        <v>551</v>
      </c>
      <c r="N190" s="5" t="s">
        <v>539</v>
      </c>
      <c r="O190" s="5" t="s">
        <v>962</v>
      </c>
      <c r="P190" s="5">
        <f t="shared" si="2"/>
        <v>10</v>
      </c>
    </row>
    <row r="191" spans="1:16" x14ac:dyDescent="0.4">
      <c r="A191" s="5">
        <v>190</v>
      </c>
      <c r="B191" s="3" t="s">
        <v>189</v>
      </c>
      <c r="C191" s="5" t="s">
        <v>403</v>
      </c>
      <c r="D191" s="5" t="s">
        <v>386</v>
      </c>
      <c r="E191" s="5"/>
      <c r="F191" s="5" t="s">
        <v>511</v>
      </c>
      <c r="G191" s="5" t="s">
        <v>309</v>
      </c>
      <c r="H191" s="5" t="s">
        <v>516</v>
      </c>
      <c r="I191" s="5" t="s">
        <v>516</v>
      </c>
      <c r="J191" s="5" t="s">
        <v>386</v>
      </c>
      <c r="K191" s="5" t="s">
        <v>403</v>
      </c>
      <c r="L191" s="5" t="s">
        <v>516</v>
      </c>
      <c r="M191" s="5" t="s">
        <v>566</v>
      </c>
      <c r="N191" s="5" t="s">
        <v>504</v>
      </c>
      <c r="O191" s="5" t="s">
        <v>1357</v>
      </c>
      <c r="P191" s="5">
        <f t="shared" si="2"/>
        <v>11</v>
      </c>
    </row>
    <row r="192" spans="1:16" x14ac:dyDescent="0.4">
      <c r="A192" s="5">
        <v>191</v>
      </c>
      <c r="B192" s="3" t="s">
        <v>190</v>
      </c>
      <c r="C192" s="5" t="s">
        <v>408</v>
      </c>
      <c r="D192" s="5" t="s">
        <v>487</v>
      </c>
      <c r="E192" s="5" t="s">
        <v>518</v>
      </c>
      <c r="F192" s="5" t="s">
        <v>424</v>
      </c>
      <c r="G192" s="5" t="s">
        <v>320</v>
      </c>
      <c r="H192" s="5" t="s">
        <v>562</v>
      </c>
      <c r="I192" s="5" t="s">
        <v>487</v>
      </c>
      <c r="J192" s="5" t="s">
        <v>643</v>
      </c>
      <c r="K192" s="5" t="s">
        <v>591</v>
      </c>
      <c r="L192" s="5"/>
      <c r="M192" s="5" t="s">
        <v>963</v>
      </c>
      <c r="N192" s="5" t="s">
        <v>979</v>
      </c>
      <c r="O192" s="5" t="s">
        <v>482</v>
      </c>
      <c r="P192" s="5">
        <f t="shared" si="2"/>
        <v>11</v>
      </c>
    </row>
    <row r="193" spans="1:16" x14ac:dyDescent="0.4">
      <c r="A193" s="5">
        <v>192</v>
      </c>
      <c r="B193" s="3" t="s">
        <v>191</v>
      </c>
      <c r="C193" s="5" t="s">
        <v>377</v>
      </c>
      <c r="D193" s="5" t="s">
        <v>488</v>
      </c>
      <c r="E193" s="5" t="s">
        <v>385</v>
      </c>
      <c r="F193" s="5"/>
      <c r="G193" s="5" t="s">
        <v>571</v>
      </c>
      <c r="H193" s="5" t="s">
        <v>409</v>
      </c>
      <c r="I193" s="5" t="s">
        <v>312</v>
      </c>
      <c r="J193" s="5" t="s">
        <v>562</v>
      </c>
      <c r="K193" s="5" t="s">
        <v>622</v>
      </c>
      <c r="L193" s="5"/>
      <c r="M193" s="5" t="s">
        <v>988</v>
      </c>
      <c r="N193" s="5" t="s">
        <v>420</v>
      </c>
      <c r="O193" s="5" t="s">
        <v>1347</v>
      </c>
      <c r="P193" s="5">
        <f t="shared" si="2"/>
        <v>10</v>
      </c>
    </row>
    <row r="194" spans="1:16" x14ac:dyDescent="0.4">
      <c r="A194" s="5">
        <v>193</v>
      </c>
      <c r="B194" s="3" t="s">
        <v>192</v>
      </c>
      <c r="C194" s="5"/>
      <c r="D194" s="5" t="s">
        <v>462</v>
      </c>
      <c r="E194" s="5"/>
      <c r="F194" s="5"/>
      <c r="G194" s="5"/>
      <c r="H194" s="5"/>
      <c r="I194" s="5"/>
      <c r="J194" s="5"/>
      <c r="K194" s="5"/>
      <c r="L194" s="5"/>
      <c r="M194" s="5" t="s">
        <v>333</v>
      </c>
      <c r="N194" s="5" t="s">
        <v>966</v>
      </c>
      <c r="O194" s="5" t="s">
        <v>979</v>
      </c>
      <c r="P194" s="5">
        <f t="shared" ref="P194:P245" si="3">COUNTA(C194:N194)</f>
        <v>3</v>
      </c>
    </row>
    <row r="195" spans="1:16" x14ac:dyDescent="0.4">
      <c r="A195" s="5">
        <v>194</v>
      </c>
      <c r="B195" s="3" t="s">
        <v>193</v>
      </c>
      <c r="C195" s="5" t="s">
        <v>409</v>
      </c>
      <c r="D195" s="5" t="s">
        <v>339</v>
      </c>
      <c r="E195" s="5" t="s">
        <v>352</v>
      </c>
      <c r="F195" s="5"/>
      <c r="G195" s="5" t="s">
        <v>512</v>
      </c>
      <c r="H195" s="5" t="s">
        <v>361</v>
      </c>
      <c r="I195" s="5" t="s">
        <v>361</v>
      </c>
      <c r="J195" s="5" t="s">
        <v>562</v>
      </c>
      <c r="K195" s="5" t="s">
        <v>409</v>
      </c>
      <c r="L195" s="5" t="s">
        <v>424</v>
      </c>
      <c r="M195" s="5" t="s">
        <v>324</v>
      </c>
      <c r="N195" s="5" t="s">
        <v>453</v>
      </c>
      <c r="O195" s="5" t="s">
        <v>500</v>
      </c>
      <c r="P195" s="5">
        <f t="shared" si="3"/>
        <v>11</v>
      </c>
    </row>
    <row r="196" spans="1:16" x14ac:dyDescent="0.4">
      <c r="A196" s="5">
        <v>195</v>
      </c>
      <c r="B196" s="3" t="s">
        <v>194</v>
      </c>
      <c r="C196" s="5" t="s">
        <v>339</v>
      </c>
      <c r="D196" s="5" t="s">
        <v>339</v>
      </c>
      <c r="E196" s="5" t="s">
        <v>311</v>
      </c>
      <c r="F196" s="5"/>
      <c r="G196" s="5" t="s">
        <v>572</v>
      </c>
      <c r="H196" s="5" t="s">
        <v>311</v>
      </c>
      <c r="I196" s="5" t="s">
        <v>339</v>
      </c>
      <c r="J196" s="5" t="s">
        <v>377</v>
      </c>
      <c r="K196" s="5" t="s">
        <v>339</v>
      </c>
      <c r="L196" s="5" t="s">
        <v>334</v>
      </c>
      <c r="M196" s="5" t="s">
        <v>482</v>
      </c>
      <c r="N196" s="5" t="s">
        <v>966</v>
      </c>
      <c r="O196" s="5" t="s">
        <v>358</v>
      </c>
      <c r="P196" s="5">
        <f t="shared" si="3"/>
        <v>11</v>
      </c>
    </row>
    <row r="197" spans="1:16" x14ac:dyDescent="0.4">
      <c r="A197" s="5">
        <v>196</v>
      </c>
      <c r="B197" s="3" t="s">
        <v>195</v>
      </c>
      <c r="C197" s="5" t="s">
        <v>330</v>
      </c>
      <c r="D197" s="5" t="s">
        <v>311</v>
      </c>
      <c r="E197" s="5" t="s">
        <v>359</v>
      </c>
      <c r="F197" s="5" t="s">
        <v>339</v>
      </c>
      <c r="G197" s="5" t="s">
        <v>351</v>
      </c>
      <c r="H197" s="5" t="s">
        <v>328</v>
      </c>
      <c r="I197" s="5" t="s">
        <v>622</v>
      </c>
      <c r="J197" s="5" t="s">
        <v>311</v>
      </c>
      <c r="K197" s="5" t="s">
        <v>311</v>
      </c>
      <c r="L197" s="5" t="s">
        <v>633</v>
      </c>
      <c r="M197" s="5" t="s">
        <v>962</v>
      </c>
      <c r="N197" s="5" t="s">
        <v>984</v>
      </c>
      <c r="O197" s="5" t="s">
        <v>663</v>
      </c>
      <c r="P197" s="5">
        <f t="shared" si="3"/>
        <v>12</v>
      </c>
    </row>
    <row r="198" spans="1:16" x14ac:dyDescent="0.4">
      <c r="A198" s="5">
        <v>197</v>
      </c>
      <c r="B198" s="3" t="s">
        <v>196</v>
      </c>
      <c r="C198" s="5" t="s">
        <v>410</v>
      </c>
      <c r="D198" s="5" t="s">
        <v>419</v>
      </c>
      <c r="E198" s="5" t="s">
        <v>435</v>
      </c>
      <c r="F198" s="5"/>
      <c r="G198" s="5" t="s">
        <v>573</v>
      </c>
      <c r="H198" s="5" t="s">
        <v>607</v>
      </c>
      <c r="I198" s="5" t="s">
        <v>460</v>
      </c>
      <c r="J198" s="5" t="s">
        <v>410</v>
      </c>
      <c r="K198" s="5"/>
      <c r="L198" s="5"/>
      <c r="M198" s="5" t="s">
        <v>372</v>
      </c>
      <c r="N198" s="5" t="s">
        <v>971</v>
      </c>
      <c r="O198" s="5" t="s">
        <v>1344</v>
      </c>
      <c r="P198" s="5">
        <f t="shared" si="3"/>
        <v>9</v>
      </c>
    </row>
    <row r="199" spans="1:16" x14ac:dyDescent="0.4">
      <c r="A199" s="5">
        <v>198</v>
      </c>
      <c r="B199" s="3" t="s">
        <v>197</v>
      </c>
      <c r="C199" s="5"/>
      <c r="D199" s="5" t="s">
        <v>356</v>
      </c>
      <c r="E199" s="5"/>
      <c r="F199" s="5"/>
      <c r="G199" s="5" t="s">
        <v>562</v>
      </c>
      <c r="H199" s="5" t="s">
        <v>510</v>
      </c>
      <c r="I199" s="5"/>
      <c r="J199" s="5" t="s">
        <v>320</v>
      </c>
      <c r="K199" s="5"/>
      <c r="L199" s="5"/>
      <c r="M199" s="5" t="s">
        <v>989</v>
      </c>
      <c r="N199" s="5" t="s">
        <v>347</v>
      </c>
      <c r="O199" s="5" t="s">
        <v>1340</v>
      </c>
      <c r="P199" s="5">
        <f t="shared" si="3"/>
        <v>6</v>
      </c>
    </row>
    <row r="200" spans="1:16" x14ac:dyDescent="0.4">
      <c r="A200" s="5">
        <v>199</v>
      </c>
      <c r="B200" s="3" t="s">
        <v>198</v>
      </c>
      <c r="C200" s="5"/>
      <c r="D200" s="5" t="s">
        <v>328</v>
      </c>
      <c r="E200" s="5"/>
      <c r="F200" s="5" t="s">
        <v>312</v>
      </c>
      <c r="G200" s="5"/>
      <c r="H200" s="5"/>
      <c r="I200" s="5"/>
      <c r="J200" s="5"/>
      <c r="K200" s="5"/>
      <c r="L200" s="5"/>
      <c r="M200" s="5" t="s">
        <v>969</v>
      </c>
      <c r="N200" s="5" t="s">
        <v>311</v>
      </c>
      <c r="O200" s="5" t="s">
        <v>412</v>
      </c>
      <c r="P200" s="5">
        <f t="shared" si="3"/>
        <v>4</v>
      </c>
    </row>
    <row r="201" spans="1:16" x14ac:dyDescent="0.4">
      <c r="A201" s="5">
        <v>200</v>
      </c>
      <c r="B201" s="3" t="s">
        <v>200</v>
      </c>
      <c r="C201" s="5"/>
      <c r="D201" s="5"/>
      <c r="E201" s="5"/>
      <c r="F201" s="5"/>
      <c r="G201" s="5"/>
      <c r="H201" s="5"/>
      <c r="I201" s="5"/>
      <c r="J201" s="5"/>
      <c r="K201" s="5"/>
      <c r="L201" s="5"/>
      <c r="P201" s="5">
        <f t="shared" si="3"/>
        <v>0</v>
      </c>
    </row>
    <row r="202" spans="1:16" x14ac:dyDescent="0.4">
      <c r="A202" s="5">
        <v>201</v>
      </c>
      <c r="B202" s="3" t="s">
        <v>201</v>
      </c>
      <c r="C202" s="5" t="s">
        <v>411</v>
      </c>
      <c r="D202" s="5"/>
      <c r="E202" s="5" t="s">
        <v>519</v>
      </c>
      <c r="F202" s="5" t="s">
        <v>480</v>
      </c>
      <c r="G202" s="5" t="s">
        <v>511</v>
      </c>
      <c r="H202" s="5" t="s">
        <v>323</v>
      </c>
      <c r="I202" s="5" t="s">
        <v>560</v>
      </c>
      <c r="J202" s="5" t="s">
        <v>526</v>
      </c>
      <c r="K202" s="5" t="s">
        <v>370</v>
      </c>
      <c r="L202" s="5" t="s">
        <v>511</v>
      </c>
      <c r="M202" s="5" t="s">
        <v>394</v>
      </c>
      <c r="N202" s="5" t="s">
        <v>504</v>
      </c>
      <c r="O202" s="5" t="s">
        <v>989</v>
      </c>
      <c r="P202" s="5">
        <f t="shared" si="3"/>
        <v>11</v>
      </c>
    </row>
    <row r="203" spans="1:16" x14ac:dyDescent="0.4">
      <c r="A203" s="5">
        <v>202</v>
      </c>
      <c r="B203" s="3" t="s">
        <v>202</v>
      </c>
      <c r="C203" s="5" t="s">
        <v>373</v>
      </c>
      <c r="D203" s="5" t="s">
        <v>333</v>
      </c>
      <c r="E203" s="5"/>
      <c r="F203" s="5" t="s">
        <v>519</v>
      </c>
      <c r="G203" s="5" t="s">
        <v>373</v>
      </c>
      <c r="H203" s="5" t="s">
        <v>333</v>
      </c>
      <c r="I203" s="5" t="s">
        <v>421</v>
      </c>
      <c r="J203" s="5" t="s">
        <v>644</v>
      </c>
      <c r="K203" s="5" t="s">
        <v>373</v>
      </c>
      <c r="L203" s="5" t="s">
        <v>554</v>
      </c>
      <c r="M203" s="5" t="s">
        <v>394</v>
      </c>
      <c r="N203" s="5" t="s">
        <v>963</v>
      </c>
      <c r="O203" s="5" t="s">
        <v>339</v>
      </c>
      <c r="P203" s="5">
        <f t="shared" si="3"/>
        <v>11</v>
      </c>
    </row>
    <row r="204" spans="1:16" x14ac:dyDescent="0.4">
      <c r="A204" s="5">
        <v>203</v>
      </c>
      <c r="B204" s="3" t="s">
        <v>203</v>
      </c>
      <c r="C204" s="5" t="s">
        <v>366</v>
      </c>
      <c r="D204" s="5" t="s">
        <v>333</v>
      </c>
      <c r="E204" s="5" t="s">
        <v>413</v>
      </c>
      <c r="F204" s="5" t="s">
        <v>334</v>
      </c>
      <c r="G204" s="5" t="s">
        <v>349</v>
      </c>
      <c r="H204" s="5" t="s">
        <v>390</v>
      </c>
      <c r="I204" s="5" t="s">
        <v>413</v>
      </c>
      <c r="J204" s="5"/>
      <c r="K204" s="5" t="s">
        <v>413</v>
      </c>
      <c r="L204" s="5"/>
      <c r="M204" s="5" t="s">
        <v>963</v>
      </c>
      <c r="N204" s="5" t="s">
        <v>366</v>
      </c>
      <c r="O204" s="5" t="s">
        <v>989</v>
      </c>
      <c r="P204" s="5">
        <f t="shared" si="3"/>
        <v>10</v>
      </c>
    </row>
    <row r="205" spans="1:16" x14ac:dyDescent="0.4">
      <c r="A205" s="5">
        <v>204</v>
      </c>
      <c r="B205" s="3" t="s">
        <v>204</v>
      </c>
      <c r="C205" s="5" t="s">
        <v>412</v>
      </c>
      <c r="D205" s="5" t="s">
        <v>489</v>
      </c>
      <c r="E205" s="5"/>
      <c r="F205" s="5" t="s">
        <v>348</v>
      </c>
      <c r="G205" s="5" t="s">
        <v>574</v>
      </c>
      <c r="H205" s="5" t="s">
        <v>529</v>
      </c>
      <c r="I205" s="5" t="s">
        <v>403</v>
      </c>
      <c r="J205" s="5"/>
      <c r="K205" s="5"/>
      <c r="L205" s="5" t="s">
        <v>529</v>
      </c>
      <c r="M205" s="5" t="s">
        <v>366</v>
      </c>
      <c r="N205" s="5" t="s">
        <v>971</v>
      </c>
      <c r="O205" s="5" t="s">
        <v>368</v>
      </c>
      <c r="P205" s="5">
        <f t="shared" si="3"/>
        <v>9</v>
      </c>
    </row>
    <row r="206" spans="1:16" x14ac:dyDescent="0.4">
      <c r="A206" s="5">
        <v>205</v>
      </c>
      <c r="B206" s="3" t="s">
        <v>216</v>
      </c>
      <c r="C206" s="5" t="s">
        <v>413</v>
      </c>
      <c r="D206" s="5" t="s">
        <v>334</v>
      </c>
      <c r="E206" s="5"/>
      <c r="F206" s="5"/>
      <c r="G206" s="5" t="s">
        <v>418</v>
      </c>
      <c r="H206" s="5" t="s">
        <v>334</v>
      </c>
      <c r="I206" s="5" t="s">
        <v>339</v>
      </c>
      <c r="J206" s="5" t="s">
        <v>444</v>
      </c>
      <c r="K206" s="5" t="s">
        <v>351</v>
      </c>
      <c r="L206" s="5" t="s">
        <v>673</v>
      </c>
      <c r="M206" s="5" t="s">
        <v>969</v>
      </c>
      <c r="N206" s="5" t="s">
        <v>963</v>
      </c>
      <c r="O206" s="5" t="s">
        <v>530</v>
      </c>
      <c r="P206" s="5">
        <f t="shared" si="3"/>
        <v>10</v>
      </c>
    </row>
    <row r="207" spans="1:16" x14ac:dyDescent="0.4">
      <c r="A207" s="5">
        <v>206</v>
      </c>
      <c r="B207" s="3" t="s">
        <v>217</v>
      </c>
      <c r="C207" s="5" t="s">
        <v>351</v>
      </c>
      <c r="D207" s="5" t="s">
        <v>330</v>
      </c>
      <c r="E207" s="5" t="s">
        <v>520</v>
      </c>
      <c r="F207" s="5" t="s">
        <v>366</v>
      </c>
      <c r="G207" s="5" t="s">
        <v>443</v>
      </c>
      <c r="H207" s="5" t="s">
        <v>554</v>
      </c>
      <c r="I207" s="5" t="s">
        <v>356</v>
      </c>
      <c r="J207" s="5" t="s">
        <v>575</v>
      </c>
      <c r="K207" s="5"/>
      <c r="L207" s="5"/>
      <c r="M207" s="5" t="s">
        <v>993</v>
      </c>
      <c r="N207" s="5" t="s">
        <v>372</v>
      </c>
      <c r="O207" s="5" t="s">
        <v>963</v>
      </c>
      <c r="P207" s="5">
        <f t="shared" si="3"/>
        <v>10</v>
      </c>
    </row>
    <row r="208" spans="1:16" x14ac:dyDescent="0.4">
      <c r="A208" s="5">
        <v>207</v>
      </c>
      <c r="B208" s="3" t="s">
        <v>205</v>
      </c>
      <c r="C208" s="5" t="s">
        <v>366</v>
      </c>
      <c r="D208" s="5" t="s">
        <v>423</v>
      </c>
      <c r="E208" s="5" t="s">
        <v>375</v>
      </c>
      <c r="F208" s="5" t="s">
        <v>388</v>
      </c>
      <c r="G208" s="5" t="s">
        <v>366</v>
      </c>
      <c r="H208" s="5" t="s">
        <v>363</v>
      </c>
      <c r="I208" s="5" t="s">
        <v>330</v>
      </c>
      <c r="J208" s="5" t="s">
        <v>444</v>
      </c>
      <c r="K208" s="5" t="s">
        <v>423</v>
      </c>
      <c r="L208" s="5" t="s">
        <v>444</v>
      </c>
      <c r="M208" s="5" t="s">
        <v>465</v>
      </c>
      <c r="N208" s="5" t="s">
        <v>989</v>
      </c>
      <c r="O208" s="5" t="s">
        <v>334</v>
      </c>
      <c r="P208" s="5">
        <f t="shared" si="3"/>
        <v>12</v>
      </c>
    </row>
    <row r="209" spans="1:16" x14ac:dyDescent="0.4">
      <c r="A209" s="5">
        <v>208</v>
      </c>
      <c r="B209" s="3" t="s">
        <v>218</v>
      </c>
      <c r="C209" s="5" t="s">
        <v>397</v>
      </c>
      <c r="D209" s="5" t="s">
        <v>388</v>
      </c>
      <c r="E209" s="5" t="s">
        <v>388</v>
      </c>
      <c r="F209" s="5" t="s">
        <v>397</v>
      </c>
      <c r="G209" s="5" t="s">
        <v>397</v>
      </c>
      <c r="H209" s="5" t="s">
        <v>397</v>
      </c>
      <c r="I209" s="5" t="s">
        <v>388</v>
      </c>
      <c r="J209" s="5" t="s">
        <v>388</v>
      </c>
      <c r="K209" s="5" t="s">
        <v>420</v>
      </c>
      <c r="L209" s="5" t="s">
        <v>388</v>
      </c>
      <c r="M209" s="5" t="s">
        <v>500</v>
      </c>
      <c r="N209" s="5" t="s">
        <v>1351</v>
      </c>
      <c r="O209" s="5" t="s">
        <v>539</v>
      </c>
      <c r="P209" s="5">
        <f t="shared" si="3"/>
        <v>12</v>
      </c>
    </row>
    <row r="210" spans="1:16" x14ac:dyDescent="0.4">
      <c r="A210" s="5">
        <v>209</v>
      </c>
      <c r="B210" s="3" t="s">
        <v>206</v>
      </c>
      <c r="C210" s="5" t="s">
        <v>346</v>
      </c>
      <c r="D210" s="5" t="s">
        <v>346</v>
      </c>
      <c r="E210" s="5"/>
      <c r="F210" s="5" t="s">
        <v>346</v>
      </c>
      <c r="G210" s="5" t="s">
        <v>339</v>
      </c>
      <c r="H210" s="5" t="s">
        <v>392</v>
      </c>
      <c r="I210" s="5" t="s">
        <v>346</v>
      </c>
      <c r="J210" s="5" t="s">
        <v>421</v>
      </c>
      <c r="K210" s="5"/>
      <c r="L210" s="5"/>
      <c r="M210" s="5" t="s">
        <v>985</v>
      </c>
      <c r="N210" s="5" t="s">
        <v>984</v>
      </c>
      <c r="O210" s="5" t="s">
        <v>393</v>
      </c>
      <c r="P210" s="5">
        <f t="shared" si="3"/>
        <v>9</v>
      </c>
    </row>
    <row r="211" spans="1:16" x14ac:dyDescent="0.4">
      <c r="A211" s="5">
        <v>210</v>
      </c>
      <c r="B211" s="3" t="s">
        <v>207</v>
      </c>
      <c r="C211" s="5" t="s">
        <v>355</v>
      </c>
      <c r="D211" s="5" t="s">
        <v>490</v>
      </c>
      <c r="E211" s="5" t="s">
        <v>503</v>
      </c>
      <c r="F211" s="5" t="s">
        <v>332</v>
      </c>
      <c r="G211" s="5" t="s">
        <v>423</v>
      </c>
      <c r="H211" s="5" t="s">
        <v>389</v>
      </c>
      <c r="I211" s="5" t="s">
        <v>575</v>
      </c>
      <c r="J211" s="5" t="s">
        <v>377</v>
      </c>
      <c r="K211" s="5" t="s">
        <v>355</v>
      </c>
      <c r="L211" s="5" t="s">
        <v>503</v>
      </c>
      <c r="M211" s="5" t="s">
        <v>394</v>
      </c>
      <c r="N211" s="5" t="s">
        <v>504</v>
      </c>
      <c r="O211" s="5" t="s">
        <v>1359</v>
      </c>
      <c r="P211" s="5">
        <f t="shared" si="3"/>
        <v>12</v>
      </c>
    </row>
    <row r="212" spans="1:16" x14ac:dyDescent="0.4">
      <c r="A212" s="5">
        <v>211</v>
      </c>
      <c r="B212" s="3" t="s">
        <v>208</v>
      </c>
      <c r="C212" s="5"/>
      <c r="D212" s="5" t="s">
        <v>491</v>
      </c>
      <c r="E212" s="5"/>
      <c r="F212" s="5"/>
      <c r="G212" s="5"/>
      <c r="H212" s="5"/>
      <c r="I212" s="5"/>
      <c r="J212" s="5"/>
      <c r="K212" s="5"/>
      <c r="L212" s="5"/>
      <c r="M212" s="5" t="s">
        <v>339</v>
      </c>
      <c r="N212" s="5" t="s">
        <v>1366</v>
      </c>
      <c r="O212" s="5" t="s">
        <v>968</v>
      </c>
      <c r="P212" s="5">
        <f t="shared" si="3"/>
        <v>3</v>
      </c>
    </row>
    <row r="213" spans="1:16" x14ac:dyDescent="0.4">
      <c r="A213" s="5">
        <v>212</v>
      </c>
      <c r="B213" s="3" t="s">
        <v>209</v>
      </c>
      <c r="C213" s="5" t="s">
        <v>350</v>
      </c>
      <c r="D213" s="5" t="s">
        <v>350</v>
      </c>
      <c r="E213" s="5"/>
      <c r="F213" s="5" t="s">
        <v>328</v>
      </c>
      <c r="G213" s="5" t="s">
        <v>350</v>
      </c>
      <c r="H213" s="5" t="s">
        <v>328</v>
      </c>
      <c r="I213" s="5" t="s">
        <v>328</v>
      </c>
      <c r="J213" s="5" t="s">
        <v>328</v>
      </c>
      <c r="K213" s="5"/>
      <c r="L213" s="5" t="s">
        <v>328</v>
      </c>
      <c r="M213" s="5" t="s">
        <v>477</v>
      </c>
      <c r="N213" s="5" t="s">
        <v>339</v>
      </c>
      <c r="O213" s="5" t="s">
        <v>450</v>
      </c>
      <c r="P213" s="5">
        <f t="shared" si="3"/>
        <v>10</v>
      </c>
    </row>
    <row r="214" spans="1:16" x14ac:dyDescent="0.4">
      <c r="A214" s="5">
        <v>213</v>
      </c>
      <c r="B214" s="3" t="s">
        <v>210</v>
      </c>
      <c r="C214" s="5" t="s">
        <v>402</v>
      </c>
      <c r="D214" s="5" t="s">
        <v>386</v>
      </c>
      <c r="E214" s="5"/>
      <c r="F214" s="5"/>
      <c r="G214" s="5" t="s">
        <v>376</v>
      </c>
      <c r="H214" s="5" t="s">
        <v>397</v>
      </c>
      <c r="I214" s="5" t="s">
        <v>397</v>
      </c>
      <c r="J214" s="5" t="s">
        <v>397</v>
      </c>
      <c r="K214" s="5" t="s">
        <v>516</v>
      </c>
      <c r="L214" s="5"/>
      <c r="M214" s="5" t="s">
        <v>413</v>
      </c>
      <c r="N214" s="5" t="s">
        <v>359</v>
      </c>
      <c r="O214" s="5" t="s">
        <v>976</v>
      </c>
      <c r="P214" s="5">
        <f t="shared" si="3"/>
        <v>9</v>
      </c>
    </row>
    <row r="215" spans="1:16" x14ac:dyDescent="0.4">
      <c r="A215" s="5">
        <v>214</v>
      </c>
      <c r="B215" s="3" t="s">
        <v>211</v>
      </c>
      <c r="C215" s="5" t="s">
        <v>414</v>
      </c>
      <c r="D215" s="5" t="s">
        <v>492</v>
      </c>
      <c r="E215" s="5"/>
      <c r="F215" s="5"/>
      <c r="G215" s="5" t="s">
        <v>314</v>
      </c>
      <c r="H215" s="5" t="s">
        <v>314</v>
      </c>
      <c r="I215" s="5" t="s">
        <v>314</v>
      </c>
      <c r="J215" s="5" t="s">
        <v>314</v>
      </c>
      <c r="K215" s="5"/>
      <c r="L215" s="5"/>
      <c r="M215" s="5" t="s">
        <v>984</v>
      </c>
      <c r="N215" s="5" t="s">
        <v>318</v>
      </c>
      <c r="O215" s="5" t="s">
        <v>1360</v>
      </c>
      <c r="P215" s="5">
        <f t="shared" si="3"/>
        <v>8</v>
      </c>
    </row>
    <row r="216" spans="1:16" x14ac:dyDescent="0.4">
      <c r="A216" s="5">
        <v>215</v>
      </c>
      <c r="B216" s="3" t="s">
        <v>219</v>
      </c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 t="s">
        <v>504</v>
      </c>
      <c r="N216" s="5" t="s">
        <v>969</v>
      </c>
      <c r="O216" s="5" t="s">
        <v>521</v>
      </c>
      <c r="P216" s="5">
        <f t="shared" si="3"/>
        <v>2</v>
      </c>
    </row>
    <row r="217" spans="1:16" x14ac:dyDescent="0.4">
      <c r="A217" s="5">
        <v>216</v>
      </c>
      <c r="B217" s="3" t="s">
        <v>214</v>
      </c>
      <c r="C217" s="5" t="s">
        <v>350</v>
      </c>
      <c r="D217" s="5" t="s">
        <v>350</v>
      </c>
      <c r="E217" s="5"/>
      <c r="F217" s="5" t="s">
        <v>350</v>
      </c>
      <c r="G217" s="5" t="s">
        <v>350</v>
      </c>
      <c r="H217" s="5" t="s">
        <v>350</v>
      </c>
      <c r="I217" s="5" t="s">
        <v>350</v>
      </c>
      <c r="J217" s="5" t="s">
        <v>350</v>
      </c>
      <c r="K217" s="5"/>
      <c r="L217" s="5"/>
      <c r="M217" s="5" t="s">
        <v>970</v>
      </c>
      <c r="N217" s="5" t="s">
        <v>504</v>
      </c>
      <c r="O217" s="5" t="s">
        <v>366</v>
      </c>
      <c r="P217" s="5">
        <f t="shared" si="3"/>
        <v>9</v>
      </c>
    </row>
    <row r="218" spans="1:16" x14ac:dyDescent="0.4">
      <c r="A218" s="5">
        <v>217</v>
      </c>
      <c r="B218" s="3" t="s">
        <v>220</v>
      </c>
      <c r="C218" s="5" t="s">
        <v>415</v>
      </c>
      <c r="D218" s="5" t="s">
        <v>392</v>
      </c>
      <c r="E218" s="5"/>
      <c r="F218" s="5"/>
      <c r="G218" s="5" t="s">
        <v>403</v>
      </c>
      <c r="H218" s="5" t="s">
        <v>309</v>
      </c>
      <c r="I218" s="5"/>
      <c r="J218" s="5"/>
      <c r="K218" s="5"/>
      <c r="L218" s="5" t="s">
        <v>525</v>
      </c>
      <c r="M218" s="5" t="s">
        <v>359</v>
      </c>
      <c r="N218" s="5" t="s">
        <v>1367</v>
      </c>
      <c r="O218" s="5" t="s">
        <v>324</v>
      </c>
      <c r="P218" s="5">
        <f t="shared" si="3"/>
        <v>7</v>
      </c>
    </row>
    <row r="219" spans="1:16" x14ac:dyDescent="0.4">
      <c r="A219" s="5">
        <v>218</v>
      </c>
      <c r="B219" s="3" t="s">
        <v>221</v>
      </c>
      <c r="C219" s="5" t="s">
        <v>416</v>
      </c>
      <c r="D219" s="5" t="s">
        <v>427</v>
      </c>
      <c r="E219" s="5"/>
      <c r="F219" s="5" t="s">
        <v>416</v>
      </c>
      <c r="G219" s="5" t="s">
        <v>416</v>
      </c>
      <c r="H219" s="5" t="s">
        <v>416</v>
      </c>
      <c r="I219" s="5" t="s">
        <v>416</v>
      </c>
      <c r="J219" s="5" t="s">
        <v>416</v>
      </c>
      <c r="K219" s="5" t="s">
        <v>416</v>
      </c>
      <c r="L219" s="5"/>
      <c r="M219" s="5" t="s">
        <v>465</v>
      </c>
      <c r="N219" s="5" t="s">
        <v>558</v>
      </c>
      <c r="O219" s="5" t="s">
        <v>972</v>
      </c>
      <c r="P219" s="5">
        <f t="shared" si="3"/>
        <v>10</v>
      </c>
    </row>
    <row r="220" spans="1:16" x14ac:dyDescent="0.4">
      <c r="A220" s="5">
        <v>219</v>
      </c>
      <c r="B220" s="3" t="s">
        <v>213</v>
      </c>
      <c r="C220" s="5" t="s">
        <v>417</v>
      </c>
      <c r="D220" s="5" t="s">
        <v>493</v>
      </c>
      <c r="E220" s="5"/>
      <c r="F220" s="5" t="s">
        <v>392</v>
      </c>
      <c r="G220" s="5" t="s">
        <v>534</v>
      </c>
      <c r="H220" s="5" t="s">
        <v>403</v>
      </c>
      <c r="I220" s="5" t="s">
        <v>311</v>
      </c>
      <c r="J220" s="5" t="s">
        <v>554</v>
      </c>
      <c r="K220" s="5"/>
      <c r="L220" s="5"/>
      <c r="M220" s="5" t="s">
        <v>539</v>
      </c>
      <c r="N220" s="5" t="s">
        <v>521</v>
      </c>
      <c r="O220" s="5" t="s">
        <v>984</v>
      </c>
      <c r="P220" s="5">
        <f t="shared" si="3"/>
        <v>9</v>
      </c>
    </row>
    <row r="221" spans="1:16" x14ac:dyDescent="0.4">
      <c r="A221" s="5">
        <v>220</v>
      </c>
      <c r="B221" s="3" t="s">
        <v>212</v>
      </c>
      <c r="C221" s="5" t="s">
        <v>329</v>
      </c>
      <c r="D221" s="5" t="s">
        <v>494</v>
      </c>
      <c r="E221" s="5"/>
      <c r="F221" s="5"/>
      <c r="G221" s="5" t="s">
        <v>329</v>
      </c>
      <c r="H221" s="5" t="s">
        <v>608</v>
      </c>
      <c r="I221" s="5" t="s">
        <v>623</v>
      </c>
      <c r="J221" s="5" t="s">
        <v>645</v>
      </c>
      <c r="K221" s="5"/>
      <c r="L221" s="5"/>
      <c r="M221" s="5" t="s">
        <v>477</v>
      </c>
      <c r="N221" s="5" t="s">
        <v>969</v>
      </c>
      <c r="O221" s="5" t="s">
        <v>1361</v>
      </c>
      <c r="P221" s="5">
        <f t="shared" si="3"/>
        <v>8</v>
      </c>
    </row>
    <row r="222" spans="1:16" x14ac:dyDescent="0.4">
      <c r="A222" s="5">
        <v>221</v>
      </c>
      <c r="B222" s="3" t="s">
        <v>222</v>
      </c>
      <c r="C222" s="5" t="s">
        <v>418</v>
      </c>
      <c r="D222" s="5" t="s">
        <v>478</v>
      </c>
      <c r="E222" s="5"/>
      <c r="F222" s="5"/>
      <c r="G222" s="5" t="s">
        <v>575</v>
      </c>
      <c r="H222" s="5" t="s">
        <v>326</v>
      </c>
      <c r="I222" s="5" t="s">
        <v>575</v>
      </c>
      <c r="J222" s="5" t="s">
        <v>332</v>
      </c>
      <c r="K222" s="5" t="s">
        <v>658</v>
      </c>
      <c r="L222" s="5" t="s">
        <v>576</v>
      </c>
      <c r="M222" s="5" t="s">
        <v>963</v>
      </c>
      <c r="N222" s="5" t="s">
        <v>530</v>
      </c>
      <c r="O222" s="5" t="s">
        <v>420</v>
      </c>
      <c r="P222" s="5">
        <f t="shared" si="3"/>
        <v>10</v>
      </c>
    </row>
    <row r="223" spans="1:16" x14ac:dyDescent="0.4">
      <c r="A223" s="5">
        <v>222</v>
      </c>
      <c r="B223" s="3" t="s">
        <v>223</v>
      </c>
      <c r="C223" s="5" t="s">
        <v>344</v>
      </c>
      <c r="D223" s="5" t="s">
        <v>359</v>
      </c>
      <c r="E223" s="5"/>
      <c r="F223" s="5" t="s">
        <v>339</v>
      </c>
      <c r="G223" s="5" t="s">
        <v>359</v>
      </c>
      <c r="H223" s="5" t="s">
        <v>344</v>
      </c>
      <c r="I223" s="5" t="s">
        <v>339</v>
      </c>
      <c r="J223" s="5" t="s">
        <v>359</v>
      </c>
      <c r="K223" s="5" t="s">
        <v>359</v>
      </c>
      <c r="L223" s="5"/>
      <c r="M223" s="5" t="s">
        <v>971</v>
      </c>
      <c r="N223" s="5" t="s">
        <v>359</v>
      </c>
      <c r="O223" s="5" t="s">
        <v>393</v>
      </c>
      <c r="P223" s="5">
        <f t="shared" si="3"/>
        <v>10</v>
      </c>
    </row>
    <row r="224" spans="1:16" x14ac:dyDescent="0.4">
      <c r="A224" s="5">
        <v>223</v>
      </c>
      <c r="B224" s="3" t="s">
        <v>215</v>
      </c>
      <c r="C224" s="5" t="s">
        <v>363</v>
      </c>
      <c r="D224" s="5" t="s">
        <v>363</v>
      </c>
      <c r="E224" s="5"/>
      <c r="F224" s="5"/>
      <c r="G224" s="5" t="s">
        <v>363</v>
      </c>
      <c r="H224" s="5" t="s">
        <v>363</v>
      </c>
      <c r="I224" s="5" t="s">
        <v>363</v>
      </c>
      <c r="J224" s="5" t="s">
        <v>363</v>
      </c>
      <c r="K224" s="5"/>
      <c r="L224" s="5"/>
      <c r="M224" s="5" t="s">
        <v>985</v>
      </c>
      <c r="N224" s="5" t="s">
        <v>346</v>
      </c>
      <c r="O224" s="5" t="s">
        <v>1337</v>
      </c>
      <c r="P224" s="5">
        <f t="shared" si="3"/>
        <v>8</v>
      </c>
    </row>
    <row r="225" spans="1:16" x14ac:dyDescent="0.4">
      <c r="A225" s="5">
        <v>224</v>
      </c>
      <c r="B225" s="3" t="s">
        <v>224</v>
      </c>
      <c r="C225" s="5"/>
      <c r="D225" s="5"/>
      <c r="E225" s="5"/>
      <c r="F225" s="5"/>
      <c r="G225" s="5"/>
      <c r="H225" s="5"/>
      <c r="I225" s="5"/>
      <c r="J225" s="5"/>
      <c r="K225" s="5"/>
      <c r="L225" s="5"/>
      <c r="P225" s="5">
        <f t="shared" si="3"/>
        <v>0</v>
      </c>
    </row>
    <row r="226" spans="1:16" x14ac:dyDescent="0.4">
      <c r="A226" s="5">
        <v>225</v>
      </c>
      <c r="B226" s="3" t="s">
        <v>225</v>
      </c>
      <c r="C226" s="5" t="s">
        <v>419</v>
      </c>
      <c r="D226" s="5" t="s">
        <v>403</v>
      </c>
      <c r="E226" s="5" t="s">
        <v>341</v>
      </c>
      <c r="F226" s="5" t="s">
        <v>343</v>
      </c>
      <c r="G226" s="5" t="s">
        <v>516</v>
      </c>
      <c r="H226" s="5" t="s">
        <v>341</v>
      </c>
      <c r="I226" s="5" t="s">
        <v>403</v>
      </c>
      <c r="J226" s="5" t="s">
        <v>443</v>
      </c>
      <c r="K226" s="5" t="s">
        <v>553</v>
      </c>
      <c r="L226" s="5" t="s">
        <v>554</v>
      </c>
      <c r="M226" s="5" t="s">
        <v>504</v>
      </c>
      <c r="N226" s="5" t="s">
        <v>979</v>
      </c>
      <c r="O226" s="5" t="s">
        <v>979</v>
      </c>
      <c r="P226" s="5">
        <f t="shared" si="3"/>
        <v>12</v>
      </c>
    </row>
    <row r="227" spans="1:16" x14ac:dyDescent="0.4">
      <c r="A227" s="5">
        <v>226</v>
      </c>
      <c r="B227" s="3" t="s">
        <v>226</v>
      </c>
      <c r="C227" s="5" t="s">
        <v>420</v>
      </c>
      <c r="D227" s="5" t="s">
        <v>379</v>
      </c>
      <c r="E227" s="5" t="s">
        <v>521</v>
      </c>
      <c r="F227" s="5"/>
      <c r="G227" s="5" t="s">
        <v>477</v>
      </c>
      <c r="H227" s="5" t="s">
        <v>393</v>
      </c>
      <c r="I227" s="5" t="s">
        <v>624</v>
      </c>
      <c r="J227" s="5" t="s">
        <v>362</v>
      </c>
      <c r="K227" s="5" t="s">
        <v>420</v>
      </c>
      <c r="L227" s="5" t="s">
        <v>502</v>
      </c>
      <c r="M227" s="5" t="s">
        <v>965</v>
      </c>
      <c r="N227" s="5" t="s">
        <v>963</v>
      </c>
      <c r="O227" s="5" t="s">
        <v>961</v>
      </c>
      <c r="P227" s="5">
        <f t="shared" si="3"/>
        <v>11</v>
      </c>
    </row>
    <row r="228" spans="1:16" x14ac:dyDescent="0.4">
      <c r="A228" s="5">
        <v>227</v>
      </c>
      <c r="B228" s="3" t="s">
        <v>227</v>
      </c>
      <c r="C228" s="5" t="s">
        <v>342</v>
      </c>
      <c r="D228" s="5" t="s">
        <v>342</v>
      </c>
      <c r="E228" s="5" t="s">
        <v>351</v>
      </c>
      <c r="F228" s="5" t="s">
        <v>334</v>
      </c>
      <c r="G228" s="5" t="s">
        <v>339</v>
      </c>
      <c r="H228" s="5" t="s">
        <v>422</v>
      </c>
      <c r="I228" s="5" t="s">
        <v>351</v>
      </c>
      <c r="J228" s="5" t="s">
        <v>334</v>
      </c>
      <c r="K228" s="5" t="s">
        <v>351</v>
      </c>
      <c r="L228" s="5" t="s">
        <v>351</v>
      </c>
      <c r="M228" s="5" t="s">
        <v>333</v>
      </c>
      <c r="N228" s="5" t="s">
        <v>971</v>
      </c>
      <c r="O228" s="5" t="s">
        <v>334</v>
      </c>
      <c r="P228" s="5">
        <f t="shared" si="3"/>
        <v>12</v>
      </c>
    </row>
    <row r="229" spans="1:16" x14ac:dyDescent="0.4">
      <c r="A229" s="5">
        <v>228</v>
      </c>
      <c r="B229" s="3" t="s">
        <v>228</v>
      </c>
      <c r="C229" s="5" t="s">
        <v>342</v>
      </c>
      <c r="D229" s="5" t="s">
        <v>392</v>
      </c>
      <c r="E229" s="5"/>
      <c r="F229" s="5" t="s">
        <v>541</v>
      </c>
      <c r="G229" s="5" t="s">
        <v>576</v>
      </c>
      <c r="H229" s="5" t="s">
        <v>309</v>
      </c>
      <c r="I229" s="5" t="s">
        <v>516</v>
      </c>
      <c r="J229" s="5" t="s">
        <v>646</v>
      </c>
      <c r="K229" s="5" t="s">
        <v>340</v>
      </c>
      <c r="L229" s="5"/>
      <c r="M229" s="5" t="s">
        <v>500</v>
      </c>
      <c r="N229" s="5" t="s">
        <v>504</v>
      </c>
      <c r="O229" s="5" t="s">
        <v>1351</v>
      </c>
      <c r="P229" s="5">
        <f t="shared" si="3"/>
        <v>10</v>
      </c>
    </row>
    <row r="230" spans="1:16" x14ac:dyDescent="0.4">
      <c r="A230" s="5">
        <v>229</v>
      </c>
      <c r="B230" s="3" t="s">
        <v>229</v>
      </c>
      <c r="C230" s="5" t="s">
        <v>413</v>
      </c>
      <c r="D230" s="5" t="s">
        <v>487</v>
      </c>
      <c r="E230" s="5" t="s">
        <v>375</v>
      </c>
      <c r="F230" s="5" t="s">
        <v>443</v>
      </c>
      <c r="G230" s="5" t="s">
        <v>443</v>
      </c>
      <c r="H230" s="5" t="s">
        <v>326</v>
      </c>
      <c r="I230" s="5" t="s">
        <v>375</v>
      </c>
      <c r="J230" s="5" t="s">
        <v>334</v>
      </c>
      <c r="K230" s="5" t="s">
        <v>328</v>
      </c>
      <c r="L230" s="5" t="s">
        <v>443</v>
      </c>
      <c r="M230" s="5" t="s">
        <v>311</v>
      </c>
      <c r="N230" s="5" t="s">
        <v>504</v>
      </c>
      <c r="O230" s="5" t="s">
        <v>551</v>
      </c>
      <c r="P230" s="5">
        <f t="shared" si="3"/>
        <v>12</v>
      </c>
    </row>
    <row r="231" spans="1:16" x14ac:dyDescent="0.4">
      <c r="A231" s="5">
        <v>230</v>
      </c>
      <c r="B231" s="3" t="s">
        <v>230</v>
      </c>
      <c r="C231" s="5" t="s">
        <v>420</v>
      </c>
      <c r="D231" s="5" t="s">
        <v>364</v>
      </c>
      <c r="E231" s="5"/>
      <c r="F231" s="5"/>
      <c r="G231" s="5" t="s">
        <v>359</v>
      </c>
      <c r="H231" s="5" t="s">
        <v>358</v>
      </c>
      <c r="I231" s="5" t="s">
        <v>356</v>
      </c>
      <c r="J231" s="5" t="s">
        <v>331</v>
      </c>
      <c r="K231" s="5" t="s">
        <v>344</v>
      </c>
      <c r="L231" s="5"/>
      <c r="M231" s="5" t="s">
        <v>969</v>
      </c>
      <c r="N231" s="5" t="s">
        <v>328</v>
      </c>
      <c r="O231" s="5" t="s">
        <v>969</v>
      </c>
      <c r="P231" s="5">
        <f t="shared" si="3"/>
        <v>9</v>
      </c>
    </row>
    <row r="232" spans="1:16" x14ac:dyDescent="0.4">
      <c r="A232" s="5">
        <v>231</v>
      </c>
      <c r="B232" s="3" t="s">
        <v>231</v>
      </c>
      <c r="C232" s="5" t="s">
        <v>421</v>
      </c>
      <c r="D232" s="5" t="s">
        <v>334</v>
      </c>
      <c r="E232" s="5" t="s">
        <v>311</v>
      </c>
      <c r="F232" s="5" t="s">
        <v>542</v>
      </c>
      <c r="G232" s="5" t="s">
        <v>328</v>
      </c>
      <c r="H232" s="5" t="s">
        <v>328</v>
      </c>
      <c r="I232" s="5" t="s">
        <v>331</v>
      </c>
      <c r="J232" s="5" t="s">
        <v>447</v>
      </c>
      <c r="K232" s="5" t="s">
        <v>334</v>
      </c>
      <c r="L232" s="5" t="s">
        <v>311</v>
      </c>
      <c r="M232" s="5" t="s">
        <v>566</v>
      </c>
      <c r="N232" s="5" t="s">
        <v>346</v>
      </c>
      <c r="O232" s="5" t="s">
        <v>968</v>
      </c>
      <c r="P232" s="5">
        <f t="shared" si="3"/>
        <v>12</v>
      </c>
    </row>
    <row r="233" spans="1:16" x14ac:dyDescent="0.4">
      <c r="A233" s="5">
        <v>232</v>
      </c>
      <c r="B233" s="3" t="s">
        <v>232</v>
      </c>
      <c r="C233" s="5" t="s">
        <v>422</v>
      </c>
      <c r="D233" s="5" t="s">
        <v>339</v>
      </c>
      <c r="E233" s="5" t="s">
        <v>346</v>
      </c>
      <c r="F233" s="5" t="s">
        <v>346</v>
      </c>
      <c r="G233" s="5" t="s">
        <v>346</v>
      </c>
      <c r="H233" s="5" t="s">
        <v>366</v>
      </c>
      <c r="I233" s="5" t="s">
        <v>372</v>
      </c>
      <c r="J233" s="5" t="s">
        <v>372</v>
      </c>
      <c r="K233" s="5" t="s">
        <v>422</v>
      </c>
      <c r="L233" s="5" t="s">
        <v>346</v>
      </c>
      <c r="M233" s="5" t="s">
        <v>465</v>
      </c>
      <c r="N233" s="5" t="s">
        <v>963</v>
      </c>
      <c r="O233" s="5" t="s">
        <v>515</v>
      </c>
      <c r="P233" s="5">
        <f t="shared" si="3"/>
        <v>12</v>
      </c>
    </row>
    <row r="234" spans="1:16" x14ac:dyDescent="0.4">
      <c r="A234" s="5">
        <v>233</v>
      </c>
      <c r="B234" s="3" t="s">
        <v>233</v>
      </c>
      <c r="C234" s="5" t="s">
        <v>423</v>
      </c>
      <c r="D234" s="5" t="s">
        <v>375</v>
      </c>
      <c r="E234" s="5" t="s">
        <v>434</v>
      </c>
      <c r="F234" s="5" t="s">
        <v>332</v>
      </c>
      <c r="G234" s="5" t="s">
        <v>423</v>
      </c>
      <c r="H234" s="5" t="s">
        <v>332</v>
      </c>
      <c r="I234" s="5" t="s">
        <v>332</v>
      </c>
      <c r="J234" s="5" t="s">
        <v>332</v>
      </c>
      <c r="K234" s="5" t="s">
        <v>332</v>
      </c>
      <c r="L234" s="5"/>
      <c r="M234" s="5" t="s">
        <v>372</v>
      </c>
      <c r="N234" s="5" t="s">
        <v>1364</v>
      </c>
      <c r="O234" s="5" t="s">
        <v>1362</v>
      </c>
      <c r="P234" s="5">
        <f t="shared" si="3"/>
        <v>11</v>
      </c>
    </row>
    <row r="235" spans="1:16" x14ac:dyDescent="0.4">
      <c r="A235" s="5">
        <v>234</v>
      </c>
      <c r="B235" s="3" t="s">
        <v>243</v>
      </c>
      <c r="C235" s="5" t="s">
        <v>424</v>
      </c>
      <c r="D235" s="5" t="s">
        <v>364</v>
      </c>
      <c r="E235" s="5"/>
      <c r="F235" s="5"/>
      <c r="G235" s="5" t="s">
        <v>497</v>
      </c>
      <c r="H235" s="5" t="s">
        <v>560</v>
      </c>
      <c r="I235" s="5"/>
      <c r="J235" s="5" t="s">
        <v>647</v>
      </c>
      <c r="K235" s="5" t="s">
        <v>424</v>
      </c>
      <c r="L235" s="5"/>
      <c r="M235" s="5" t="s">
        <v>521</v>
      </c>
      <c r="N235" s="5" t="s">
        <v>1344</v>
      </c>
      <c r="O235" s="5" t="s">
        <v>482</v>
      </c>
      <c r="P235" s="5">
        <f t="shared" si="3"/>
        <v>8</v>
      </c>
    </row>
    <row r="236" spans="1:16" x14ac:dyDescent="0.4">
      <c r="A236" s="5">
        <v>235</v>
      </c>
      <c r="B236" s="3" t="s">
        <v>234</v>
      </c>
      <c r="C236" s="5" t="s">
        <v>326</v>
      </c>
      <c r="D236" s="5" t="s">
        <v>494</v>
      </c>
      <c r="E236" s="5" t="s">
        <v>522</v>
      </c>
      <c r="F236" s="5" t="s">
        <v>373</v>
      </c>
      <c r="G236" s="5" t="s">
        <v>361</v>
      </c>
      <c r="H236" s="5" t="s">
        <v>361</v>
      </c>
      <c r="I236" s="5" t="s">
        <v>622</v>
      </c>
      <c r="J236" s="5" t="s">
        <v>648</v>
      </c>
      <c r="K236" s="5" t="s">
        <v>363</v>
      </c>
      <c r="L236" s="5" t="s">
        <v>361</v>
      </c>
      <c r="M236" s="5" t="s">
        <v>339</v>
      </c>
      <c r="N236" s="5" t="s">
        <v>969</v>
      </c>
      <c r="O236" s="5" t="s">
        <v>504</v>
      </c>
      <c r="P236" s="5">
        <f t="shared" si="3"/>
        <v>12</v>
      </c>
    </row>
    <row r="237" spans="1:16" x14ac:dyDescent="0.4">
      <c r="A237" s="5">
        <v>236</v>
      </c>
      <c r="B237" s="3" t="s">
        <v>235</v>
      </c>
      <c r="C237" s="5" t="s">
        <v>425</v>
      </c>
      <c r="D237" s="5" t="s">
        <v>495</v>
      </c>
      <c r="E237" s="5" t="s">
        <v>460</v>
      </c>
      <c r="F237" s="5" t="s">
        <v>380</v>
      </c>
      <c r="G237" s="5" t="s">
        <v>577</v>
      </c>
      <c r="H237" s="5"/>
      <c r="I237" s="5" t="s">
        <v>577</v>
      </c>
      <c r="J237" s="5" t="s">
        <v>520</v>
      </c>
      <c r="K237" s="5" t="s">
        <v>537</v>
      </c>
      <c r="L237" s="5" t="s">
        <v>674</v>
      </c>
      <c r="M237" s="5" t="s">
        <v>487</v>
      </c>
      <c r="N237" s="5" t="s">
        <v>359</v>
      </c>
      <c r="O237" s="5" t="s">
        <v>989</v>
      </c>
      <c r="P237" s="5">
        <f t="shared" si="3"/>
        <v>11</v>
      </c>
    </row>
    <row r="238" spans="1:16" x14ac:dyDescent="0.4">
      <c r="A238" s="5">
        <v>237</v>
      </c>
      <c r="B238" s="3" t="s">
        <v>236</v>
      </c>
      <c r="C238" s="5" t="s">
        <v>426</v>
      </c>
      <c r="D238" s="5" t="s">
        <v>496</v>
      </c>
      <c r="E238" s="5" t="s">
        <v>523</v>
      </c>
      <c r="F238" s="5" t="s">
        <v>396</v>
      </c>
      <c r="G238" s="5" t="s">
        <v>578</v>
      </c>
      <c r="H238" s="5" t="s">
        <v>315</v>
      </c>
      <c r="I238" s="5" t="s">
        <v>315</v>
      </c>
      <c r="J238" s="5" t="s">
        <v>523</v>
      </c>
      <c r="K238" s="5" t="s">
        <v>330</v>
      </c>
      <c r="L238" s="5"/>
      <c r="M238" s="5" t="s">
        <v>551</v>
      </c>
      <c r="N238" s="5" t="s">
        <v>346</v>
      </c>
      <c r="O238" s="5" t="s">
        <v>572</v>
      </c>
      <c r="P238" s="5">
        <f t="shared" si="3"/>
        <v>11</v>
      </c>
    </row>
    <row r="239" spans="1:16" x14ac:dyDescent="0.4">
      <c r="A239" s="5">
        <v>238</v>
      </c>
      <c r="B239" s="3" t="s">
        <v>237</v>
      </c>
      <c r="C239" s="5" t="s">
        <v>383</v>
      </c>
      <c r="D239" s="5" t="s">
        <v>497</v>
      </c>
      <c r="E239" s="5" t="s">
        <v>313</v>
      </c>
      <c r="F239" s="5" t="s">
        <v>510</v>
      </c>
      <c r="G239" s="5" t="s">
        <v>383</v>
      </c>
      <c r="H239" s="5" t="s">
        <v>418</v>
      </c>
      <c r="I239" s="5"/>
      <c r="J239" s="5" t="s">
        <v>436</v>
      </c>
      <c r="K239" s="5" t="s">
        <v>383</v>
      </c>
      <c r="L239" s="5" t="s">
        <v>312</v>
      </c>
      <c r="M239" s="5" t="s">
        <v>515</v>
      </c>
      <c r="N239" s="5" t="s">
        <v>979</v>
      </c>
      <c r="O239" s="5" t="s">
        <v>606</v>
      </c>
      <c r="P239" s="5">
        <f t="shared" si="3"/>
        <v>11</v>
      </c>
    </row>
    <row r="240" spans="1:16" x14ac:dyDescent="0.4">
      <c r="A240" s="5">
        <v>239</v>
      </c>
      <c r="B240" s="3" t="s">
        <v>238</v>
      </c>
      <c r="C240" s="5" t="s">
        <v>357</v>
      </c>
      <c r="D240" s="5" t="s">
        <v>440</v>
      </c>
      <c r="E240" s="5"/>
      <c r="F240" s="5"/>
      <c r="G240" s="5" t="s">
        <v>527</v>
      </c>
      <c r="H240" s="5" t="s">
        <v>527</v>
      </c>
      <c r="I240" s="5" t="s">
        <v>625</v>
      </c>
      <c r="J240" s="5" t="s">
        <v>527</v>
      </c>
      <c r="K240" s="5" t="s">
        <v>576</v>
      </c>
      <c r="L240" s="5"/>
      <c r="M240" s="5" t="s">
        <v>515</v>
      </c>
      <c r="N240" s="5" t="s">
        <v>515</v>
      </c>
      <c r="O240" s="5" t="s">
        <v>521</v>
      </c>
      <c r="P240" s="5">
        <f t="shared" si="3"/>
        <v>9</v>
      </c>
    </row>
    <row r="241" spans="1:16" x14ac:dyDescent="0.4">
      <c r="A241" s="5">
        <v>240</v>
      </c>
      <c r="B241" s="3" t="s">
        <v>239</v>
      </c>
      <c r="C241" s="5" t="s">
        <v>326</v>
      </c>
      <c r="D241" s="5" t="s">
        <v>403</v>
      </c>
      <c r="E241" s="5" t="s">
        <v>389</v>
      </c>
      <c r="F241" s="5"/>
      <c r="G241" s="5" t="s">
        <v>423</v>
      </c>
      <c r="H241" s="5" t="s">
        <v>554</v>
      </c>
      <c r="I241" s="5" t="s">
        <v>388</v>
      </c>
      <c r="J241" s="5" t="s">
        <v>554</v>
      </c>
      <c r="K241" s="5" t="s">
        <v>363</v>
      </c>
      <c r="L241" s="5" t="s">
        <v>375</v>
      </c>
      <c r="M241" s="5" t="s">
        <v>989</v>
      </c>
      <c r="N241" s="5" t="s">
        <v>372</v>
      </c>
      <c r="O241" s="5" t="s">
        <v>604</v>
      </c>
      <c r="P241" s="5">
        <f t="shared" si="3"/>
        <v>11</v>
      </c>
    </row>
    <row r="242" spans="1:16" x14ac:dyDescent="0.4">
      <c r="A242" s="5">
        <v>241</v>
      </c>
      <c r="B242" s="3" t="s">
        <v>240</v>
      </c>
      <c r="C242" s="5" t="s">
        <v>374</v>
      </c>
      <c r="D242" s="5" t="s">
        <v>403</v>
      </c>
      <c r="E242" s="5" t="s">
        <v>524</v>
      </c>
      <c r="F242" s="5"/>
      <c r="G242" s="5" t="s">
        <v>329</v>
      </c>
      <c r="H242" s="5" t="s">
        <v>374</v>
      </c>
      <c r="I242" s="5" t="s">
        <v>403</v>
      </c>
      <c r="J242" s="5" t="s">
        <v>495</v>
      </c>
      <c r="K242" s="5" t="s">
        <v>524</v>
      </c>
      <c r="L242" s="5" t="s">
        <v>403</v>
      </c>
      <c r="M242" s="5" t="s">
        <v>973</v>
      </c>
      <c r="N242" s="5" t="s">
        <v>624</v>
      </c>
      <c r="O242" s="5" t="s">
        <v>963</v>
      </c>
      <c r="P242" s="5">
        <f t="shared" si="3"/>
        <v>11</v>
      </c>
    </row>
    <row r="243" spans="1:16" x14ac:dyDescent="0.4">
      <c r="A243" s="5">
        <v>242</v>
      </c>
      <c r="B243" s="3" t="s">
        <v>241</v>
      </c>
      <c r="C243" s="5" t="s">
        <v>311</v>
      </c>
      <c r="D243" s="5" t="s">
        <v>351</v>
      </c>
      <c r="E243" s="5" t="s">
        <v>399</v>
      </c>
      <c r="F243" s="5" t="s">
        <v>366</v>
      </c>
      <c r="G243" s="5" t="s">
        <v>373</v>
      </c>
      <c r="H243" s="5" t="s">
        <v>349</v>
      </c>
      <c r="I243" s="5" t="s">
        <v>334</v>
      </c>
      <c r="J243" s="5" t="s">
        <v>373</v>
      </c>
      <c r="K243" s="5" t="s">
        <v>373</v>
      </c>
      <c r="L243" s="5" t="s">
        <v>373</v>
      </c>
      <c r="M243" s="5" t="s">
        <v>366</v>
      </c>
      <c r="N243" s="5" t="s">
        <v>987</v>
      </c>
      <c r="O243" s="5" t="s">
        <v>970</v>
      </c>
      <c r="P243" s="5">
        <f t="shared" si="3"/>
        <v>12</v>
      </c>
    </row>
    <row r="244" spans="1:16" x14ac:dyDescent="0.4">
      <c r="A244" s="5">
        <v>243</v>
      </c>
      <c r="B244" s="3" t="s">
        <v>242</v>
      </c>
      <c r="C244" s="5"/>
      <c r="D244" s="5" t="s">
        <v>498</v>
      </c>
      <c r="E244" s="5" t="s">
        <v>428</v>
      </c>
      <c r="F244" s="5"/>
      <c r="G244" s="5" t="s">
        <v>479</v>
      </c>
      <c r="H244" s="5" t="s">
        <v>363</v>
      </c>
      <c r="I244" s="5"/>
      <c r="J244" s="5"/>
      <c r="K244" s="5"/>
      <c r="L244" s="5"/>
      <c r="N244" s="5" t="s">
        <v>963</v>
      </c>
      <c r="O244" s="5" t="s">
        <v>1363</v>
      </c>
      <c r="P244" s="5">
        <f t="shared" si="3"/>
        <v>5</v>
      </c>
    </row>
    <row r="245" spans="1:16" x14ac:dyDescent="0.4">
      <c r="A245" s="5">
        <v>244</v>
      </c>
      <c r="B245" s="3" t="s">
        <v>244</v>
      </c>
      <c r="C245" s="5" t="s">
        <v>427</v>
      </c>
      <c r="D245" s="5" t="s">
        <v>364</v>
      </c>
      <c r="E245" s="5"/>
      <c r="F245" s="5"/>
      <c r="G245" s="5"/>
      <c r="H245" s="5"/>
      <c r="I245" s="5"/>
      <c r="J245" s="5"/>
      <c r="K245" s="5"/>
      <c r="L245" s="5"/>
      <c r="M245" s="5" t="s">
        <v>482</v>
      </c>
      <c r="P245" s="5">
        <f t="shared" si="3"/>
        <v>3</v>
      </c>
    </row>
    <row r="246" spans="1:16" ht="18" thickBot="1" x14ac:dyDescent="0.45">
      <c r="A246" s="5">
        <v>245</v>
      </c>
      <c r="B246" s="1" t="s">
        <v>245</v>
      </c>
      <c r="C246" s="5" t="s">
        <v>428</v>
      </c>
      <c r="D246" s="5" t="s">
        <v>403</v>
      </c>
      <c r="E246" s="5"/>
      <c r="F246" s="5" t="s">
        <v>311</v>
      </c>
      <c r="G246" s="5" t="s">
        <v>413</v>
      </c>
      <c r="H246" s="5" t="s">
        <v>339</v>
      </c>
      <c r="I246" s="5"/>
      <c r="J246" s="5"/>
      <c r="K246" s="5"/>
      <c r="L246" s="5"/>
      <c r="M246" s="5" t="s">
        <v>965</v>
      </c>
      <c r="N246" s="5" t="s">
        <v>504</v>
      </c>
      <c r="O246" s="5" t="s">
        <v>311</v>
      </c>
      <c r="P246" s="5">
        <f>COUNTA(C246:N246)</f>
        <v>7</v>
      </c>
    </row>
    <row r="247" spans="1:16" ht="18" thickBot="1" x14ac:dyDescent="0.45">
      <c r="B247" s="26" t="s">
        <v>675</v>
      </c>
      <c r="C247">
        <f>COUNTA(C2:C246)</f>
        <v>206</v>
      </c>
      <c r="D247" s="5">
        <f t="shared" ref="D247:N247" si="4">COUNTA(D2:D246)</f>
        <v>219</v>
      </c>
      <c r="E247" s="5">
        <f t="shared" si="4"/>
        <v>113</v>
      </c>
      <c r="F247" s="5">
        <f t="shared" si="4"/>
        <v>115</v>
      </c>
      <c r="G247" s="5">
        <f t="shared" si="4"/>
        <v>200</v>
      </c>
      <c r="H247" s="5">
        <f t="shared" si="4"/>
        <v>194</v>
      </c>
      <c r="I247" s="5">
        <f t="shared" si="4"/>
        <v>189</v>
      </c>
      <c r="J247" s="5">
        <f t="shared" si="4"/>
        <v>188</v>
      </c>
      <c r="K247" s="5">
        <f t="shared" si="4"/>
        <v>169</v>
      </c>
      <c r="L247" s="5">
        <f t="shared" si="4"/>
        <v>147</v>
      </c>
      <c r="M247" s="5">
        <f t="shared" si="4"/>
        <v>229</v>
      </c>
      <c r="N247" s="5">
        <f t="shared" si="4"/>
        <v>223</v>
      </c>
      <c r="P247" s="35">
        <f>SUM(C247:N247)</f>
        <v>2192</v>
      </c>
    </row>
  </sheetData>
  <phoneticPr fontId="8" type="noConversion"/>
  <pageMargins left="0.7" right="0.7" top="0.75" bottom="0.75" header="0.3" footer="0.3"/>
  <pageSetup paperSize="9" orientation="landscape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89"/>
  <sheetViews>
    <sheetView topLeftCell="A49" zoomScale="85" zoomScaleNormal="85" workbookViewId="0">
      <selection activeCell="F74" sqref="F74"/>
    </sheetView>
  </sheetViews>
  <sheetFormatPr defaultRowHeight="17.399999999999999" x14ac:dyDescent="0.4"/>
  <cols>
    <col min="1" max="1" width="42.296875" style="5" customWidth="1"/>
    <col min="2" max="2" width="15.19921875" style="5" bestFit="1" customWidth="1"/>
    <col min="3" max="3" width="5" style="5" bestFit="1" customWidth="1"/>
    <col min="4" max="4" width="11" style="5" bestFit="1" customWidth="1"/>
    <col min="5" max="5" width="18.8984375" style="5" customWidth="1"/>
    <col min="6" max="6" width="23.5" style="5" bestFit="1" customWidth="1"/>
    <col min="7" max="7" width="13" style="5" customWidth="1"/>
    <col min="8" max="8" width="18.8984375" style="5" customWidth="1"/>
    <col min="9" max="10" width="22.19921875" style="5" bestFit="1" customWidth="1"/>
    <col min="11" max="11" width="6.796875" style="5" customWidth="1"/>
    <col min="12" max="12" width="42.59765625" style="5" customWidth="1"/>
    <col min="13" max="13" width="27.296875" style="5" customWidth="1"/>
    <col min="14" max="14" width="25" style="5" customWidth="1"/>
    <col min="15" max="16384" width="8.796875" style="5"/>
  </cols>
  <sheetData>
    <row r="1" spans="1:14" x14ac:dyDescent="0.4">
      <c r="A1" s="27" t="s">
        <v>686</v>
      </c>
      <c r="B1" s="27" t="s">
        <v>687</v>
      </c>
      <c r="C1" s="28" t="s">
        <v>688</v>
      </c>
      <c r="D1" s="29" t="s">
        <v>689</v>
      </c>
      <c r="E1" s="30" t="s">
        <v>690</v>
      </c>
      <c r="F1" s="30" t="s">
        <v>691</v>
      </c>
      <c r="G1" s="30" t="s">
        <v>692</v>
      </c>
      <c r="H1" s="30" t="s">
        <v>693</v>
      </c>
      <c r="I1" s="30" t="s">
        <v>694</v>
      </c>
      <c r="J1" s="30" t="s">
        <v>695</v>
      </c>
      <c r="K1" s="30" t="s">
        <v>696</v>
      </c>
      <c r="L1" s="30" t="s">
        <v>697</v>
      </c>
      <c r="M1" s="30" t="s">
        <v>698</v>
      </c>
      <c r="N1" s="31" t="s">
        <v>699</v>
      </c>
    </row>
    <row r="2" spans="1:14" hidden="1" x14ac:dyDescent="0.4">
      <c r="A2" s="5" t="s">
        <v>700</v>
      </c>
      <c r="B2" s="32" t="s">
        <v>678</v>
      </c>
      <c r="C2" s="33">
        <v>31</v>
      </c>
      <c r="D2" s="33" t="s">
        <v>701</v>
      </c>
      <c r="E2" s="25" t="s">
        <v>701</v>
      </c>
      <c r="F2" s="25" t="s">
        <v>702</v>
      </c>
      <c r="G2" s="5" t="s">
        <v>703</v>
      </c>
      <c r="H2" s="5" t="s">
        <v>703</v>
      </c>
      <c r="K2" s="5" t="s">
        <v>704</v>
      </c>
      <c r="L2" s="5" t="s">
        <v>705</v>
      </c>
      <c r="M2" s="34">
        <v>44334</v>
      </c>
      <c r="N2" s="5" t="s">
        <v>706</v>
      </c>
    </row>
    <row r="3" spans="1:14" hidden="1" x14ac:dyDescent="0.4">
      <c r="A3" s="5" t="s">
        <v>700</v>
      </c>
      <c r="B3" s="32" t="s">
        <v>678</v>
      </c>
      <c r="C3" s="33">
        <v>32</v>
      </c>
      <c r="D3" s="33" t="s">
        <v>701</v>
      </c>
      <c r="E3" s="25" t="s">
        <v>701</v>
      </c>
      <c r="F3" s="25" t="s">
        <v>707</v>
      </c>
      <c r="G3" s="5" t="s">
        <v>703</v>
      </c>
      <c r="H3" s="5" t="s">
        <v>703</v>
      </c>
      <c r="K3" s="5" t="s">
        <v>704</v>
      </c>
      <c r="L3" s="5" t="s">
        <v>708</v>
      </c>
      <c r="M3" s="34">
        <v>44334</v>
      </c>
      <c r="N3" s="5" t="s">
        <v>706</v>
      </c>
    </row>
    <row r="4" spans="1:14" s="2" customFormat="1" hidden="1" x14ac:dyDescent="0.4">
      <c r="A4" s="5" t="s">
        <v>700</v>
      </c>
      <c r="B4" s="32" t="s">
        <v>678</v>
      </c>
      <c r="C4" s="33">
        <v>33</v>
      </c>
      <c r="D4" s="33" t="s">
        <v>701</v>
      </c>
      <c r="E4" s="25" t="s">
        <v>701</v>
      </c>
      <c r="F4" s="25" t="s">
        <v>709</v>
      </c>
      <c r="G4" s="5" t="s">
        <v>703</v>
      </c>
      <c r="H4" s="5" t="s">
        <v>703</v>
      </c>
      <c r="I4" s="5"/>
      <c r="J4" s="5"/>
      <c r="K4" s="5" t="s">
        <v>710</v>
      </c>
      <c r="L4" s="5" t="s">
        <v>711</v>
      </c>
      <c r="M4" s="34">
        <v>44334</v>
      </c>
      <c r="N4" s="5" t="s">
        <v>706</v>
      </c>
    </row>
    <row r="5" spans="1:14" s="2" customFormat="1" hidden="1" x14ac:dyDescent="0.4">
      <c r="A5" s="5" t="s">
        <v>700</v>
      </c>
      <c r="B5" s="32" t="s">
        <v>712</v>
      </c>
      <c r="C5" s="33">
        <v>34</v>
      </c>
      <c r="D5" s="33" t="s">
        <v>701</v>
      </c>
      <c r="E5" s="25" t="s">
        <v>701</v>
      </c>
      <c r="F5" s="25" t="s">
        <v>713</v>
      </c>
      <c r="G5" s="5" t="s">
        <v>703</v>
      </c>
      <c r="H5" s="5" t="s">
        <v>703</v>
      </c>
      <c r="I5" s="5"/>
      <c r="J5" s="5"/>
      <c r="K5" s="5" t="s">
        <v>710</v>
      </c>
      <c r="L5" s="5" t="s">
        <v>714</v>
      </c>
      <c r="M5" s="34">
        <v>44334</v>
      </c>
      <c r="N5" s="5" t="s">
        <v>706</v>
      </c>
    </row>
    <row r="6" spans="1:14" s="2" customFormat="1" hidden="1" x14ac:dyDescent="0.4">
      <c r="A6" s="5" t="s">
        <v>721</v>
      </c>
      <c r="B6" s="32" t="s">
        <v>1225</v>
      </c>
      <c r="C6" s="32">
        <v>83</v>
      </c>
      <c r="D6" s="32" t="s">
        <v>1226</v>
      </c>
      <c r="E6" s="25" t="s">
        <v>723</v>
      </c>
      <c r="F6" s="25" t="s">
        <v>724</v>
      </c>
      <c r="G6" s="5" t="s">
        <v>703</v>
      </c>
      <c r="H6" s="5" t="s">
        <v>703</v>
      </c>
      <c r="I6" s="5"/>
      <c r="J6" s="5"/>
      <c r="K6" s="5"/>
      <c r="L6" s="5" t="s">
        <v>725</v>
      </c>
      <c r="M6" s="34" t="s">
        <v>726</v>
      </c>
      <c r="N6" s="5" t="s">
        <v>727</v>
      </c>
    </row>
    <row r="7" spans="1:14" s="2" customFormat="1" hidden="1" x14ac:dyDescent="0.4">
      <c r="A7" s="5" t="s">
        <v>721</v>
      </c>
      <c r="B7" s="32" t="s">
        <v>1225</v>
      </c>
      <c r="C7" s="32">
        <v>104</v>
      </c>
      <c r="D7" s="32" t="s">
        <v>1226</v>
      </c>
      <c r="E7" s="25" t="s">
        <v>729</v>
      </c>
      <c r="F7" s="25" t="s">
        <v>730</v>
      </c>
      <c r="G7" s="5" t="s">
        <v>703</v>
      </c>
      <c r="H7" s="5" t="s">
        <v>703</v>
      </c>
      <c r="I7" s="5"/>
      <c r="J7" s="5"/>
      <c r="K7" s="5"/>
      <c r="L7" s="5" t="s">
        <v>731</v>
      </c>
      <c r="M7" s="34">
        <v>44372</v>
      </c>
      <c r="N7" s="5" t="s">
        <v>732</v>
      </c>
    </row>
    <row r="8" spans="1:14" s="2" customFormat="1" hidden="1" x14ac:dyDescent="0.4">
      <c r="A8" s="5" t="s">
        <v>743</v>
      </c>
      <c r="B8" s="32" t="s">
        <v>712</v>
      </c>
      <c r="C8" s="33">
        <v>28</v>
      </c>
      <c r="D8" s="33" t="s">
        <v>701</v>
      </c>
      <c r="E8" s="25" t="s">
        <v>744</v>
      </c>
      <c r="F8" s="25" t="s">
        <v>745</v>
      </c>
      <c r="G8" s="36" t="s">
        <v>746</v>
      </c>
      <c r="H8" s="36" t="s">
        <v>703</v>
      </c>
      <c r="I8" s="5" t="s">
        <v>747</v>
      </c>
      <c r="J8" s="5" t="s">
        <v>748</v>
      </c>
      <c r="K8" s="5" t="s">
        <v>749</v>
      </c>
      <c r="L8" s="5" t="s">
        <v>747</v>
      </c>
      <c r="M8" s="34" t="s">
        <v>750</v>
      </c>
      <c r="N8" s="5" t="s">
        <v>751</v>
      </c>
    </row>
    <row r="9" spans="1:14" s="2" customFormat="1" hidden="1" x14ac:dyDescent="0.4">
      <c r="A9" s="5" t="s">
        <v>743</v>
      </c>
      <c r="B9" s="32" t="s">
        <v>678</v>
      </c>
      <c r="C9" s="33">
        <v>29</v>
      </c>
      <c r="D9" s="33" t="s">
        <v>701</v>
      </c>
      <c r="E9" s="25" t="s">
        <v>744</v>
      </c>
      <c r="F9" s="25" t="s">
        <v>752</v>
      </c>
      <c r="G9" s="36" t="s">
        <v>746</v>
      </c>
      <c r="H9" s="36" t="s">
        <v>703</v>
      </c>
      <c r="I9" s="5" t="s">
        <v>747</v>
      </c>
      <c r="J9" s="5" t="s">
        <v>748</v>
      </c>
      <c r="K9" s="5" t="s">
        <v>750</v>
      </c>
      <c r="L9" s="5" t="s">
        <v>753</v>
      </c>
      <c r="M9" s="34" t="s">
        <v>749</v>
      </c>
      <c r="N9" s="5" t="s">
        <v>751</v>
      </c>
    </row>
    <row r="10" spans="1:14" s="2" customFormat="1" hidden="1" x14ac:dyDescent="0.4">
      <c r="A10" s="5" t="s">
        <v>743</v>
      </c>
      <c r="B10" s="32" t="s">
        <v>712</v>
      </c>
      <c r="C10" s="33">
        <v>30</v>
      </c>
      <c r="D10" s="33" t="s">
        <v>701</v>
      </c>
      <c r="E10" s="25" t="s">
        <v>754</v>
      </c>
      <c r="F10" s="25" t="s">
        <v>755</v>
      </c>
      <c r="G10" s="36" t="s">
        <v>746</v>
      </c>
      <c r="H10" s="36" t="s">
        <v>703</v>
      </c>
      <c r="I10" s="5" t="s">
        <v>753</v>
      </c>
      <c r="J10" s="5" t="s">
        <v>748</v>
      </c>
      <c r="K10" s="5" t="s">
        <v>749</v>
      </c>
      <c r="L10" s="5" t="s">
        <v>753</v>
      </c>
      <c r="M10" s="34" t="s">
        <v>750</v>
      </c>
      <c r="N10" s="5" t="s">
        <v>751</v>
      </c>
    </row>
    <row r="11" spans="1:14" s="2" customFormat="1" hidden="1" x14ac:dyDescent="0.4">
      <c r="A11" s="5" t="s">
        <v>743</v>
      </c>
      <c r="B11" s="32" t="s">
        <v>678</v>
      </c>
      <c r="C11" s="33">
        <v>71</v>
      </c>
      <c r="D11" s="33" t="s">
        <v>722</v>
      </c>
      <c r="E11" s="25" t="s">
        <v>744</v>
      </c>
      <c r="F11" s="25" t="s">
        <v>756</v>
      </c>
      <c r="G11" s="36" t="s">
        <v>703</v>
      </c>
      <c r="H11" s="36" t="s">
        <v>703</v>
      </c>
      <c r="I11" s="5"/>
      <c r="J11" s="5"/>
      <c r="K11" s="5" t="s">
        <v>757</v>
      </c>
      <c r="L11" s="5" t="s">
        <v>758</v>
      </c>
      <c r="M11" s="34">
        <v>44483</v>
      </c>
      <c r="N11" s="5" t="s">
        <v>751</v>
      </c>
    </row>
    <row r="12" spans="1:14" s="2" customFormat="1" hidden="1" x14ac:dyDescent="0.4">
      <c r="A12" s="5" t="s">
        <v>743</v>
      </c>
      <c r="B12" s="32" t="s">
        <v>678</v>
      </c>
      <c r="C12" s="33">
        <v>72</v>
      </c>
      <c r="D12" s="33" t="s">
        <v>735</v>
      </c>
      <c r="E12" s="25" t="s">
        <v>754</v>
      </c>
      <c r="F12" s="25" t="s">
        <v>759</v>
      </c>
      <c r="G12" s="36" t="s">
        <v>703</v>
      </c>
      <c r="H12" s="36" t="s">
        <v>703</v>
      </c>
      <c r="I12" s="5"/>
      <c r="J12" s="5"/>
      <c r="K12" s="5" t="s">
        <v>757</v>
      </c>
      <c r="L12" s="5" t="s">
        <v>760</v>
      </c>
      <c r="M12" s="34">
        <v>44474</v>
      </c>
      <c r="N12" s="5" t="s">
        <v>751</v>
      </c>
    </row>
    <row r="13" spans="1:14" s="2" customFormat="1" hidden="1" x14ac:dyDescent="0.4">
      <c r="A13" s="5" t="s">
        <v>763</v>
      </c>
      <c r="B13" s="33" t="s">
        <v>764</v>
      </c>
      <c r="C13" s="33">
        <v>19</v>
      </c>
      <c r="D13" s="33" t="s">
        <v>765</v>
      </c>
      <c r="E13" s="25" t="s">
        <v>766</v>
      </c>
      <c r="F13" s="25" t="s">
        <v>283</v>
      </c>
      <c r="G13" s="25" t="s">
        <v>703</v>
      </c>
      <c r="H13" s="25" t="s">
        <v>746</v>
      </c>
      <c r="I13" s="5"/>
      <c r="J13" s="5" t="s">
        <v>767</v>
      </c>
      <c r="K13" s="5"/>
      <c r="L13" s="5"/>
      <c r="M13" s="34"/>
      <c r="N13" s="5"/>
    </row>
    <row r="14" spans="1:14" s="2" customFormat="1" hidden="1" x14ac:dyDescent="0.4">
      <c r="A14" s="5" t="s">
        <v>778</v>
      </c>
      <c r="B14" s="32" t="s">
        <v>712</v>
      </c>
      <c r="C14" s="33">
        <v>97</v>
      </c>
      <c r="D14" s="33" t="s">
        <v>735</v>
      </c>
      <c r="E14" s="25" t="s">
        <v>735</v>
      </c>
      <c r="F14" s="25" t="s">
        <v>779</v>
      </c>
      <c r="G14" s="36" t="s">
        <v>703</v>
      </c>
      <c r="H14" s="36" t="s">
        <v>703</v>
      </c>
      <c r="I14" s="5"/>
      <c r="J14" s="5"/>
      <c r="K14" s="5"/>
      <c r="L14" s="5" t="s">
        <v>780</v>
      </c>
      <c r="M14" s="34">
        <v>44491</v>
      </c>
      <c r="N14" s="5" t="s">
        <v>732</v>
      </c>
    </row>
    <row r="15" spans="1:14" s="2" customFormat="1" hidden="1" x14ac:dyDescent="0.4">
      <c r="A15" s="5" t="s">
        <v>784</v>
      </c>
      <c r="B15" s="32" t="s">
        <v>715</v>
      </c>
      <c r="C15" s="33">
        <v>82</v>
      </c>
      <c r="D15" s="33" t="s">
        <v>728</v>
      </c>
      <c r="E15" s="25" t="s">
        <v>785</v>
      </c>
      <c r="F15" s="25" t="s">
        <v>786</v>
      </c>
      <c r="G15" s="36" t="s">
        <v>703</v>
      </c>
      <c r="H15" s="36" t="s">
        <v>703</v>
      </c>
      <c r="I15" s="5"/>
      <c r="J15" s="5"/>
      <c r="K15" s="5"/>
      <c r="L15" s="5"/>
      <c r="M15" s="34"/>
      <c r="N15" s="5" t="s">
        <v>732</v>
      </c>
    </row>
    <row r="16" spans="1:14" s="2" customFormat="1" hidden="1" x14ac:dyDescent="0.4">
      <c r="A16" s="5" t="s">
        <v>791</v>
      </c>
      <c r="B16" s="32" t="s">
        <v>715</v>
      </c>
      <c r="C16" s="33">
        <v>94</v>
      </c>
      <c r="D16" s="33" t="s">
        <v>735</v>
      </c>
      <c r="E16" s="25" t="s">
        <v>792</v>
      </c>
      <c r="F16" s="25" t="s">
        <v>793</v>
      </c>
      <c r="G16" s="5" t="s">
        <v>703</v>
      </c>
      <c r="H16" s="5" t="s">
        <v>703</v>
      </c>
      <c r="I16" s="5"/>
      <c r="J16" s="5"/>
      <c r="K16" s="5"/>
      <c r="L16" s="5"/>
      <c r="M16" s="34"/>
      <c r="N16" s="5" t="s">
        <v>794</v>
      </c>
    </row>
    <row r="17" spans="1:14" s="2" customFormat="1" hidden="1" x14ac:dyDescent="0.4">
      <c r="A17" s="5" t="s">
        <v>798</v>
      </c>
      <c r="B17" s="32" t="s">
        <v>712</v>
      </c>
      <c r="C17" s="33">
        <v>41</v>
      </c>
      <c r="D17" s="33" t="s">
        <v>728</v>
      </c>
      <c r="E17" s="25" t="s">
        <v>799</v>
      </c>
      <c r="F17" s="25" t="s">
        <v>800</v>
      </c>
      <c r="G17" s="36" t="s">
        <v>703</v>
      </c>
      <c r="H17" s="36" t="s">
        <v>703</v>
      </c>
      <c r="I17" s="5"/>
      <c r="J17" s="5"/>
      <c r="K17" s="5"/>
      <c r="L17" s="5" t="s">
        <v>801</v>
      </c>
      <c r="M17" s="34" t="s">
        <v>802</v>
      </c>
      <c r="N17" s="5" t="s">
        <v>803</v>
      </c>
    </row>
    <row r="18" spans="1:14" s="2" customFormat="1" hidden="1" x14ac:dyDescent="0.4">
      <c r="A18" s="5" t="s">
        <v>798</v>
      </c>
      <c r="B18" s="32" t="s">
        <v>804</v>
      </c>
      <c r="C18" s="33">
        <v>42</v>
      </c>
      <c r="D18" s="33" t="s">
        <v>728</v>
      </c>
      <c r="E18" s="25" t="s">
        <v>799</v>
      </c>
      <c r="F18" s="25" t="s">
        <v>805</v>
      </c>
      <c r="G18" s="36" t="s">
        <v>703</v>
      </c>
      <c r="H18" s="36" t="s">
        <v>703</v>
      </c>
      <c r="I18" s="5"/>
      <c r="J18" s="5"/>
      <c r="K18" s="5"/>
      <c r="L18" s="5" t="s">
        <v>806</v>
      </c>
      <c r="M18" s="34" t="s">
        <v>807</v>
      </c>
      <c r="N18" s="5" t="s">
        <v>808</v>
      </c>
    </row>
    <row r="19" spans="1:14" s="2" customFormat="1" hidden="1" x14ac:dyDescent="0.4">
      <c r="A19" s="5" t="s">
        <v>798</v>
      </c>
      <c r="B19" s="32" t="s">
        <v>712</v>
      </c>
      <c r="C19" s="33">
        <v>43</v>
      </c>
      <c r="D19" s="33" t="s">
        <v>728</v>
      </c>
      <c r="E19" s="25" t="s">
        <v>809</v>
      </c>
      <c r="F19" s="25" t="s">
        <v>810</v>
      </c>
      <c r="G19" s="36" t="s">
        <v>703</v>
      </c>
      <c r="H19" s="36" t="s">
        <v>703</v>
      </c>
      <c r="I19" s="5"/>
      <c r="J19" s="5"/>
      <c r="K19" s="5"/>
      <c r="L19" s="5" t="s">
        <v>811</v>
      </c>
      <c r="M19" s="34" t="s">
        <v>802</v>
      </c>
      <c r="N19" s="5" t="s">
        <v>808</v>
      </c>
    </row>
    <row r="20" spans="1:14" s="2" customFormat="1" hidden="1" x14ac:dyDescent="0.4">
      <c r="A20" s="40" t="s">
        <v>815</v>
      </c>
      <c r="B20" s="32" t="s">
        <v>712</v>
      </c>
      <c r="C20" s="32">
        <v>118</v>
      </c>
      <c r="D20" s="32" t="s">
        <v>712</v>
      </c>
      <c r="E20" s="25" t="s">
        <v>735</v>
      </c>
      <c r="F20" s="25" t="s">
        <v>832</v>
      </c>
      <c r="G20" s="36" t="s">
        <v>703</v>
      </c>
      <c r="H20" s="36" t="s">
        <v>703</v>
      </c>
      <c r="I20" s="5"/>
      <c r="J20" s="5"/>
      <c r="K20" s="5"/>
      <c r="L20" s="5" t="s">
        <v>833</v>
      </c>
      <c r="M20" s="34">
        <v>44491</v>
      </c>
      <c r="N20" s="5" t="s">
        <v>834</v>
      </c>
    </row>
    <row r="21" spans="1:14" s="2" customFormat="1" hidden="1" x14ac:dyDescent="0.4">
      <c r="A21" s="5" t="s">
        <v>914</v>
      </c>
      <c r="B21" s="32" t="s">
        <v>678</v>
      </c>
      <c r="C21" s="33">
        <v>85</v>
      </c>
      <c r="D21" s="33" t="s">
        <v>735</v>
      </c>
      <c r="E21" s="25" t="s">
        <v>915</v>
      </c>
      <c r="F21" s="25" t="s">
        <v>916</v>
      </c>
      <c r="G21" s="36" t="s">
        <v>703</v>
      </c>
      <c r="H21" s="36" t="s">
        <v>703</v>
      </c>
      <c r="I21" s="5"/>
      <c r="J21" s="5"/>
      <c r="K21" s="5" t="s">
        <v>710</v>
      </c>
      <c r="L21" s="5" t="s">
        <v>917</v>
      </c>
      <c r="M21" s="34" t="s">
        <v>918</v>
      </c>
      <c r="N21" s="5" t="s">
        <v>919</v>
      </c>
    </row>
    <row r="22" spans="1:14" s="2" customFormat="1" x14ac:dyDescent="0.4">
      <c r="A22" s="5" t="s">
        <v>700</v>
      </c>
      <c r="B22" s="32" t="s">
        <v>715</v>
      </c>
      <c r="C22" s="33">
        <v>31</v>
      </c>
      <c r="D22" s="33" t="s">
        <v>701</v>
      </c>
      <c r="E22" s="35" t="s">
        <v>716</v>
      </c>
      <c r="F22" s="35" t="s">
        <v>717</v>
      </c>
      <c r="G22" s="36" t="s">
        <v>703</v>
      </c>
      <c r="H22" s="36" t="s">
        <v>703</v>
      </c>
      <c r="I22" s="5"/>
      <c r="J22" s="5"/>
      <c r="K22" s="5"/>
      <c r="L22" s="5"/>
      <c r="M22" s="34"/>
      <c r="N22" s="5" t="s">
        <v>706</v>
      </c>
    </row>
    <row r="23" spans="1:14" s="2" customFormat="1" x14ac:dyDescent="0.4">
      <c r="A23" s="5" t="s">
        <v>700</v>
      </c>
      <c r="B23" s="32" t="s">
        <v>715</v>
      </c>
      <c r="C23" s="33">
        <v>32</v>
      </c>
      <c r="D23" s="33" t="s">
        <v>701</v>
      </c>
      <c r="E23" s="35" t="s">
        <v>716</v>
      </c>
      <c r="F23" s="35" t="s">
        <v>718</v>
      </c>
      <c r="G23" s="36" t="s">
        <v>703</v>
      </c>
      <c r="H23" s="36" t="s">
        <v>703</v>
      </c>
      <c r="I23" s="5"/>
      <c r="J23" s="5"/>
      <c r="K23" s="5"/>
      <c r="L23" s="5"/>
      <c r="M23" s="34"/>
      <c r="N23" s="5" t="s">
        <v>706</v>
      </c>
    </row>
    <row r="24" spans="1:14" s="2" customFormat="1" x14ac:dyDescent="0.4">
      <c r="A24" s="5" t="s">
        <v>700</v>
      </c>
      <c r="B24" s="32" t="s">
        <v>715</v>
      </c>
      <c r="C24" s="33">
        <v>33</v>
      </c>
      <c r="D24" s="33" t="s">
        <v>701</v>
      </c>
      <c r="E24" s="35" t="s">
        <v>719</v>
      </c>
      <c r="F24" s="35" t="s">
        <v>720</v>
      </c>
      <c r="G24" s="36" t="s">
        <v>703</v>
      </c>
      <c r="H24" s="36" t="s">
        <v>703</v>
      </c>
      <c r="I24" s="5"/>
      <c r="J24" s="5"/>
      <c r="K24" s="5"/>
      <c r="L24" s="5"/>
      <c r="M24" s="34"/>
      <c r="N24" s="5" t="s">
        <v>706</v>
      </c>
    </row>
    <row r="25" spans="1:14" s="2" customFormat="1" x14ac:dyDescent="0.4">
      <c r="A25" s="5" t="s">
        <v>700</v>
      </c>
      <c r="B25" s="32" t="s">
        <v>681</v>
      </c>
      <c r="C25" s="33">
        <v>34</v>
      </c>
      <c r="D25" s="33" t="s">
        <v>701</v>
      </c>
      <c r="E25" s="35" t="s">
        <v>719</v>
      </c>
      <c r="F25" s="35" t="s">
        <v>713</v>
      </c>
      <c r="G25" s="36" t="s">
        <v>703</v>
      </c>
      <c r="H25" s="36" t="s">
        <v>703</v>
      </c>
      <c r="I25" s="5"/>
      <c r="J25" s="5"/>
      <c r="K25" s="5"/>
      <c r="L25" s="5"/>
      <c r="M25" s="34"/>
      <c r="N25" s="5" t="s">
        <v>706</v>
      </c>
    </row>
    <row r="26" spans="1:14" s="2" customFormat="1" x14ac:dyDescent="0.4">
      <c r="A26" s="5" t="s">
        <v>721</v>
      </c>
      <c r="B26" s="32" t="s">
        <v>1227</v>
      </c>
      <c r="C26" s="32">
        <v>83</v>
      </c>
      <c r="D26" s="32" t="s">
        <v>1226</v>
      </c>
      <c r="E26" s="35" t="s">
        <v>729</v>
      </c>
      <c r="F26" s="35" t="s">
        <v>733</v>
      </c>
      <c r="G26" s="36" t="s">
        <v>703</v>
      </c>
      <c r="H26" s="36" t="s">
        <v>703</v>
      </c>
      <c r="I26" s="5"/>
      <c r="J26" s="5"/>
      <c r="K26" s="5"/>
      <c r="L26" s="5" t="s">
        <v>734</v>
      </c>
      <c r="M26" s="34">
        <v>44417</v>
      </c>
      <c r="N26" s="5" t="s">
        <v>727</v>
      </c>
    </row>
    <row r="27" spans="1:14" s="2" customFormat="1" x14ac:dyDescent="0.4">
      <c r="A27" s="5" t="s">
        <v>721</v>
      </c>
      <c r="B27" s="32" t="s">
        <v>1228</v>
      </c>
      <c r="C27" s="32">
        <v>104</v>
      </c>
      <c r="D27" s="32" t="s">
        <v>1225</v>
      </c>
      <c r="E27" s="35" t="s">
        <v>723</v>
      </c>
      <c r="F27" s="35" t="s">
        <v>736</v>
      </c>
      <c r="G27" s="36" t="s">
        <v>703</v>
      </c>
      <c r="H27" s="36" t="s">
        <v>703</v>
      </c>
      <c r="I27" s="5"/>
      <c r="J27" s="5"/>
      <c r="K27" s="5"/>
      <c r="L27" s="5" t="s">
        <v>731</v>
      </c>
      <c r="M27" s="34">
        <v>44365</v>
      </c>
      <c r="N27" s="5" t="s">
        <v>732</v>
      </c>
    </row>
    <row r="28" spans="1:14" s="2" customFormat="1" x14ac:dyDescent="0.4">
      <c r="A28" s="5" t="s">
        <v>737</v>
      </c>
      <c r="B28" s="38" t="s">
        <v>738</v>
      </c>
      <c r="C28" s="38">
        <v>40</v>
      </c>
      <c r="D28" s="38" t="s">
        <v>739</v>
      </c>
      <c r="E28" s="5" t="s">
        <v>740</v>
      </c>
      <c r="F28" s="5" t="s">
        <v>741</v>
      </c>
      <c r="G28" s="5" t="s">
        <v>703</v>
      </c>
      <c r="H28" s="5" t="s">
        <v>703</v>
      </c>
      <c r="I28" s="5"/>
      <c r="J28" s="5"/>
      <c r="K28" s="5"/>
      <c r="L28" s="5" t="s">
        <v>741</v>
      </c>
      <c r="M28" s="34">
        <v>44168</v>
      </c>
      <c r="N28" s="5" t="s">
        <v>742</v>
      </c>
    </row>
    <row r="29" spans="1:14" x14ac:dyDescent="0.4">
      <c r="A29" s="5" t="s">
        <v>743</v>
      </c>
      <c r="B29" s="32" t="s">
        <v>681</v>
      </c>
      <c r="C29" s="33">
        <v>28</v>
      </c>
      <c r="D29" s="33" t="s">
        <v>701</v>
      </c>
      <c r="E29" s="35" t="s">
        <v>754</v>
      </c>
      <c r="F29" s="35" t="s">
        <v>761</v>
      </c>
      <c r="G29" s="36" t="s">
        <v>703</v>
      </c>
      <c r="H29" s="36" t="s">
        <v>703</v>
      </c>
      <c r="M29" s="34"/>
      <c r="N29" s="5" t="s">
        <v>751</v>
      </c>
    </row>
    <row r="30" spans="1:14" x14ac:dyDescent="0.4">
      <c r="A30" s="5" t="s">
        <v>743</v>
      </c>
      <c r="B30" s="32" t="s">
        <v>715</v>
      </c>
      <c r="C30" s="33">
        <v>29</v>
      </c>
      <c r="D30" s="33" t="s">
        <v>701</v>
      </c>
      <c r="E30" s="35" t="s">
        <v>744</v>
      </c>
      <c r="F30" s="35" t="s">
        <v>752</v>
      </c>
      <c r="G30" s="36" t="s">
        <v>703</v>
      </c>
      <c r="H30" s="36" t="s">
        <v>703</v>
      </c>
      <c r="M30" s="34"/>
      <c r="N30" s="5" t="s">
        <v>751</v>
      </c>
    </row>
    <row r="31" spans="1:14" x14ac:dyDescent="0.4">
      <c r="A31" s="5" t="s">
        <v>743</v>
      </c>
      <c r="B31" s="32" t="s">
        <v>715</v>
      </c>
      <c r="C31" s="33">
        <v>30</v>
      </c>
      <c r="D31" s="33" t="s">
        <v>701</v>
      </c>
      <c r="E31" s="35" t="s">
        <v>744</v>
      </c>
      <c r="F31" s="35" t="s">
        <v>762</v>
      </c>
      <c r="G31" s="36" t="s">
        <v>703</v>
      </c>
      <c r="H31" s="36" t="s">
        <v>703</v>
      </c>
      <c r="M31" s="34"/>
      <c r="N31" s="5" t="s">
        <v>751</v>
      </c>
    </row>
    <row r="32" spans="1:14" s="2" customFormat="1" x14ac:dyDescent="0.4">
      <c r="A32" s="5" t="s">
        <v>743</v>
      </c>
      <c r="B32" s="32" t="s">
        <v>715</v>
      </c>
      <c r="C32" s="33">
        <v>71</v>
      </c>
      <c r="D32" s="33" t="s">
        <v>735</v>
      </c>
      <c r="E32" s="35" t="s">
        <v>754</v>
      </c>
      <c r="F32" s="35" t="s">
        <v>756</v>
      </c>
      <c r="G32" s="36" t="s">
        <v>703</v>
      </c>
      <c r="H32" s="36" t="s">
        <v>703</v>
      </c>
      <c r="I32" s="5"/>
      <c r="J32" s="5"/>
      <c r="K32" s="5"/>
      <c r="L32" s="5"/>
      <c r="M32" s="34"/>
      <c r="N32" s="5" t="s">
        <v>751</v>
      </c>
    </row>
    <row r="33" spans="1:14" s="2" customFormat="1" x14ac:dyDescent="0.4">
      <c r="A33" s="5" t="s">
        <v>743</v>
      </c>
      <c r="B33" s="32" t="s">
        <v>681</v>
      </c>
      <c r="C33" s="33">
        <v>72</v>
      </c>
      <c r="D33" s="33" t="s">
        <v>735</v>
      </c>
      <c r="E33" s="35" t="s">
        <v>754</v>
      </c>
      <c r="F33" s="35" t="s">
        <v>759</v>
      </c>
      <c r="G33" s="36" t="s">
        <v>703</v>
      </c>
      <c r="H33" s="36" t="s">
        <v>703</v>
      </c>
      <c r="I33" s="5"/>
      <c r="J33" s="5"/>
      <c r="K33" s="5"/>
      <c r="L33" s="5"/>
      <c r="M33" s="34"/>
      <c r="N33" s="5" t="s">
        <v>751</v>
      </c>
    </row>
    <row r="34" spans="1:14" s="2" customFormat="1" x14ac:dyDescent="0.4">
      <c r="A34" s="5" t="s">
        <v>763</v>
      </c>
      <c r="B34" s="33" t="s">
        <v>685</v>
      </c>
      <c r="C34" s="33">
        <v>19</v>
      </c>
      <c r="D34" s="33" t="s">
        <v>765</v>
      </c>
      <c r="E34" s="35" t="s">
        <v>764</v>
      </c>
      <c r="F34" s="35" t="s">
        <v>283</v>
      </c>
      <c r="G34" s="35" t="s">
        <v>703</v>
      </c>
      <c r="H34" s="35" t="s">
        <v>703</v>
      </c>
      <c r="I34" s="5"/>
      <c r="J34" s="5" t="s">
        <v>768</v>
      </c>
      <c r="K34" s="5" t="s">
        <v>768</v>
      </c>
      <c r="L34" s="5" t="s">
        <v>768</v>
      </c>
      <c r="M34" s="5" t="s">
        <v>768</v>
      </c>
      <c r="N34" s="5" t="s">
        <v>769</v>
      </c>
    </row>
    <row r="35" spans="1:14" s="2" customFormat="1" x14ac:dyDescent="0.4">
      <c r="A35" s="5" t="s">
        <v>770</v>
      </c>
      <c r="B35" s="38" t="s">
        <v>771</v>
      </c>
      <c r="C35" s="38">
        <v>18</v>
      </c>
      <c r="D35" s="38" t="s">
        <v>772</v>
      </c>
      <c r="E35" s="5" t="s">
        <v>773</v>
      </c>
      <c r="F35" s="5" t="s">
        <v>774</v>
      </c>
      <c r="G35" s="5" t="s">
        <v>703</v>
      </c>
      <c r="H35" s="5" t="s">
        <v>703</v>
      </c>
      <c r="I35" s="5"/>
      <c r="J35" s="5"/>
      <c r="K35" s="5" t="s">
        <v>775</v>
      </c>
      <c r="L35" s="5" t="s">
        <v>776</v>
      </c>
      <c r="M35" s="34" t="s">
        <v>777</v>
      </c>
      <c r="N35" s="5"/>
    </row>
    <row r="36" spans="1:14" s="2" customFormat="1" x14ac:dyDescent="0.4">
      <c r="A36" s="5" t="s">
        <v>778</v>
      </c>
      <c r="B36" s="32" t="s">
        <v>781</v>
      </c>
      <c r="C36" s="33">
        <v>97</v>
      </c>
      <c r="D36" s="33" t="s">
        <v>735</v>
      </c>
      <c r="E36" s="35" t="s">
        <v>782</v>
      </c>
      <c r="F36" s="35" t="s">
        <v>783</v>
      </c>
      <c r="G36" s="36" t="s">
        <v>703</v>
      </c>
      <c r="H36" s="36" t="s">
        <v>703</v>
      </c>
      <c r="I36" s="5"/>
      <c r="J36" s="5"/>
      <c r="K36" s="5"/>
      <c r="L36" s="5"/>
      <c r="M36" s="34"/>
      <c r="N36" s="5" t="s">
        <v>732</v>
      </c>
    </row>
    <row r="37" spans="1:14" s="2" customFormat="1" x14ac:dyDescent="0.4">
      <c r="A37" s="39" t="s">
        <v>787</v>
      </c>
      <c r="B37" s="32" t="s">
        <v>712</v>
      </c>
      <c r="C37" s="33">
        <v>82</v>
      </c>
      <c r="D37" s="33" t="s">
        <v>735</v>
      </c>
      <c r="E37" s="35" t="s">
        <v>728</v>
      </c>
      <c r="F37" s="35" t="s">
        <v>788</v>
      </c>
      <c r="G37" s="36" t="s">
        <v>703</v>
      </c>
      <c r="H37" s="36" t="s">
        <v>703</v>
      </c>
      <c r="I37" s="5"/>
      <c r="J37" s="5"/>
      <c r="K37" s="5"/>
      <c r="L37" s="5" t="s">
        <v>789</v>
      </c>
      <c r="M37" s="34" t="s">
        <v>790</v>
      </c>
      <c r="N37" s="5" t="s">
        <v>732</v>
      </c>
    </row>
    <row r="38" spans="1:14" s="2" customFormat="1" x14ac:dyDescent="0.4">
      <c r="A38" s="5" t="s">
        <v>795</v>
      </c>
      <c r="B38" s="32" t="s">
        <v>678</v>
      </c>
      <c r="C38" s="33">
        <v>94</v>
      </c>
      <c r="D38" s="33" t="s">
        <v>735</v>
      </c>
      <c r="E38" s="35" t="s">
        <v>728</v>
      </c>
      <c r="F38" s="35" t="s">
        <v>796</v>
      </c>
      <c r="G38" s="36" t="s">
        <v>703</v>
      </c>
      <c r="H38" s="36" t="s">
        <v>703</v>
      </c>
      <c r="I38" s="5"/>
      <c r="J38" s="5"/>
      <c r="K38" s="5"/>
      <c r="L38" s="5" t="s">
        <v>797</v>
      </c>
      <c r="M38" s="34">
        <v>44491</v>
      </c>
      <c r="N38" s="5" t="s">
        <v>794</v>
      </c>
    </row>
    <row r="39" spans="1:14" s="2" customFormat="1" x14ac:dyDescent="0.4">
      <c r="A39" s="5" t="s">
        <v>798</v>
      </c>
      <c r="B39" s="32" t="s">
        <v>715</v>
      </c>
      <c r="C39" s="33">
        <v>41</v>
      </c>
      <c r="D39" s="33" t="s">
        <v>728</v>
      </c>
      <c r="E39" s="35" t="s">
        <v>812</v>
      </c>
      <c r="F39" s="35" t="s">
        <v>813</v>
      </c>
      <c r="G39" s="5" t="s">
        <v>703</v>
      </c>
      <c r="H39" s="5" t="s">
        <v>703</v>
      </c>
      <c r="I39" s="5"/>
      <c r="J39" s="5"/>
      <c r="K39" s="5"/>
      <c r="L39" s="5"/>
      <c r="M39" s="34"/>
      <c r="N39" s="5" t="s">
        <v>803</v>
      </c>
    </row>
    <row r="40" spans="1:14" s="2" customFormat="1" x14ac:dyDescent="0.4">
      <c r="A40" s="5" t="s">
        <v>798</v>
      </c>
      <c r="B40" s="32" t="s">
        <v>715</v>
      </c>
      <c r="C40" s="33">
        <v>42</v>
      </c>
      <c r="D40" s="33" t="s">
        <v>735</v>
      </c>
      <c r="E40" s="35" t="s">
        <v>799</v>
      </c>
      <c r="F40" s="35" t="s">
        <v>805</v>
      </c>
      <c r="G40" s="5" t="s">
        <v>703</v>
      </c>
      <c r="H40" s="5" t="s">
        <v>703</v>
      </c>
      <c r="I40" s="5"/>
      <c r="J40" s="5"/>
      <c r="K40" s="5"/>
      <c r="L40" s="5"/>
      <c r="M40" s="34"/>
      <c r="N40" s="5" t="s">
        <v>803</v>
      </c>
    </row>
    <row r="41" spans="1:14" s="2" customFormat="1" x14ac:dyDescent="0.4">
      <c r="A41" s="36" t="s">
        <v>798</v>
      </c>
      <c r="B41" s="32" t="s">
        <v>681</v>
      </c>
      <c r="C41" s="33">
        <v>43</v>
      </c>
      <c r="D41" s="33" t="s">
        <v>735</v>
      </c>
      <c r="E41" s="35" t="s">
        <v>809</v>
      </c>
      <c r="F41" s="35" t="s">
        <v>814</v>
      </c>
      <c r="G41" s="5" t="s">
        <v>703</v>
      </c>
      <c r="H41" s="5" t="s">
        <v>703</v>
      </c>
      <c r="I41" s="5"/>
      <c r="J41" s="5"/>
      <c r="K41" s="5"/>
      <c r="L41" s="5"/>
      <c r="M41" s="34"/>
      <c r="N41" s="5" t="s">
        <v>808</v>
      </c>
    </row>
    <row r="42" spans="1:14" s="2" customFormat="1" x14ac:dyDescent="0.4">
      <c r="A42" s="40" t="s">
        <v>815</v>
      </c>
      <c r="B42" s="38" t="s">
        <v>738</v>
      </c>
      <c r="C42" s="38">
        <v>101</v>
      </c>
      <c r="D42" s="38" t="s">
        <v>739</v>
      </c>
      <c r="E42" s="5" t="s">
        <v>816</v>
      </c>
      <c r="F42" s="5" t="s">
        <v>817</v>
      </c>
      <c r="G42" s="5" t="s">
        <v>703</v>
      </c>
      <c r="H42" s="5" t="s">
        <v>703</v>
      </c>
      <c r="I42" s="5"/>
      <c r="J42" s="5"/>
      <c r="K42" s="5"/>
      <c r="L42" s="5" t="s">
        <v>818</v>
      </c>
      <c r="M42" s="34" t="s">
        <v>819</v>
      </c>
      <c r="N42" s="5" t="s">
        <v>820</v>
      </c>
    </row>
    <row r="43" spans="1:14" s="2" customFormat="1" x14ac:dyDescent="0.4">
      <c r="A43" s="40" t="s">
        <v>821</v>
      </c>
      <c r="B43" s="37" t="s">
        <v>678</v>
      </c>
      <c r="C43" s="38">
        <v>59</v>
      </c>
      <c r="D43" s="38" t="s">
        <v>735</v>
      </c>
      <c r="E43" s="5" t="s">
        <v>822</v>
      </c>
      <c r="F43" s="5" t="s">
        <v>823</v>
      </c>
      <c r="G43" s="36" t="s">
        <v>703</v>
      </c>
      <c r="H43" s="36" t="s">
        <v>703</v>
      </c>
      <c r="I43" s="5"/>
      <c r="J43" s="5"/>
      <c r="K43" s="5"/>
      <c r="L43" s="5" t="s">
        <v>824</v>
      </c>
      <c r="M43" s="34">
        <v>44252</v>
      </c>
      <c r="N43" s="5" t="s">
        <v>825</v>
      </c>
    </row>
    <row r="44" spans="1:14" s="2" customFormat="1" x14ac:dyDescent="0.4">
      <c r="A44" s="40" t="s">
        <v>815</v>
      </c>
      <c r="B44" s="37" t="s">
        <v>712</v>
      </c>
      <c r="C44" s="38">
        <v>84</v>
      </c>
      <c r="D44" s="38" t="s">
        <v>735</v>
      </c>
      <c r="E44" s="5" t="s">
        <v>826</v>
      </c>
      <c r="F44" s="5" t="s">
        <v>827</v>
      </c>
      <c r="G44" s="36"/>
      <c r="H44" s="36"/>
      <c r="I44" s="5"/>
      <c r="J44" s="5"/>
      <c r="K44" s="5"/>
      <c r="L44" s="5" t="s">
        <v>828</v>
      </c>
      <c r="M44" s="34">
        <v>44491</v>
      </c>
      <c r="N44" s="5" t="s">
        <v>829</v>
      </c>
    </row>
    <row r="45" spans="1:14" s="2" customFormat="1" x14ac:dyDescent="0.4">
      <c r="A45" s="40" t="s">
        <v>815</v>
      </c>
      <c r="B45" s="37" t="s">
        <v>712</v>
      </c>
      <c r="C45" s="38">
        <v>105</v>
      </c>
      <c r="D45" s="38" t="s">
        <v>735</v>
      </c>
      <c r="E45" s="5" t="s">
        <v>826</v>
      </c>
      <c r="F45" s="5" t="s">
        <v>830</v>
      </c>
      <c r="G45" s="36"/>
      <c r="H45" s="36"/>
      <c r="I45" s="5"/>
      <c r="J45" s="5"/>
      <c r="K45" s="5"/>
      <c r="L45" s="5" t="s">
        <v>831</v>
      </c>
      <c r="M45" s="34">
        <v>44491</v>
      </c>
      <c r="N45" s="5" t="s">
        <v>825</v>
      </c>
    </row>
    <row r="46" spans="1:14" s="2" customFormat="1" x14ac:dyDescent="0.4">
      <c r="A46" s="40" t="s">
        <v>815</v>
      </c>
      <c r="B46" s="32" t="s">
        <v>715</v>
      </c>
      <c r="C46" s="32">
        <v>118</v>
      </c>
      <c r="D46" s="32" t="s">
        <v>712</v>
      </c>
      <c r="E46" s="35" t="s">
        <v>723</v>
      </c>
      <c r="F46" s="35" t="s">
        <v>835</v>
      </c>
      <c r="G46" s="5" t="s">
        <v>703</v>
      </c>
      <c r="H46" s="5" t="s">
        <v>703</v>
      </c>
      <c r="I46" s="5"/>
      <c r="J46" s="5"/>
      <c r="K46" s="5"/>
      <c r="L46" s="5" t="s">
        <v>836</v>
      </c>
      <c r="M46" s="34">
        <v>44489</v>
      </c>
      <c r="N46" s="5" t="s">
        <v>834</v>
      </c>
    </row>
    <row r="47" spans="1:14" s="2" customFormat="1" x14ac:dyDescent="0.4">
      <c r="A47" s="40" t="s">
        <v>815</v>
      </c>
      <c r="B47" s="38" t="s">
        <v>771</v>
      </c>
      <c r="C47" s="38">
        <v>90</v>
      </c>
      <c r="D47" s="38" t="s">
        <v>772</v>
      </c>
      <c r="E47" s="5"/>
      <c r="F47" s="5" t="s">
        <v>837</v>
      </c>
      <c r="G47" s="5" t="s">
        <v>703</v>
      </c>
      <c r="H47" s="5" t="s">
        <v>703</v>
      </c>
      <c r="I47" s="5"/>
      <c r="J47" s="5"/>
      <c r="K47" s="5" t="s">
        <v>838</v>
      </c>
      <c r="L47" s="5" t="s">
        <v>839</v>
      </c>
      <c r="M47" s="34" t="s">
        <v>777</v>
      </c>
      <c r="N47" s="5"/>
    </row>
    <row r="48" spans="1:14" s="2" customFormat="1" x14ac:dyDescent="0.4">
      <c r="A48" s="36" t="s">
        <v>840</v>
      </c>
      <c r="B48" s="37" t="s">
        <v>841</v>
      </c>
      <c r="C48" s="38">
        <v>38</v>
      </c>
      <c r="D48" s="38" t="s">
        <v>842</v>
      </c>
      <c r="E48" s="5" t="s">
        <v>843</v>
      </c>
      <c r="F48" s="5" t="s">
        <v>844</v>
      </c>
      <c r="G48" s="5" t="s">
        <v>703</v>
      </c>
      <c r="H48" s="5" t="s">
        <v>703</v>
      </c>
      <c r="I48" s="5"/>
      <c r="J48" s="5"/>
      <c r="K48" s="5"/>
      <c r="L48" s="5" t="s">
        <v>845</v>
      </c>
      <c r="M48" s="34">
        <v>44481</v>
      </c>
      <c r="N48" s="5"/>
    </row>
    <row r="49" spans="1:14" s="2" customFormat="1" x14ac:dyDescent="0.4">
      <c r="A49" s="5" t="s">
        <v>840</v>
      </c>
      <c r="B49" s="37" t="s">
        <v>841</v>
      </c>
      <c r="C49" s="38">
        <v>39</v>
      </c>
      <c r="D49" s="38" t="s">
        <v>842</v>
      </c>
      <c r="E49" s="5" t="s">
        <v>842</v>
      </c>
      <c r="F49" s="5" t="s">
        <v>846</v>
      </c>
      <c r="G49" s="5" t="s">
        <v>703</v>
      </c>
      <c r="H49" s="5" t="s">
        <v>703</v>
      </c>
      <c r="I49" s="5"/>
      <c r="J49" s="5"/>
      <c r="K49" s="5"/>
      <c r="L49" s="5" t="s">
        <v>847</v>
      </c>
      <c r="M49" s="34">
        <v>44482</v>
      </c>
      <c r="N49" s="5"/>
    </row>
    <row r="50" spans="1:14" s="2" customFormat="1" x14ac:dyDescent="0.4">
      <c r="A50" s="5" t="s">
        <v>848</v>
      </c>
      <c r="B50" s="37" t="s">
        <v>841</v>
      </c>
      <c r="C50" s="38">
        <v>53</v>
      </c>
      <c r="D50" s="38" t="s">
        <v>843</v>
      </c>
      <c r="E50" s="5" t="s">
        <v>849</v>
      </c>
      <c r="F50" s="5" t="s">
        <v>850</v>
      </c>
      <c r="G50" s="5" t="s">
        <v>703</v>
      </c>
      <c r="H50" s="5" t="s">
        <v>703</v>
      </c>
      <c r="I50" s="5"/>
      <c r="J50" s="5"/>
      <c r="K50" s="5"/>
      <c r="L50" s="5" t="s">
        <v>851</v>
      </c>
      <c r="M50" s="34">
        <v>44481</v>
      </c>
      <c r="N50" s="5"/>
    </row>
    <row r="51" spans="1:14" x14ac:dyDescent="0.4">
      <c r="A51" s="5" t="s">
        <v>852</v>
      </c>
      <c r="B51" s="37" t="s">
        <v>684</v>
      </c>
      <c r="C51" s="38">
        <v>86</v>
      </c>
      <c r="D51" s="38" t="s">
        <v>853</v>
      </c>
      <c r="E51" s="5" t="s">
        <v>853</v>
      </c>
      <c r="F51" s="5" t="s">
        <v>854</v>
      </c>
      <c r="G51" s="5" t="s">
        <v>703</v>
      </c>
      <c r="H51" s="5" t="s">
        <v>703</v>
      </c>
      <c r="L51" s="5" t="s">
        <v>855</v>
      </c>
      <c r="M51" s="34"/>
      <c r="N51" s="5" t="s">
        <v>856</v>
      </c>
    </row>
    <row r="52" spans="1:14" x14ac:dyDescent="0.4">
      <c r="A52" s="5" t="s">
        <v>852</v>
      </c>
      <c r="B52" s="37" t="s">
        <v>684</v>
      </c>
      <c r="C52" s="38">
        <v>121</v>
      </c>
      <c r="D52" s="38" t="s">
        <v>857</v>
      </c>
      <c r="E52" s="5" t="s">
        <v>857</v>
      </c>
      <c r="F52" s="5" t="s">
        <v>858</v>
      </c>
      <c r="G52" s="5" t="s">
        <v>703</v>
      </c>
      <c r="H52" s="5" t="s">
        <v>703</v>
      </c>
      <c r="L52" s="5" t="s">
        <v>859</v>
      </c>
      <c r="N52" s="5" t="s">
        <v>856</v>
      </c>
    </row>
    <row r="53" spans="1:14" x14ac:dyDescent="0.4">
      <c r="A53" s="5" t="s">
        <v>852</v>
      </c>
      <c r="B53" s="37" t="s">
        <v>860</v>
      </c>
      <c r="C53" s="38">
        <v>122</v>
      </c>
      <c r="D53" s="38" t="s">
        <v>853</v>
      </c>
      <c r="E53" s="5" t="s">
        <v>853</v>
      </c>
      <c r="F53" s="5" t="s">
        <v>861</v>
      </c>
      <c r="G53" s="5" t="s">
        <v>703</v>
      </c>
      <c r="H53" s="5" t="s">
        <v>703</v>
      </c>
      <c r="L53" s="5" t="s">
        <v>862</v>
      </c>
      <c r="N53" s="5" t="s">
        <v>856</v>
      </c>
    </row>
    <row r="54" spans="1:14" s="2" customFormat="1" x14ac:dyDescent="0.4">
      <c r="A54" s="5" t="s">
        <v>863</v>
      </c>
      <c r="B54" s="38" t="s">
        <v>685</v>
      </c>
      <c r="C54" s="38">
        <v>20</v>
      </c>
      <c r="D54" s="38" t="s">
        <v>765</v>
      </c>
      <c r="E54" s="5" t="s">
        <v>864</v>
      </c>
      <c r="F54" s="5" t="s">
        <v>266</v>
      </c>
      <c r="G54" s="5" t="s">
        <v>703</v>
      </c>
      <c r="H54" s="5" t="s">
        <v>703</v>
      </c>
      <c r="I54" s="5"/>
      <c r="J54" s="5" t="s">
        <v>768</v>
      </c>
      <c r="K54" s="5" t="s">
        <v>768</v>
      </c>
      <c r="L54" s="5" t="s">
        <v>768</v>
      </c>
      <c r="M54" s="5" t="s">
        <v>768</v>
      </c>
      <c r="N54" s="5" t="s">
        <v>865</v>
      </c>
    </row>
    <row r="55" spans="1:14" s="2" customFormat="1" x14ac:dyDescent="0.4">
      <c r="A55" s="5" t="s">
        <v>866</v>
      </c>
      <c r="B55" s="38" t="s">
        <v>867</v>
      </c>
      <c r="C55" s="38">
        <v>68</v>
      </c>
      <c r="D55" s="38" t="s">
        <v>868</v>
      </c>
      <c r="E55" s="5" t="s">
        <v>868</v>
      </c>
      <c r="F55" s="5" t="s">
        <v>869</v>
      </c>
      <c r="G55" s="5" t="s">
        <v>703</v>
      </c>
      <c r="H55" s="5" t="s">
        <v>703</v>
      </c>
      <c r="I55" s="5"/>
      <c r="J55" s="5"/>
      <c r="K55" s="5"/>
      <c r="L55" s="5" t="s">
        <v>870</v>
      </c>
      <c r="M55" s="34">
        <v>43635</v>
      </c>
      <c r="N55" s="5"/>
    </row>
    <row r="56" spans="1:14" s="2" customFormat="1" x14ac:dyDescent="0.4">
      <c r="A56" s="5" t="s">
        <v>866</v>
      </c>
      <c r="B56" s="38" t="s">
        <v>867</v>
      </c>
      <c r="C56" s="38">
        <v>69</v>
      </c>
      <c r="D56" s="38" t="s">
        <v>868</v>
      </c>
      <c r="E56" s="5" t="s">
        <v>868</v>
      </c>
      <c r="F56" s="5" t="s">
        <v>871</v>
      </c>
      <c r="G56" s="5" t="s">
        <v>703</v>
      </c>
      <c r="H56" s="5" t="s">
        <v>703</v>
      </c>
      <c r="I56" s="5"/>
      <c r="J56" s="5"/>
      <c r="K56" s="5"/>
      <c r="L56" s="5" t="s">
        <v>872</v>
      </c>
      <c r="M56" s="34">
        <v>43635</v>
      </c>
      <c r="N56" s="5"/>
    </row>
    <row r="57" spans="1:14" s="2" customFormat="1" x14ac:dyDescent="0.4">
      <c r="A57" s="5" t="s">
        <v>866</v>
      </c>
      <c r="B57" s="38" t="s">
        <v>873</v>
      </c>
      <c r="C57" s="38">
        <v>70</v>
      </c>
      <c r="D57" s="38" t="s">
        <v>868</v>
      </c>
      <c r="E57" s="5" t="s">
        <v>868</v>
      </c>
      <c r="F57" s="5" t="s">
        <v>874</v>
      </c>
      <c r="G57" s="5" t="s">
        <v>703</v>
      </c>
      <c r="H57" s="5" t="s">
        <v>703</v>
      </c>
      <c r="I57" s="5"/>
      <c r="J57" s="5"/>
      <c r="K57" s="5"/>
      <c r="L57" s="5" t="s">
        <v>875</v>
      </c>
      <c r="M57" s="34">
        <v>43635</v>
      </c>
      <c r="N57" s="5"/>
    </row>
    <row r="58" spans="1:14" s="2" customFormat="1" x14ac:dyDescent="0.4">
      <c r="A58" s="5" t="s">
        <v>876</v>
      </c>
      <c r="B58" s="37" t="s">
        <v>684</v>
      </c>
      <c r="C58" s="38">
        <v>4</v>
      </c>
      <c r="D58" s="38" t="s">
        <v>853</v>
      </c>
      <c r="E58" s="5" t="s">
        <v>877</v>
      </c>
      <c r="F58" s="5" t="s">
        <v>878</v>
      </c>
      <c r="G58" s="5" t="s">
        <v>879</v>
      </c>
      <c r="H58" s="5" t="s">
        <v>880</v>
      </c>
      <c r="I58" s="5"/>
      <c r="J58" s="5"/>
      <c r="K58" s="5"/>
      <c r="L58" s="5" t="s">
        <v>881</v>
      </c>
      <c r="M58" s="34">
        <v>44204</v>
      </c>
      <c r="N58" s="5" t="s">
        <v>882</v>
      </c>
    </row>
    <row r="59" spans="1:14" s="2" customFormat="1" x14ac:dyDescent="0.4">
      <c r="A59" s="5" t="s">
        <v>876</v>
      </c>
      <c r="B59" s="37" t="s">
        <v>883</v>
      </c>
      <c r="C59" s="38">
        <v>6</v>
      </c>
      <c r="D59" s="38" t="s">
        <v>857</v>
      </c>
      <c r="E59" s="5" t="s">
        <v>877</v>
      </c>
      <c r="F59" s="5" t="s">
        <v>884</v>
      </c>
      <c r="G59" s="5" t="s">
        <v>880</v>
      </c>
      <c r="H59" s="5" t="s">
        <v>879</v>
      </c>
      <c r="I59" s="5"/>
      <c r="J59" s="5"/>
      <c r="K59" s="5"/>
      <c r="L59" s="5" t="s">
        <v>885</v>
      </c>
      <c r="M59" s="34">
        <v>44224</v>
      </c>
      <c r="N59" s="5" t="s">
        <v>886</v>
      </c>
    </row>
    <row r="60" spans="1:14" s="2" customFormat="1" x14ac:dyDescent="0.4">
      <c r="A60" s="5" t="s">
        <v>876</v>
      </c>
      <c r="B60" s="37" t="s">
        <v>883</v>
      </c>
      <c r="C60" s="38">
        <v>9</v>
      </c>
      <c r="D60" s="38" t="s">
        <v>857</v>
      </c>
      <c r="E60" s="5" t="s">
        <v>877</v>
      </c>
      <c r="F60" s="5" t="s">
        <v>887</v>
      </c>
      <c r="G60" s="5" t="s">
        <v>703</v>
      </c>
      <c r="H60" s="5" t="s">
        <v>703</v>
      </c>
      <c r="I60" s="5"/>
      <c r="J60" s="5"/>
      <c r="K60" s="5"/>
      <c r="L60" s="5" t="s">
        <v>888</v>
      </c>
      <c r="M60" s="34"/>
      <c r="N60" s="5" t="s">
        <v>889</v>
      </c>
    </row>
    <row r="61" spans="1:14" s="2" customFormat="1" x14ac:dyDescent="0.4">
      <c r="A61" s="5" t="s">
        <v>876</v>
      </c>
      <c r="B61" s="37" t="s">
        <v>684</v>
      </c>
      <c r="C61" s="38">
        <v>12</v>
      </c>
      <c r="D61" s="38" t="s">
        <v>853</v>
      </c>
      <c r="E61" s="5" t="s">
        <v>877</v>
      </c>
      <c r="F61" s="5" t="s">
        <v>890</v>
      </c>
      <c r="G61" s="5" t="s">
        <v>703</v>
      </c>
      <c r="H61" s="5" t="s">
        <v>703</v>
      </c>
      <c r="I61" s="5"/>
      <c r="J61" s="5"/>
      <c r="K61" s="5"/>
      <c r="L61" s="5" t="s">
        <v>891</v>
      </c>
      <c r="M61" s="34">
        <v>44193</v>
      </c>
      <c r="N61" s="5" t="s">
        <v>882</v>
      </c>
    </row>
    <row r="62" spans="1:14" s="2" customFormat="1" x14ac:dyDescent="0.4">
      <c r="A62" s="5" t="s">
        <v>876</v>
      </c>
      <c r="B62" s="37" t="s">
        <v>684</v>
      </c>
      <c r="C62" s="38">
        <v>21</v>
      </c>
      <c r="D62" s="38" t="s">
        <v>857</v>
      </c>
      <c r="E62" s="5" t="s">
        <v>892</v>
      </c>
      <c r="F62" s="5" t="s">
        <v>893</v>
      </c>
      <c r="G62" s="5" t="s">
        <v>703</v>
      </c>
      <c r="H62" s="5" t="s">
        <v>703</v>
      </c>
      <c r="I62" s="5"/>
      <c r="J62" s="5"/>
      <c r="K62" s="5"/>
      <c r="L62" s="5" t="s">
        <v>894</v>
      </c>
      <c r="M62" s="34">
        <v>44193</v>
      </c>
      <c r="N62" s="5" t="s">
        <v>886</v>
      </c>
    </row>
    <row r="63" spans="1:14" s="2" customFormat="1" x14ac:dyDescent="0.4">
      <c r="A63" s="5" t="s">
        <v>876</v>
      </c>
      <c r="B63" s="37" t="s">
        <v>684</v>
      </c>
      <c r="C63" s="38">
        <v>24</v>
      </c>
      <c r="D63" s="38" t="s">
        <v>857</v>
      </c>
      <c r="E63" s="5" t="s">
        <v>895</v>
      </c>
      <c r="F63" s="5" t="s">
        <v>896</v>
      </c>
      <c r="G63" s="5" t="s">
        <v>703</v>
      </c>
      <c r="H63" s="5" t="s">
        <v>703</v>
      </c>
      <c r="I63" s="5"/>
      <c r="J63" s="5"/>
      <c r="K63" s="5"/>
      <c r="L63" s="5" t="s">
        <v>897</v>
      </c>
      <c r="M63" s="34">
        <v>44204</v>
      </c>
      <c r="N63" s="5" t="s">
        <v>882</v>
      </c>
    </row>
    <row r="64" spans="1:14" s="2" customFormat="1" x14ac:dyDescent="0.4">
      <c r="A64" s="5" t="s">
        <v>876</v>
      </c>
      <c r="B64" s="37" t="s">
        <v>883</v>
      </c>
      <c r="C64" s="38">
        <v>25</v>
      </c>
      <c r="D64" s="38" t="s">
        <v>857</v>
      </c>
      <c r="E64" s="5" t="s">
        <v>895</v>
      </c>
      <c r="F64" s="5" t="s">
        <v>898</v>
      </c>
      <c r="G64" s="5" t="s">
        <v>703</v>
      </c>
      <c r="H64" s="5" t="s">
        <v>703</v>
      </c>
      <c r="I64" s="5"/>
      <c r="J64" s="5"/>
      <c r="K64" s="5"/>
      <c r="L64" s="5" t="s">
        <v>899</v>
      </c>
      <c r="M64" s="34">
        <v>44193</v>
      </c>
      <c r="N64" s="5" t="s">
        <v>886</v>
      </c>
    </row>
    <row r="65" spans="1:14" s="2" customFormat="1" x14ac:dyDescent="0.4">
      <c r="A65" s="5" t="s">
        <v>876</v>
      </c>
      <c r="B65" s="37" t="s">
        <v>883</v>
      </c>
      <c r="C65" s="38">
        <v>44</v>
      </c>
      <c r="D65" s="38" t="s">
        <v>853</v>
      </c>
      <c r="E65" s="5" t="s">
        <v>877</v>
      </c>
      <c r="F65" s="5" t="s">
        <v>900</v>
      </c>
      <c r="G65" s="5" t="s">
        <v>703</v>
      </c>
      <c r="H65" s="5" t="s">
        <v>703</v>
      </c>
      <c r="I65" s="5"/>
      <c r="J65" s="5"/>
      <c r="K65" s="5"/>
      <c r="L65" s="5" t="s">
        <v>901</v>
      </c>
      <c r="M65" s="34">
        <v>44204</v>
      </c>
      <c r="N65" s="5" t="s">
        <v>882</v>
      </c>
    </row>
    <row r="66" spans="1:14" s="2" customFormat="1" x14ac:dyDescent="0.4">
      <c r="A66" s="5" t="s">
        <v>876</v>
      </c>
      <c r="B66" s="37" t="s">
        <v>684</v>
      </c>
      <c r="C66" s="38">
        <v>63</v>
      </c>
      <c r="D66" s="38" t="s">
        <v>857</v>
      </c>
      <c r="E66" s="5" t="s">
        <v>892</v>
      </c>
      <c r="F66" s="5" t="s">
        <v>902</v>
      </c>
      <c r="G66" s="5" t="s">
        <v>703</v>
      </c>
      <c r="H66" s="5" t="s">
        <v>703</v>
      </c>
      <c r="I66" s="5"/>
      <c r="J66" s="5"/>
      <c r="K66" s="5"/>
      <c r="L66" s="5" t="s">
        <v>903</v>
      </c>
      <c r="M66" s="34"/>
      <c r="N66" s="5" t="s">
        <v>904</v>
      </c>
    </row>
    <row r="67" spans="1:14" s="2" customFormat="1" x14ac:dyDescent="0.4">
      <c r="A67" s="5" t="s">
        <v>876</v>
      </c>
      <c r="B67" s="37" t="s">
        <v>684</v>
      </c>
      <c r="C67" s="38">
        <v>65</v>
      </c>
      <c r="D67" s="38" t="s">
        <v>857</v>
      </c>
      <c r="E67" s="5" t="s">
        <v>892</v>
      </c>
      <c r="F67" s="5" t="s">
        <v>905</v>
      </c>
      <c r="G67" s="5" t="s">
        <v>703</v>
      </c>
      <c r="H67" s="5" t="s">
        <v>703</v>
      </c>
      <c r="I67" s="5"/>
      <c r="J67" s="5"/>
      <c r="K67" s="5"/>
      <c r="L67" s="5" t="s">
        <v>906</v>
      </c>
      <c r="M67" s="34">
        <v>44193</v>
      </c>
      <c r="N67" s="5" t="s">
        <v>907</v>
      </c>
    </row>
    <row r="68" spans="1:14" s="2" customFormat="1" x14ac:dyDescent="0.4">
      <c r="A68" s="5" t="s">
        <v>876</v>
      </c>
      <c r="B68" s="37" t="s">
        <v>684</v>
      </c>
      <c r="C68" s="38">
        <v>87</v>
      </c>
      <c r="D68" s="38" t="s">
        <v>853</v>
      </c>
      <c r="E68" s="5" t="s">
        <v>877</v>
      </c>
      <c r="F68" s="5" t="s">
        <v>908</v>
      </c>
      <c r="G68" s="5" t="s">
        <v>703</v>
      </c>
      <c r="H68" s="5" t="s">
        <v>703</v>
      </c>
      <c r="I68" s="5"/>
      <c r="J68" s="5"/>
      <c r="K68" s="5"/>
      <c r="L68" s="5" t="s">
        <v>909</v>
      </c>
      <c r="M68" s="34">
        <v>44193</v>
      </c>
      <c r="N68" s="5" t="s">
        <v>907</v>
      </c>
    </row>
    <row r="69" spans="1:14" s="2" customFormat="1" x14ac:dyDescent="0.4">
      <c r="A69" s="5" t="s">
        <v>876</v>
      </c>
      <c r="B69" s="37" t="s">
        <v>883</v>
      </c>
      <c r="C69" s="38">
        <v>96</v>
      </c>
      <c r="D69" s="38" t="s">
        <v>857</v>
      </c>
      <c r="E69" s="5" t="s">
        <v>892</v>
      </c>
      <c r="F69" s="5" t="s">
        <v>910</v>
      </c>
      <c r="G69" s="5" t="s">
        <v>703</v>
      </c>
      <c r="H69" s="5" t="s">
        <v>703</v>
      </c>
      <c r="I69" s="5"/>
      <c r="J69" s="5"/>
      <c r="K69" s="5"/>
      <c r="L69" s="5" t="s">
        <v>911</v>
      </c>
      <c r="M69" s="34">
        <v>44204</v>
      </c>
      <c r="N69" s="5" t="s">
        <v>907</v>
      </c>
    </row>
    <row r="70" spans="1:14" x14ac:dyDescent="0.4">
      <c r="A70" s="5" t="s">
        <v>876</v>
      </c>
      <c r="B70" s="37" t="s">
        <v>684</v>
      </c>
      <c r="C70" s="38">
        <v>107</v>
      </c>
      <c r="D70" s="38" t="s">
        <v>857</v>
      </c>
      <c r="E70" s="5" t="s">
        <v>877</v>
      </c>
      <c r="F70" s="5" t="s">
        <v>912</v>
      </c>
      <c r="G70" s="5" t="s">
        <v>703</v>
      </c>
      <c r="H70" s="5" t="s">
        <v>703</v>
      </c>
      <c r="L70" s="5" t="s">
        <v>913</v>
      </c>
      <c r="M70" s="34">
        <v>44193</v>
      </c>
      <c r="N70" s="5" t="s">
        <v>907</v>
      </c>
    </row>
    <row r="71" spans="1:14" x14ac:dyDescent="0.4">
      <c r="A71" s="5" t="s">
        <v>914</v>
      </c>
      <c r="B71" s="32" t="s">
        <v>681</v>
      </c>
      <c r="C71" s="33">
        <v>85</v>
      </c>
      <c r="D71" s="33" t="s">
        <v>735</v>
      </c>
      <c r="E71" s="35" t="s">
        <v>920</v>
      </c>
      <c r="F71" s="35" t="s">
        <v>916</v>
      </c>
      <c r="G71" s="5" t="s">
        <v>703</v>
      </c>
      <c r="H71" s="5" t="s">
        <v>703</v>
      </c>
      <c r="M71" s="34"/>
      <c r="N71" s="5" t="s">
        <v>919</v>
      </c>
    </row>
    <row r="72" spans="1:14" x14ac:dyDescent="0.4">
      <c r="A72" s="5" t="s">
        <v>921</v>
      </c>
      <c r="B72" s="38" t="s">
        <v>685</v>
      </c>
      <c r="C72" s="38">
        <v>50</v>
      </c>
      <c r="D72" s="38" t="s">
        <v>765</v>
      </c>
      <c r="E72" s="5" t="s">
        <v>922</v>
      </c>
      <c r="F72" s="5" t="s">
        <v>923</v>
      </c>
      <c r="G72" s="5" t="s">
        <v>703</v>
      </c>
      <c r="H72" s="5" t="s">
        <v>703</v>
      </c>
      <c r="J72" s="5" t="s">
        <v>768</v>
      </c>
      <c r="K72" s="5" t="s">
        <v>768</v>
      </c>
      <c r="L72" s="5" t="s">
        <v>768</v>
      </c>
      <c r="M72" s="5" t="s">
        <v>768</v>
      </c>
      <c r="N72" s="5" t="s">
        <v>924</v>
      </c>
    </row>
    <row r="73" spans="1:14" x14ac:dyDescent="0.4">
      <c r="A73" s="2" t="s">
        <v>1238</v>
      </c>
      <c r="B73" s="2" t="s">
        <v>1241</v>
      </c>
      <c r="C73" s="2"/>
      <c r="E73" s="2"/>
      <c r="F73" s="2" t="s">
        <v>1240</v>
      </c>
      <c r="G73" s="2"/>
      <c r="L73" s="2" t="s">
        <v>1236</v>
      </c>
    </row>
    <row r="74" spans="1:14" x14ac:dyDescent="0.4">
      <c r="A74" s="2" t="s">
        <v>1238</v>
      </c>
      <c r="B74" s="2" t="s">
        <v>1241</v>
      </c>
      <c r="C74" s="2"/>
      <c r="E74" s="2"/>
      <c r="F74" s="2" t="s">
        <v>1242</v>
      </c>
      <c r="G74" s="2"/>
      <c r="L74" s="2" t="s">
        <v>1236</v>
      </c>
    </row>
    <row r="75" spans="1:14" x14ac:dyDescent="0.4">
      <c r="A75" s="2" t="s">
        <v>1238</v>
      </c>
      <c r="B75" s="2" t="s">
        <v>1244</v>
      </c>
      <c r="C75" s="2"/>
      <c r="E75" s="2"/>
      <c r="F75" s="2" t="s">
        <v>1243</v>
      </c>
      <c r="G75" s="2"/>
      <c r="L75" s="2" t="s">
        <v>1236</v>
      </c>
    </row>
    <row r="76" spans="1:14" x14ac:dyDescent="0.4">
      <c r="A76" s="2" t="s">
        <v>1238</v>
      </c>
      <c r="B76" s="2" t="s">
        <v>1244</v>
      </c>
      <c r="C76" s="2"/>
      <c r="E76" s="2"/>
      <c r="F76" s="2" t="s">
        <v>1245</v>
      </c>
      <c r="G76" s="2"/>
      <c r="L76" s="2" t="s">
        <v>1236</v>
      </c>
    </row>
    <row r="77" spans="1:14" x14ac:dyDescent="0.4">
      <c r="A77" s="2" t="s">
        <v>1238</v>
      </c>
      <c r="B77" s="2" t="s">
        <v>1247</v>
      </c>
      <c r="C77" s="2"/>
      <c r="E77" s="2"/>
      <c r="F77" s="2" t="s">
        <v>1246</v>
      </c>
      <c r="G77" s="2"/>
      <c r="L77" s="2" t="s">
        <v>1236</v>
      </c>
    </row>
    <row r="78" spans="1:14" x14ac:dyDescent="0.4">
      <c r="A78" s="2" t="s">
        <v>1238</v>
      </c>
      <c r="B78" s="2" t="s">
        <v>1249</v>
      </c>
      <c r="C78" s="2"/>
      <c r="E78" s="2"/>
      <c r="F78" s="2" t="s">
        <v>1248</v>
      </c>
      <c r="G78" s="2"/>
      <c r="L78" s="2" t="s">
        <v>1236</v>
      </c>
    </row>
    <row r="79" spans="1:14" x14ac:dyDescent="0.4">
      <c r="A79" s="2" t="s">
        <v>1238</v>
      </c>
      <c r="B79" s="2" t="s">
        <v>1251</v>
      </c>
      <c r="C79" s="2"/>
      <c r="E79" s="2"/>
      <c r="F79" s="2" t="s">
        <v>1250</v>
      </c>
      <c r="G79" s="2"/>
      <c r="L79" s="2" t="s">
        <v>1236</v>
      </c>
    </row>
    <row r="80" spans="1:14" x14ac:dyDescent="0.4">
      <c r="A80" s="2" t="s">
        <v>1238</v>
      </c>
      <c r="B80" s="2" t="s">
        <v>1253</v>
      </c>
      <c r="C80" s="2"/>
      <c r="E80" s="2"/>
      <c r="F80" s="2" t="s">
        <v>1252</v>
      </c>
      <c r="G80" s="2"/>
      <c r="L80" s="2" t="s">
        <v>1236</v>
      </c>
    </row>
    <row r="81" spans="1:13" x14ac:dyDescent="0.4">
      <c r="A81" s="2" t="s">
        <v>1239</v>
      </c>
      <c r="B81" s="2" t="s">
        <v>1255</v>
      </c>
      <c r="C81" s="2"/>
      <c r="E81" s="2"/>
      <c r="F81" s="2" t="s">
        <v>1254</v>
      </c>
      <c r="G81" s="2"/>
      <c r="L81" s="2" t="s">
        <v>1237</v>
      </c>
      <c r="M81" s="34">
        <v>44860</v>
      </c>
    </row>
    <row r="82" spans="1:13" x14ac:dyDescent="0.4">
      <c r="A82" s="2" t="s">
        <v>1238</v>
      </c>
      <c r="B82" s="2" t="s">
        <v>1257</v>
      </c>
      <c r="C82" s="2"/>
      <c r="E82" s="2"/>
      <c r="F82" s="2" t="s">
        <v>1256</v>
      </c>
      <c r="G82" s="2"/>
      <c r="L82" s="2" t="s">
        <v>1236</v>
      </c>
    </row>
    <row r="83" spans="1:13" x14ac:dyDescent="0.4">
      <c r="A83" s="2" t="s">
        <v>1239</v>
      </c>
      <c r="B83" s="2" t="s">
        <v>1259</v>
      </c>
      <c r="C83" s="2"/>
      <c r="E83" s="2"/>
      <c r="F83" s="2" t="s">
        <v>1258</v>
      </c>
      <c r="G83" s="2"/>
      <c r="L83" s="2" t="s">
        <v>1237</v>
      </c>
      <c r="M83" s="34">
        <v>44635</v>
      </c>
    </row>
    <row r="84" spans="1:13" x14ac:dyDescent="0.4">
      <c r="A84" s="2" t="s">
        <v>1239</v>
      </c>
      <c r="B84" s="2" t="s">
        <v>1259</v>
      </c>
      <c r="C84" s="2"/>
      <c r="E84" s="2"/>
      <c r="F84" s="2" t="s">
        <v>1260</v>
      </c>
      <c r="G84" s="2"/>
      <c r="L84" s="2" t="s">
        <v>1237</v>
      </c>
      <c r="M84" s="34">
        <v>44635</v>
      </c>
    </row>
    <row r="85" spans="1:13" x14ac:dyDescent="0.4">
      <c r="A85" s="2" t="s">
        <v>1239</v>
      </c>
      <c r="B85" s="2" t="s">
        <v>1259</v>
      </c>
      <c r="C85" s="2"/>
      <c r="E85" s="2"/>
      <c r="F85" s="2" t="s">
        <v>1261</v>
      </c>
      <c r="G85" s="2"/>
      <c r="L85" s="2" t="s">
        <v>1237</v>
      </c>
      <c r="M85" s="34">
        <v>44635</v>
      </c>
    </row>
    <row r="86" spans="1:13" x14ac:dyDescent="0.4">
      <c r="A86" s="2" t="s">
        <v>1239</v>
      </c>
      <c r="B86" s="2" t="s">
        <v>1259</v>
      </c>
      <c r="C86" s="2"/>
      <c r="E86" s="2"/>
      <c r="F86" s="2" t="s">
        <v>1262</v>
      </c>
      <c r="G86" s="2"/>
      <c r="L86" s="2" t="s">
        <v>1237</v>
      </c>
      <c r="M86" s="34">
        <v>44635</v>
      </c>
    </row>
    <row r="87" spans="1:13" x14ac:dyDescent="0.4">
      <c r="A87" s="2" t="s">
        <v>1239</v>
      </c>
      <c r="B87" s="2" t="s">
        <v>1259</v>
      </c>
      <c r="C87" s="2"/>
      <c r="E87" s="2"/>
      <c r="F87" s="2" t="s">
        <v>1263</v>
      </c>
      <c r="G87" s="2"/>
      <c r="L87" s="2" t="s">
        <v>1237</v>
      </c>
      <c r="M87" s="34">
        <v>44635</v>
      </c>
    </row>
    <row r="88" spans="1:13" x14ac:dyDescent="0.4">
      <c r="A88" s="2" t="s">
        <v>1239</v>
      </c>
      <c r="B88" s="2" t="s">
        <v>1259</v>
      </c>
      <c r="C88" s="2"/>
      <c r="E88" s="2"/>
      <c r="F88" s="2" t="s">
        <v>1264</v>
      </c>
      <c r="G88" s="2"/>
      <c r="L88" s="2" t="s">
        <v>1237</v>
      </c>
      <c r="M88" s="34">
        <v>44635</v>
      </c>
    </row>
    <row r="89" spans="1:13" x14ac:dyDescent="0.4">
      <c r="A89" s="2" t="s">
        <v>1239</v>
      </c>
      <c r="B89" s="2" t="s">
        <v>1259</v>
      </c>
      <c r="C89" s="2"/>
      <c r="E89" s="2"/>
      <c r="F89" s="2" t="s">
        <v>1265</v>
      </c>
      <c r="G89" s="2"/>
      <c r="L89" s="2" t="s">
        <v>1237</v>
      </c>
      <c r="M89" s="34">
        <v>44635</v>
      </c>
    </row>
  </sheetData>
  <autoFilter ref="A1:N72">
    <sortState ref="A2:N72">
      <sortCondition sortBy="cellColor" ref="F1:F72" dxfId="0"/>
    </sortState>
  </autoFilter>
  <phoneticPr fontId="8" type="noConversion"/>
  <dataValidations count="5">
    <dataValidation type="custom" showInputMessage="1" showErrorMessage="1" errorTitle="데이터미보유" error="데이터 미보유시에만 사유를 작성할 수 있습니다." sqref="I69">
      <formula1>ISERROR(FIND("O",G69))</formula1>
    </dataValidation>
    <dataValidation type="list" allowBlank="1" showInputMessage="1" showErrorMessage="1" error="입력값은 대문자 &quot;O&quot;, 대문자&quot;X&quot;만 허용 됩니다." promptTitle="데이터 보유 여부 &quot;O&quot;, &quot;X&quot; 입력" sqref="G4:G28 G32:G50 G54:G69">
      <formula1>"O,X"</formula1>
    </dataValidation>
    <dataValidation type="custom" showInputMessage="1" showErrorMessage="1" errorTitle="데이터미등록" error="데이터 미등록시에만 사유를 작성할 수 있습니다." sqref="J4:J28 J32:J50 J54:J69">
      <formula1>ISERROR(FIND("O",H4))</formula1>
    </dataValidation>
    <dataValidation type="list" allowBlank="1" showInputMessage="1" showErrorMessage="1" error="입력값은 대문자 &quot;O&quot;, 대문자&quot;X&quot;만 허용 됩니다._x000a_데이터 보유현황이 &quot;X&quot; 인 경우 등록여부는 &quot;O&quot;일 수 없습니다." promptTitle="데이터 보유 여부 &quot;O&quot;, &quot;X&quot; 입력" sqref="H4:H28 H32:H50 H54:H69">
      <formula1>목록등록관리시스템등록여부확인</formula1>
    </dataValidation>
    <dataValidation type="custom" allowBlank="1" showInputMessage="1" showErrorMessage="1" errorTitle="데이터미보유" error="데이터 미보유시에만 사유를 작성할 수 있습니다." sqref="I4:I28 I32:I50 I54:I68">
      <formula1>ISERROR(FIND("O",G4))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6"/>
  <sheetViews>
    <sheetView workbookViewId="0">
      <selection activeCell="E21" sqref="E21"/>
    </sheetView>
  </sheetViews>
  <sheetFormatPr defaultRowHeight="17.399999999999999" x14ac:dyDescent="0.4"/>
  <cols>
    <col min="1" max="1" width="10.3984375" style="5" bestFit="1" customWidth="1"/>
    <col min="2" max="2" width="10.8984375" style="5" bestFit="1" customWidth="1"/>
    <col min="3" max="3" width="43.19921875" style="5" customWidth="1"/>
    <col min="4" max="4" width="10.8984375" style="5" bestFit="1" customWidth="1"/>
    <col min="5" max="5" width="12.3984375" style="5" bestFit="1" customWidth="1"/>
    <col min="6" max="7" width="8.796875" style="5"/>
    <col min="8" max="8" width="10.8984375" style="5" bestFit="1" customWidth="1"/>
    <col min="9" max="9" width="14.3984375" style="5" bestFit="1" customWidth="1"/>
    <col min="10" max="10" width="13.19921875" style="5" bestFit="1" customWidth="1"/>
    <col min="11" max="11" width="23.09765625" style="5" customWidth="1"/>
    <col min="12" max="12" width="18.5" style="5" customWidth="1"/>
    <col min="13" max="16384" width="8.796875" style="5"/>
  </cols>
  <sheetData>
    <row r="1" spans="1:12" x14ac:dyDescent="0.4">
      <c r="A1" s="41" t="s">
        <v>925</v>
      </c>
      <c r="B1" s="41" t="s">
        <v>926</v>
      </c>
      <c r="C1" s="41" t="s">
        <v>927</v>
      </c>
      <c r="D1" s="41" t="s">
        <v>928</v>
      </c>
      <c r="E1" s="41" t="s">
        <v>0</v>
      </c>
      <c r="F1" s="41" t="s">
        <v>929</v>
      </c>
      <c r="G1" s="41" t="s">
        <v>930</v>
      </c>
      <c r="H1" s="41" t="s">
        <v>931</v>
      </c>
      <c r="I1" s="41" t="s">
        <v>932</v>
      </c>
      <c r="J1" s="41" t="s">
        <v>933</v>
      </c>
      <c r="K1" s="42" t="s">
        <v>994</v>
      </c>
      <c r="L1" s="106" t="s">
        <v>1231</v>
      </c>
    </row>
    <row r="2" spans="1:12" x14ac:dyDescent="0.4">
      <c r="A2" s="2" t="s">
        <v>934</v>
      </c>
      <c r="B2" s="2" t="s">
        <v>935</v>
      </c>
      <c r="C2" s="43" t="s">
        <v>936</v>
      </c>
      <c r="D2" s="20">
        <v>43982</v>
      </c>
      <c r="E2" s="2" t="s">
        <v>739</v>
      </c>
      <c r="F2" s="2" t="s">
        <v>937</v>
      </c>
      <c r="G2" s="2" t="s">
        <v>938</v>
      </c>
      <c r="H2" s="20">
        <v>44025</v>
      </c>
      <c r="I2" s="105">
        <v>44209</v>
      </c>
      <c r="J2" s="20">
        <v>44025</v>
      </c>
      <c r="K2" s="5" t="s">
        <v>939</v>
      </c>
      <c r="L2" s="5" t="s">
        <v>1230</v>
      </c>
    </row>
    <row r="3" spans="1:12" x14ac:dyDescent="0.4">
      <c r="A3" s="2" t="s">
        <v>934</v>
      </c>
      <c r="B3" s="2" t="s">
        <v>935</v>
      </c>
      <c r="C3" s="2" t="s">
        <v>940</v>
      </c>
      <c r="D3" s="20">
        <v>44469</v>
      </c>
      <c r="E3" s="2" t="s">
        <v>701</v>
      </c>
      <c r="F3" s="2" t="s">
        <v>941</v>
      </c>
      <c r="G3" s="2" t="s">
        <v>938</v>
      </c>
      <c r="H3" s="20">
        <v>44491</v>
      </c>
      <c r="I3" s="20">
        <v>44856</v>
      </c>
      <c r="J3" s="20">
        <v>44491</v>
      </c>
    </row>
    <row r="4" spans="1:12" x14ac:dyDescent="0.4">
      <c r="A4" s="2" t="s">
        <v>934</v>
      </c>
      <c r="B4" s="2" t="s">
        <v>935</v>
      </c>
      <c r="C4" s="2" t="s">
        <v>942</v>
      </c>
      <c r="D4" s="20">
        <v>44491</v>
      </c>
      <c r="E4" s="2" t="s">
        <v>701</v>
      </c>
      <c r="F4" s="2" t="s">
        <v>941</v>
      </c>
      <c r="G4" s="2" t="s">
        <v>938</v>
      </c>
      <c r="H4" s="20">
        <v>44491</v>
      </c>
      <c r="I4" s="20">
        <v>44856</v>
      </c>
      <c r="J4" s="20">
        <v>44491</v>
      </c>
    </row>
    <row r="5" spans="1:12" x14ac:dyDescent="0.4">
      <c r="A5" s="2" t="s">
        <v>934</v>
      </c>
      <c r="B5" s="2" t="s">
        <v>943</v>
      </c>
      <c r="C5" s="2" t="s">
        <v>944</v>
      </c>
      <c r="D5" s="20">
        <v>44485</v>
      </c>
      <c r="E5" s="2" t="s">
        <v>701</v>
      </c>
      <c r="F5" s="2" t="s">
        <v>941</v>
      </c>
      <c r="G5" s="2" t="s">
        <v>938</v>
      </c>
      <c r="H5" s="20">
        <v>44491</v>
      </c>
      <c r="I5" s="20">
        <v>44667</v>
      </c>
      <c r="J5" s="20">
        <v>44491</v>
      </c>
      <c r="L5" s="5" t="s">
        <v>1229</v>
      </c>
    </row>
    <row r="6" spans="1:12" x14ac:dyDescent="0.4">
      <c r="A6" s="2" t="s">
        <v>934</v>
      </c>
      <c r="B6" s="2" t="s">
        <v>943</v>
      </c>
      <c r="C6" s="2" t="s">
        <v>945</v>
      </c>
      <c r="D6" s="20">
        <v>44491</v>
      </c>
      <c r="E6" s="2" t="s">
        <v>701</v>
      </c>
      <c r="F6" s="2" t="s">
        <v>941</v>
      </c>
      <c r="G6" s="2" t="s">
        <v>938</v>
      </c>
      <c r="H6" s="20">
        <v>44491</v>
      </c>
      <c r="I6" s="20">
        <v>44673</v>
      </c>
      <c r="J6" s="20">
        <v>44491</v>
      </c>
      <c r="L6" s="5" t="s">
        <v>1229</v>
      </c>
    </row>
    <row r="7" spans="1:12" x14ac:dyDescent="0.4">
      <c r="A7" s="2" t="s">
        <v>934</v>
      </c>
      <c r="B7" s="2" t="s">
        <v>935</v>
      </c>
      <c r="C7" s="43" t="s">
        <v>946</v>
      </c>
      <c r="D7" s="20">
        <v>44489</v>
      </c>
      <c r="E7" s="2" t="s">
        <v>701</v>
      </c>
      <c r="F7" s="2" t="s">
        <v>941</v>
      </c>
      <c r="G7" s="2" t="s">
        <v>938</v>
      </c>
      <c r="H7" s="20">
        <v>44491</v>
      </c>
      <c r="I7" s="20">
        <v>44671</v>
      </c>
      <c r="J7" s="20">
        <v>44491</v>
      </c>
      <c r="K7" s="5" t="s">
        <v>939</v>
      </c>
    </row>
    <row r="8" spans="1:12" x14ac:dyDescent="0.4">
      <c r="A8" s="2" t="s">
        <v>934</v>
      </c>
      <c r="B8" s="2" t="s">
        <v>935</v>
      </c>
      <c r="C8" s="2" t="s">
        <v>947</v>
      </c>
      <c r="D8" s="20">
        <v>44491</v>
      </c>
      <c r="E8" s="2" t="s">
        <v>701</v>
      </c>
      <c r="F8" s="2" t="s">
        <v>941</v>
      </c>
      <c r="G8" s="2" t="s">
        <v>938</v>
      </c>
      <c r="H8" s="20">
        <v>44491</v>
      </c>
      <c r="I8" s="20">
        <v>44856</v>
      </c>
      <c r="J8" s="20">
        <v>44491</v>
      </c>
    </row>
    <row r="9" spans="1:12" x14ac:dyDescent="0.4">
      <c r="A9" s="2" t="s">
        <v>934</v>
      </c>
      <c r="B9" s="2" t="s">
        <v>943</v>
      </c>
      <c r="C9" s="2" t="s">
        <v>948</v>
      </c>
      <c r="D9" s="20">
        <v>43704</v>
      </c>
      <c r="E9" s="2" t="s">
        <v>701</v>
      </c>
      <c r="F9" s="2" t="s">
        <v>941</v>
      </c>
      <c r="G9" s="2" t="s">
        <v>938</v>
      </c>
      <c r="H9" s="20">
        <v>43705</v>
      </c>
      <c r="I9" s="105">
        <v>43888</v>
      </c>
      <c r="J9" s="2" t="s">
        <v>949</v>
      </c>
      <c r="L9" s="5" t="s">
        <v>1232</v>
      </c>
    </row>
    <row r="10" spans="1:12" x14ac:dyDescent="0.4">
      <c r="A10" s="2" t="s">
        <v>934</v>
      </c>
      <c r="B10" s="2" t="s">
        <v>935</v>
      </c>
      <c r="C10" s="2" t="s">
        <v>950</v>
      </c>
      <c r="D10" s="20">
        <v>43334</v>
      </c>
      <c r="E10" s="2" t="s">
        <v>701</v>
      </c>
      <c r="F10" s="2" t="s">
        <v>937</v>
      </c>
      <c r="G10" s="2" t="s">
        <v>938</v>
      </c>
      <c r="H10" s="20">
        <v>43370</v>
      </c>
      <c r="I10" s="105">
        <v>43518</v>
      </c>
      <c r="J10" s="2" t="s">
        <v>949</v>
      </c>
      <c r="L10" s="5" t="s">
        <v>1233</v>
      </c>
    </row>
    <row r="11" spans="1:12" x14ac:dyDescent="0.4">
      <c r="A11" s="2" t="s">
        <v>934</v>
      </c>
      <c r="B11" s="2" t="s">
        <v>935</v>
      </c>
      <c r="C11" s="36" t="s">
        <v>951</v>
      </c>
      <c r="D11" s="20">
        <v>44481</v>
      </c>
      <c r="E11" s="2" t="s">
        <v>952</v>
      </c>
      <c r="F11" s="2" t="s">
        <v>937</v>
      </c>
      <c r="G11" s="2" t="s">
        <v>938</v>
      </c>
      <c r="H11" s="20">
        <v>44489</v>
      </c>
      <c r="I11" s="20">
        <v>44663</v>
      </c>
      <c r="J11" s="20">
        <v>44489</v>
      </c>
      <c r="L11" s="5" t="s">
        <v>1234</v>
      </c>
    </row>
    <row r="12" spans="1:12" x14ac:dyDescent="0.4">
      <c r="A12" s="2" t="s">
        <v>934</v>
      </c>
      <c r="B12" s="2" t="s">
        <v>943</v>
      </c>
      <c r="C12" s="2" t="s">
        <v>953</v>
      </c>
      <c r="D12" s="20">
        <v>44417</v>
      </c>
      <c r="E12" s="2" t="s">
        <v>952</v>
      </c>
      <c r="F12" s="2" t="s">
        <v>941</v>
      </c>
      <c r="G12" s="2" t="s">
        <v>938</v>
      </c>
      <c r="H12" s="20">
        <v>44417</v>
      </c>
      <c r="I12" s="20">
        <v>44601</v>
      </c>
      <c r="J12" s="20">
        <v>44417</v>
      </c>
    </row>
    <row r="13" spans="1:12" x14ac:dyDescent="0.4">
      <c r="A13" s="2" t="s">
        <v>934</v>
      </c>
      <c r="B13" s="2" t="s">
        <v>935</v>
      </c>
      <c r="C13" s="2" t="s">
        <v>954</v>
      </c>
      <c r="D13" s="20">
        <v>44357</v>
      </c>
      <c r="E13" s="2" t="s">
        <v>952</v>
      </c>
      <c r="F13" s="2" t="s">
        <v>941</v>
      </c>
      <c r="G13" s="2" t="s">
        <v>938</v>
      </c>
      <c r="H13" s="20">
        <v>44365</v>
      </c>
      <c r="I13" s="20">
        <v>44722</v>
      </c>
      <c r="J13" s="20">
        <v>44372</v>
      </c>
    </row>
    <row r="14" spans="1:12" x14ac:dyDescent="0.4">
      <c r="A14" s="2" t="s">
        <v>934</v>
      </c>
      <c r="B14" s="2" t="s">
        <v>955</v>
      </c>
      <c r="C14" s="43" t="s">
        <v>839</v>
      </c>
      <c r="D14" s="20">
        <v>44488</v>
      </c>
      <c r="E14" s="2" t="s">
        <v>772</v>
      </c>
      <c r="F14" s="2" t="s">
        <v>941</v>
      </c>
      <c r="G14" s="2" t="s">
        <v>938</v>
      </c>
      <c r="H14" s="20">
        <v>44494</v>
      </c>
      <c r="I14" s="20">
        <v>44853</v>
      </c>
      <c r="J14" s="20">
        <v>44494</v>
      </c>
      <c r="K14" s="5" t="s">
        <v>939</v>
      </c>
    </row>
    <row r="15" spans="1:12" x14ac:dyDescent="0.4">
      <c r="A15" s="2" t="s">
        <v>934</v>
      </c>
      <c r="B15" s="2" t="s">
        <v>956</v>
      </c>
      <c r="C15" s="2" t="s">
        <v>957</v>
      </c>
      <c r="D15" s="20">
        <v>44491</v>
      </c>
      <c r="E15" s="2" t="s">
        <v>773</v>
      </c>
      <c r="F15" s="2" t="s">
        <v>941</v>
      </c>
      <c r="G15" s="2" t="s">
        <v>938</v>
      </c>
      <c r="H15" s="20">
        <v>44491</v>
      </c>
      <c r="I15" s="20">
        <v>44673</v>
      </c>
      <c r="J15" s="20">
        <v>44494</v>
      </c>
      <c r="L15" s="5" t="s">
        <v>1235</v>
      </c>
    </row>
    <row r="16" spans="1:12" x14ac:dyDescent="0.4">
      <c r="A16" s="2" t="s">
        <v>934</v>
      </c>
      <c r="B16" s="2" t="s">
        <v>943</v>
      </c>
      <c r="C16" s="43" t="s">
        <v>958</v>
      </c>
      <c r="D16" s="20">
        <v>44249</v>
      </c>
      <c r="E16" s="2" t="s">
        <v>959</v>
      </c>
      <c r="F16" s="2" t="s">
        <v>937</v>
      </c>
      <c r="G16" s="2" t="s">
        <v>938</v>
      </c>
      <c r="H16" s="20">
        <v>44252</v>
      </c>
      <c r="I16" s="105">
        <v>44430</v>
      </c>
      <c r="J16" s="20">
        <v>44252</v>
      </c>
      <c r="K16" s="5" t="s">
        <v>939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Q253"/>
  <sheetViews>
    <sheetView zoomScaleNormal="100" workbookViewId="0">
      <pane xSplit="2" ySplit="5" topLeftCell="C138" activePane="bottomRight" state="frozen"/>
      <selection pane="topRight" activeCell="C1" sqref="C1"/>
      <selection pane="bottomLeft" activeCell="A6" sqref="A6"/>
      <selection pane="bottomRight" activeCell="F159" sqref="F159"/>
    </sheetView>
  </sheetViews>
  <sheetFormatPr defaultRowHeight="17.399999999999999" x14ac:dyDescent="0.4"/>
  <cols>
    <col min="1" max="1" width="8.796875" style="69"/>
    <col min="2" max="2" width="22.69921875" style="69" customWidth="1"/>
    <col min="3" max="59" width="14.69921875" style="69" customWidth="1"/>
    <col min="60" max="60" width="16.19921875" style="69" customWidth="1"/>
    <col min="61" max="61" width="15.19921875" style="69" customWidth="1"/>
    <col min="62" max="62" width="12.69921875" style="69" customWidth="1"/>
    <col min="63" max="63" width="15" style="69" bestFit="1" customWidth="1"/>
    <col min="64" max="66" width="8.796875" style="69"/>
    <col min="67" max="67" width="10.8984375" style="69" bestFit="1" customWidth="1"/>
    <col min="68" max="68" width="8.796875" style="69"/>
    <col min="69" max="69" width="10.8984375" style="69" bestFit="1" customWidth="1"/>
    <col min="70" max="16384" width="8.796875" style="69"/>
  </cols>
  <sheetData>
    <row r="1" spans="1:69" ht="18" customHeight="1" thickBot="1" x14ac:dyDescent="0.45">
      <c r="B1" s="103" t="s">
        <v>1069</v>
      </c>
      <c r="C1" s="104">
        <v>44500</v>
      </c>
      <c r="D1" s="145" t="s">
        <v>1224</v>
      </c>
      <c r="E1" s="146"/>
      <c r="BN1" s="103" t="s">
        <v>1223</v>
      </c>
      <c r="BO1" s="102">
        <f>C1</f>
        <v>44500</v>
      </c>
    </row>
    <row r="2" spans="1:69" ht="18" thickBot="1" x14ac:dyDescent="0.45">
      <c r="B2" s="96" t="s">
        <v>1222</v>
      </c>
      <c r="C2" s="101" t="s">
        <v>1065</v>
      </c>
      <c r="D2" s="101" t="s">
        <v>1066</v>
      </c>
      <c r="E2" s="101" t="s">
        <v>1065</v>
      </c>
      <c r="F2" s="101" t="s">
        <v>1067</v>
      </c>
      <c r="G2" s="101" t="s">
        <v>1067</v>
      </c>
      <c r="H2" s="101" t="s">
        <v>1066</v>
      </c>
      <c r="I2" s="101" t="s">
        <v>1066</v>
      </c>
      <c r="J2" s="101" t="s">
        <v>1067</v>
      </c>
      <c r="K2" s="101" t="s">
        <v>1065</v>
      </c>
      <c r="L2" s="101" t="s">
        <v>1066</v>
      </c>
      <c r="M2" s="101" t="s">
        <v>1067</v>
      </c>
      <c r="N2" s="101" t="s">
        <v>1066</v>
      </c>
      <c r="O2" s="101" t="s">
        <v>1066</v>
      </c>
      <c r="P2" s="101" t="s">
        <v>1066</v>
      </c>
      <c r="Q2" s="101" t="s">
        <v>1066</v>
      </c>
      <c r="R2" s="101" t="s">
        <v>1066</v>
      </c>
      <c r="S2" s="101" t="s">
        <v>1066</v>
      </c>
      <c r="T2" s="101" t="s">
        <v>1066</v>
      </c>
      <c r="U2" s="101" t="s">
        <v>1066</v>
      </c>
      <c r="V2" s="101" t="s">
        <v>1066</v>
      </c>
      <c r="W2" s="101" t="s">
        <v>1065</v>
      </c>
      <c r="X2" s="101" t="s">
        <v>1066</v>
      </c>
      <c r="Y2" s="101" t="s">
        <v>1065</v>
      </c>
      <c r="Z2" s="101" t="s">
        <v>1066</v>
      </c>
      <c r="AA2" s="101" t="s">
        <v>1066</v>
      </c>
      <c r="AB2" s="101" t="s">
        <v>1066</v>
      </c>
      <c r="AC2" s="101" t="s">
        <v>1066</v>
      </c>
      <c r="AD2" s="101" t="s">
        <v>1066</v>
      </c>
      <c r="AE2" s="101" t="s">
        <v>1066</v>
      </c>
      <c r="AF2" s="101" t="s">
        <v>1065</v>
      </c>
      <c r="AG2" s="101" t="s">
        <v>1065</v>
      </c>
      <c r="AH2" s="101" t="s">
        <v>1065</v>
      </c>
      <c r="AI2" s="101" t="s">
        <v>1066</v>
      </c>
      <c r="AJ2" s="101" t="s">
        <v>1066</v>
      </c>
      <c r="AK2" s="101" t="s">
        <v>1066</v>
      </c>
      <c r="AL2" s="101" t="s">
        <v>1067</v>
      </c>
      <c r="AM2" s="101" t="s">
        <v>1065</v>
      </c>
      <c r="AN2" s="101" t="s">
        <v>1065</v>
      </c>
      <c r="AO2" s="101" t="s">
        <v>1066</v>
      </c>
      <c r="AP2" s="101" t="s">
        <v>1065</v>
      </c>
      <c r="AQ2" s="101" t="s">
        <v>1066</v>
      </c>
      <c r="AR2" s="101" t="s">
        <v>1065</v>
      </c>
      <c r="AS2" s="101" t="s">
        <v>1065</v>
      </c>
      <c r="AT2" s="101" t="s">
        <v>1065</v>
      </c>
      <c r="AU2" s="101" t="s">
        <v>1065</v>
      </c>
      <c r="AV2" s="101" t="s">
        <v>1066</v>
      </c>
      <c r="AW2" s="101" t="s">
        <v>1066</v>
      </c>
      <c r="AX2" s="101" t="s">
        <v>1066</v>
      </c>
      <c r="AY2" s="101" t="s">
        <v>1065</v>
      </c>
      <c r="AZ2" s="101" t="s">
        <v>1065</v>
      </c>
      <c r="BA2" s="101" t="s">
        <v>1065</v>
      </c>
      <c r="BB2" s="101" t="s">
        <v>1065</v>
      </c>
      <c r="BC2" s="101" t="s">
        <v>1065</v>
      </c>
      <c r="BD2" s="101" t="s">
        <v>1065</v>
      </c>
      <c r="BE2" s="101" t="s">
        <v>1065</v>
      </c>
      <c r="BF2" s="101" t="s">
        <v>1066</v>
      </c>
      <c r="BG2" s="101" t="s">
        <v>1065</v>
      </c>
      <c r="BH2" s="101" t="s">
        <v>1066</v>
      </c>
      <c r="BI2" s="101" t="s">
        <v>1066</v>
      </c>
      <c r="BJ2" s="101" t="s">
        <v>1068</v>
      </c>
      <c r="BN2" s="96" t="s">
        <v>1222</v>
      </c>
      <c r="BO2" s="96" t="s">
        <v>1221</v>
      </c>
    </row>
    <row r="3" spans="1:69" ht="18" thickBot="1" x14ac:dyDescent="0.45">
      <c r="B3" s="96" t="s">
        <v>1220</v>
      </c>
      <c r="C3" s="71">
        <v>44317</v>
      </c>
      <c r="D3" s="71">
        <v>44135</v>
      </c>
      <c r="E3" s="71">
        <v>44317</v>
      </c>
      <c r="F3" s="71">
        <v>44408</v>
      </c>
      <c r="G3" s="71">
        <v>44408</v>
      </c>
      <c r="H3" s="71">
        <v>44135</v>
      </c>
      <c r="I3" s="71">
        <v>44135</v>
      </c>
      <c r="J3" s="71">
        <v>44408</v>
      </c>
      <c r="K3" s="71">
        <v>44317</v>
      </c>
      <c r="L3" s="71">
        <v>44135</v>
      </c>
      <c r="M3" s="71">
        <v>44408</v>
      </c>
      <c r="N3" s="71">
        <v>44135</v>
      </c>
      <c r="O3" s="71">
        <v>44135</v>
      </c>
      <c r="P3" s="71">
        <v>44135</v>
      </c>
      <c r="Q3" s="71">
        <v>44135</v>
      </c>
      <c r="R3" s="71">
        <v>44135</v>
      </c>
      <c r="S3" s="71">
        <v>44135</v>
      </c>
      <c r="T3" s="71">
        <v>44135</v>
      </c>
      <c r="U3" s="71">
        <v>44135</v>
      </c>
      <c r="V3" s="71">
        <v>44135</v>
      </c>
      <c r="W3" s="71">
        <v>44317</v>
      </c>
      <c r="X3" s="71">
        <v>44135</v>
      </c>
      <c r="Y3" s="71">
        <v>44317</v>
      </c>
      <c r="Z3" s="71">
        <v>44135</v>
      </c>
      <c r="AA3" s="71">
        <v>44135</v>
      </c>
      <c r="AB3" s="71">
        <v>44135</v>
      </c>
      <c r="AC3" s="71">
        <v>44135</v>
      </c>
      <c r="AD3" s="71">
        <v>44135</v>
      </c>
      <c r="AE3" s="71">
        <v>44135</v>
      </c>
      <c r="AF3" s="71">
        <v>44317</v>
      </c>
      <c r="AG3" s="71">
        <v>44317</v>
      </c>
      <c r="AH3" s="71">
        <v>44317</v>
      </c>
      <c r="AI3" s="71">
        <v>44135</v>
      </c>
      <c r="AJ3" s="71">
        <v>44135</v>
      </c>
      <c r="AK3" s="71">
        <v>44135</v>
      </c>
      <c r="AL3" s="71">
        <v>44408</v>
      </c>
      <c r="AM3" s="71">
        <v>44317</v>
      </c>
      <c r="AN3" s="71">
        <v>44317</v>
      </c>
      <c r="AO3" s="71">
        <v>44135</v>
      </c>
      <c r="AP3" s="71">
        <v>44317</v>
      </c>
      <c r="AQ3" s="71">
        <v>44135</v>
      </c>
      <c r="AR3" s="71">
        <v>44317</v>
      </c>
      <c r="AS3" s="71">
        <v>44317</v>
      </c>
      <c r="AT3" s="71">
        <v>44317</v>
      </c>
      <c r="AU3" s="71">
        <v>44317</v>
      </c>
      <c r="AV3" s="71">
        <v>44135</v>
      </c>
      <c r="AW3" s="71">
        <v>44135</v>
      </c>
      <c r="AX3" s="71">
        <v>44135</v>
      </c>
      <c r="AY3" s="71">
        <v>44317</v>
      </c>
      <c r="AZ3" s="71">
        <v>44317</v>
      </c>
      <c r="BA3" s="71">
        <v>44317</v>
      </c>
      <c r="BB3" s="71">
        <v>44317</v>
      </c>
      <c r="BC3" s="71">
        <v>44317</v>
      </c>
      <c r="BD3" s="71">
        <v>44317</v>
      </c>
      <c r="BE3" s="71">
        <v>44317</v>
      </c>
      <c r="BF3" s="71">
        <v>44135</v>
      </c>
      <c r="BG3" s="71">
        <v>44317</v>
      </c>
      <c r="BH3" s="71">
        <v>44135</v>
      </c>
      <c r="BI3" s="71">
        <v>44135</v>
      </c>
      <c r="BJ3" s="71">
        <v>44317</v>
      </c>
      <c r="BN3" s="100" t="s">
        <v>1219</v>
      </c>
      <c r="BO3" s="98">
        <f>DATE(YEAR($BO$1),MONTH($BO$1)-12,DAY($BO$1))</f>
        <v>44135</v>
      </c>
    </row>
    <row r="4" spans="1:69" ht="18" thickBot="1" x14ac:dyDescent="0.45">
      <c r="B4" s="96" t="s">
        <v>1070</v>
      </c>
      <c r="C4" s="69">
        <f t="shared" ref="C4:AH4" si="0">COUNTA(C6:C250)</f>
        <v>224</v>
      </c>
      <c r="D4" s="69">
        <f t="shared" si="0"/>
        <v>232</v>
      </c>
      <c r="E4" s="69">
        <f t="shared" si="0"/>
        <v>229</v>
      </c>
      <c r="F4" s="69">
        <f t="shared" si="0"/>
        <v>223</v>
      </c>
      <c r="G4" s="69">
        <f t="shared" si="0"/>
        <v>212</v>
      </c>
      <c r="H4" s="69">
        <f t="shared" si="0"/>
        <v>207</v>
      </c>
      <c r="I4" s="69">
        <f t="shared" si="0"/>
        <v>237</v>
      </c>
      <c r="J4" s="69">
        <f t="shared" si="0"/>
        <v>227</v>
      </c>
      <c r="K4" s="69">
        <f t="shared" si="0"/>
        <v>114</v>
      </c>
      <c r="L4" s="69">
        <f t="shared" si="0"/>
        <v>176</v>
      </c>
      <c r="M4" s="69">
        <f t="shared" si="0"/>
        <v>224</v>
      </c>
      <c r="N4" s="69">
        <f t="shared" si="0"/>
        <v>227</v>
      </c>
      <c r="O4" s="69">
        <f t="shared" si="0"/>
        <v>88</v>
      </c>
      <c r="P4" s="69">
        <f t="shared" si="0"/>
        <v>215</v>
      </c>
      <c r="Q4" s="69">
        <f t="shared" si="0"/>
        <v>184</v>
      </c>
      <c r="R4" s="69">
        <f t="shared" si="0"/>
        <v>110</v>
      </c>
      <c r="S4" s="69">
        <f t="shared" si="0"/>
        <v>208</v>
      </c>
      <c r="T4" s="69">
        <f t="shared" si="0"/>
        <v>146</v>
      </c>
      <c r="U4" s="69">
        <f t="shared" si="0"/>
        <v>227</v>
      </c>
      <c r="V4" s="69">
        <f t="shared" si="0"/>
        <v>208</v>
      </c>
      <c r="W4" s="69">
        <f t="shared" si="0"/>
        <v>49</v>
      </c>
      <c r="X4" s="69">
        <f t="shared" si="0"/>
        <v>93</v>
      </c>
      <c r="Y4" s="69">
        <f t="shared" si="0"/>
        <v>45</v>
      </c>
      <c r="Z4" s="69">
        <f t="shared" si="0"/>
        <v>142</v>
      </c>
      <c r="AA4" s="69">
        <f t="shared" si="0"/>
        <v>192</v>
      </c>
      <c r="AB4" s="69">
        <f t="shared" si="0"/>
        <v>233</v>
      </c>
      <c r="AC4" s="69">
        <f t="shared" si="0"/>
        <v>150</v>
      </c>
      <c r="AD4" s="69">
        <f t="shared" si="0"/>
        <v>160</v>
      </c>
      <c r="AE4" s="69">
        <f t="shared" si="0"/>
        <v>143</v>
      </c>
      <c r="AF4" s="69">
        <f t="shared" si="0"/>
        <v>53</v>
      </c>
      <c r="AG4" s="69">
        <f t="shared" si="0"/>
        <v>123</v>
      </c>
      <c r="AH4" s="69">
        <f t="shared" si="0"/>
        <v>167</v>
      </c>
      <c r="AI4" s="69">
        <f t="shared" ref="AI4:BJ4" si="1">COUNTA(AI6:AI250)</f>
        <v>184</v>
      </c>
      <c r="AJ4" s="69">
        <f t="shared" si="1"/>
        <v>227</v>
      </c>
      <c r="AK4" s="69">
        <f t="shared" si="1"/>
        <v>39</v>
      </c>
      <c r="AL4" s="69">
        <f t="shared" si="1"/>
        <v>13</v>
      </c>
      <c r="AM4" s="69">
        <f t="shared" si="1"/>
        <v>88</v>
      </c>
      <c r="AN4" s="69">
        <f t="shared" si="1"/>
        <v>44</v>
      </c>
      <c r="AO4" s="69">
        <f t="shared" si="1"/>
        <v>21</v>
      </c>
      <c r="AP4" s="69">
        <f t="shared" si="1"/>
        <v>53</v>
      </c>
      <c r="AQ4" s="69">
        <f t="shared" si="1"/>
        <v>61</v>
      </c>
      <c r="AR4" s="69">
        <f t="shared" si="1"/>
        <v>104</v>
      </c>
      <c r="AS4" s="69">
        <f t="shared" si="1"/>
        <v>41</v>
      </c>
      <c r="AT4" s="69">
        <f t="shared" si="1"/>
        <v>21</v>
      </c>
      <c r="AU4" s="69">
        <f t="shared" si="1"/>
        <v>217</v>
      </c>
      <c r="AV4" s="69">
        <f t="shared" si="1"/>
        <v>27</v>
      </c>
      <c r="AW4" s="69">
        <f t="shared" si="1"/>
        <v>134</v>
      </c>
      <c r="AX4" s="69">
        <f t="shared" si="1"/>
        <v>104</v>
      </c>
      <c r="AY4" s="69">
        <f t="shared" si="1"/>
        <v>140</v>
      </c>
      <c r="AZ4" s="69">
        <f t="shared" si="1"/>
        <v>24</v>
      </c>
      <c r="BA4" s="69">
        <f t="shared" si="1"/>
        <v>150</v>
      </c>
      <c r="BB4" s="69">
        <f t="shared" si="1"/>
        <v>200</v>
      </c>
      <c r="BC4" s="69">
        <f t="shared" si="1"/>
        <v>93</v>
      </c>
      <c r="BD4" s="69">
        <f t="shared" si="1"/>
        <v>53</v>
      </c>
      <c r="BE4" s="69">
        <f t="shared" si="1"/>
        <v>62</v>
      </c>
      <c r="BF4" s="69">
        <f t="shared" si="1"/>
        <v>12</v>
      </c>
      <c r="BG4" s="69">
        <f t="shared" si="1"/>
        <v>121</v>
      </c>
      <c r="BH4" s="69">
        <f t="shared" si="1"/>
        <v>53</v>
      </c>
      <c r="BI4" s="69">
        <f t="shared" si="1"/>
        <v>17</v>
      </c>
      <c r="BJ4" s="69">
        <f t="shared" si="1"/>
        <v>19</v>
      </c>
      <c r="BN4" s="99" t="s">
        <v>1218</v>
      </c>
      <c r="BO4" s="98">
        <f>DATE(YEAR($BO$1),MONTH($BO$1)-6,DAY($BO$1))</f>
        <v>44317</v>
      </c>
      <c r="BQ4" s="97"/>
    </row>
    <row r="5" spans="1:69" ht="17.399999999999999" customHeight="1" thickBot="1" x14ac:dyDescent="0.45">
      <c r="A5" s="86" t="s">
        <v>1217</v>
      </c>
      <c r="B5" s="96" t="s">
        <v>1216</v>
      </c>
      <c r="C5" s="94" t="s">
        <v>1002</v>
      </c>
      <c r="D5" s="94" t="s">
        <v>1215</v>
      </c>
      <c r="E5" s="94" t="s">
        <v>1004</v>
      </c>
      <c r="F5" s="94" t="s">
        <v>1214</v>
      </c>
      <c r="G5" s="94" t="s">
        <v>1213</v>
      </c>
      <c r="H5" s="94" t="s">
        <v>1007</v>
      </c>
      <c r="I5" s="94" t="s">
        <v>1212</v>
      </c>
      <c r="J5" s="94" t="s">
        <v>1211</v>
      </c>
      <c r="K5" s="94" t="s">
        <v>1210</v>
      </c>
      <c r="L5" s="94" t="s">
        <v>1209</v>
      </c>
      <c r="M5" s="94" t="s">
        <v>1208</v>
      </c>
      <c r="N5" s="94" t="s">
        <v>1207</v>
      </c>
      <c r="O5" s="94" t="s">
        <v>1206</v>
      </c>
      <c r="P5" s="94" t="s">
        <v>1205</v>
      </c>
      <c r="Q5" s="94" t="s">
        <v>1204</v>
      </c>
      <c r="R5" s="94" t="s">
        <v>1203</v>
      </c>
      <c r="S5" s="94" t="s">
        <v>1202</v>
      </c>
      <c r="T5" s="94" t="s">
        <v>1201</v>
      </c>
      <c r="U5" s="94" t="s">
        <v>1200</v>
      </c>
      <c r="V5" s="94" t="s">
        <v>1199</v>
      </c>
      <c r="W5" s="92" t="s">
        <v>1198</v>
      </c>
      <c r="X5" s="94" t="s">
        <v>1023</v>
      </c>
      <c r="Y5" s="94" t="s">
        <v>1197</v>
      </c>
      <c r="Z5" s="94" t="s">
        <v>1196</v>
      </c>
      <c r="AA5" s="94" t="s">
        <v>1195</v>
      </c>
      <c r="AB5" s="94" t="s">
        <v>1194</v>
      </c>
      <c r="AC5" s="94" t="s">
        <v>1193</v>
      </c>
      <c r="AD5" s="94" t="s">
        <v>1192</v>
      </c>
      <c r="AE5" s="94" t="s">
        <v>1191</v>
      </c>
      <c r="AF5" s="94" t="s">
        <v>1190</v>
      </c>
      <c r="AG5" s="94" t="s">
        <v>1189</v>
      </c>
      <c r="AH5" s="94" t="s">
        <v>1188</v>
      </c>
      <c r="AI5" s="94" t="s">
        <v>1187</v>
      </c>
      <c r="AJ5" s="94" t="s">
        <v>1186</v>
      </c>
      <c r="AK5" s="94" t="s">
        <v>1185</v>
      </c>
      <c r="AL5" s="94" t="s">
        <v>1037</v>
      </c>
      <c r="AM5" s="94" t="s">
        <v>1184</v>
      </c>
      <c r="AN5" s="94" t="s">
        <v>1183</v>
      </c>
      <c r="AO5" s="94" t="s">
        <v>1182</v>
      </c>
      <c r="AP5" s="94" t="s">
        <v>1181</v>
      </c>
      <c r="AQ5" s="94" t="s">
        <v>1180</v>
      </c>
      <c r="AR5" s="94" t="s">
        <v>1179</v>
      </c>
      <c r="AS5" s="94" t="s">
        <v>1178</v>
      </c>
      <c r="AT5" s="94" t="s">
        <v>1177</v>
      </c>
      <c r="AU5" s="94" t="s">
        <v>1176</v>
      </c>
      <c r="AV5" s="94" t="s">
        <v>1175</v>
      </c>
      <c r="AW5" s="93" t="s">
        <v>1174</v>
      </c>
      <c r="AX5" s="93" t="s">
        <v>1173</v>
      </c>
      <c r="AY5" s="93" t="s">
        <v>1172</v>
      </c>
      <c r="AZ5" s="93" t="s">
        <v>1171</v>
      </c>
      <c r="BA5" s="92" t="s">
        <v>1170</v>
      </c>
      <c r="BB5" s="95" t="s">
        <v>1169</v>
      </c>
      <c r="BC5" s="94" t="s">
        <v>1168</v>
      </c>
      <c r="BD5" s="93" t="s">
        <v>1054</v>
      </c>
      <c r="BE5" s="94" t="s">
        <v>1167</v>
      </c>
      <c r="BF5" s="93" t="s">
        <v>1166</v>
      </c>
      <c r="BG5" s="92" t="s">
        <v>1057</v>
      </c>
      <c r="BH5" s="91" t="s">
        <v>1165</v>
      </c>
      <c r="BI5" s="91" t="s">
        <v>1059</v>
      </c>
      <c r="BJ5" s="90" t="s">
        <v>1164</v>
      </c>
      <c r="BK5" s="89" t="s">
        <v>1163</v>
      </c>
      <c r="BN5" s="88" t="s">
        <v>1162</v>
      </c>
      <c r="BO5" s="87">
        <f>DATE(YEAR(BO1),MONTH(BO1)-3,DAY(BO1))</f>
        <v>44408</v>
      </c>
    </row>
    <row r="6" spans="1:69" x14ac:dyDescent="0.4">
      <c r="A6" s="86">
        <v>6110000</v>
      </c>
      <c r="B6" s="75" t="s">
        <v>1</v>
      </c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0"/>
      <c r="BL6" s="70"/>
      <c r="BM6" s="70"/>
      <c r="BN6" s="70"/>
      <c r="BO6" s="70"/>
    </row>
    <row r="7" spans="1:69" x14ac:dyDescent="0.4">
      <c r="A7" s="86">
        <v>3000000</v>
      </c>
      <c r="B7" s="74" t="s">
        <v>22</v>
      </c>
      <c r="C7" s="72">
        <v>44279</v>
      </c>
      <c r="D7" s="71">
        <v>44386</v>
      </c>
      <c r="E7" s="72">
        <v>44225</v>
      </c>
      <c r="F7" s="71">
        <v>44503</v>
      </c>
      <c r="G7" s="71"/>
      <c r="H7" s="71">
        <v>44390</v>
      </c>
      <c r="I7" s="71">
        <v>44308</v>
      </c>
      <c r="J7" s="72">
        <v>44361</v>
      </c>
      <c r="K7" s="71"/>
      <c r="L7" s="71">
        <v>44280</v>
      </c>
      <c r="M7" s="71">
        <v>44502</v>
      </c>
      <c r="N7" s="71">
        <v>44389</v>
      </c>
      <c r="O7" s="71"/>
      <c r="P7" s="71">
        <v>44385</v>
      </c>
      <c r="Q7" s="71">
        <v>44379</v>
      </c>
      <c r="R7" s="71"/>
      <c r="S7" s="71">
        <v>44383</v>
      </c>
      <c r="T7" s="71"/>
      <c r="U7" s="71">
        <v>44384</v>
      </c>
      <c r="V7" s="71"/>
      <c r="W7" s="72">
        <v>44280</v>
      </c>
      <c r="X7" s="71">
        <v>44383</v>
      </c>
      <c r="Y7" s="71"/>
      <c r="Z7" s="71"/>
      <c r="AA7" s="71">
        <v>44445</v>
      </c>
      <c r="AB7" s="71">
        <v>44384</v>
      </c>
      <c r="AC7" s="71"/>
      <c r="AD7" s="71">
        <v>44445</v>
      </c>
      <c r="AE7" s="71"/>
      <c r="AF7" s="71">
        <v>44503</v>
      </c>
      <c r="AG7" s="72">
        <v>44278</v>
      </c>
      <c r="AH7" s="71">
        <v>44504</v>
      </c>
      <c r="AI7" s="71">
        <v>44377</v>
      </c>
      <c r="AJ7" s="71">
        <v>44386</v>
      </c>
      <c r="AK7" s="71"/>
      <c r="AL7" s="71"/>
      <c r="AM7" s="71"/>
      <c r="AN7" s="71"/>
      <c r="AO7" s="71"/>
      <c r="AP7" s="71"/>
      <c r="AQ7" s="71"/>
      <c r="AR7" s="71">
        <v>44322</v>
      </c>
      <c r="AS7" s="71"/>
      <c r="AT7" s="71"/>
      <c r="AU7" s="71">
        <v>44498</v>
      </c>
      <c r="AV7" s="71"/>
      <c r="AW7" s="71"/>
      <c r="AX7" s="71"/>
      <c r="AY7" s="72">
        <v>44278</v>
      </c>
      <c r="AZ7" s="71"/>
      <c r="BA7" s="72">
        <v>44225</v>
      </c>
      <c r="BB7" s="71">
        <v>44504</v>
      </c>
      <c r="BC7" s="72">
        <v>44278</v>
      </c>
      <c r="BD7" s="72">
        <v>44279</v>
      </c>
      <c r="BE7" s="71"/>
      <c r="BF7" s="71"/>
      <c r="BG7" s="71"/>
      <c r="BH7" s="71"/>
      <c r="BI7" s="71"/>
      <c r="BJ7" s="71"/>
      <c r="BK7" s="70"/>
      <c r="BL7" s="70"/>
      <c r="BM7" s="70"/>
      <c r="BN7" s="70"/>
      <c r="BO7" s="70"/>
    </row>
    <row r="8" spans="1:69" x14ac:dyDescent="0.4">
      <c r="A8" s="86">
        <v>3010000</v>
      </c>
      <c r="B8" s="74" t="s">
        <v>2</v>
      </c>
      <c r="C8" s="71">
        <v>44481</v>
      </c>
      <c r="D8" s="71">
        <v>44491</v>
      </c>
      <c r="E8" s="71">
        <v>44445</v>
      </c>
      <c r="F8" s="71"/>
      <c r="G8" s="71"/>
      <c r="H8" s="71">
        <v>44419</v>
      </c>
      <c r="I8" s="71">
        <v>44293</v>
      </c>
      <c r="J8" s="71">
        <v>44504</v>
      </c>
      <c r="K8" s="71"/>
      <c r="L8" s="71"/>
      <c r="M8" s="72">
        <v>44183</v>
      </c>
      <c r="N8" s="71">
        <v>44490</v>
      </c>
      <c r="O8" s="71"/>
      <c r="P8" s="71">
        <v>44487</v>
      </c>
      <c r="Q8" s="71">
        <v>44491</v>
      </c>
      <c r="R8" s="71"/>
      <c r="S8" s="71">
        <v>44491</v>
      </c>
      <c r="T8" s="71"/>
      <c r="U8" s="71">
        <v>44487</v>
      </c>
      <c r="V8" s="71">
        <v>44358</v>
      </c>
      <c r="W8" s="71"/>
      <c r="X8" s="71">
        <v>44489</v>
      </c>
      <c r="Y8" s="71"/>
      <c r="Z8" s="71">
        <v>44271</v>
      </c>
      <c r="AA8" s="71">
        <v>44264</v>
      </c>
      <c r="AB8" s="71">
        <v>44264</v>
      </c>
      <c r="AC8" s="71"/>
      <c r="AD8" s="71">
        <v>44489</v>
      </c>
      <c r="AE8" s="71"/>
      <c r="AF8" s="71">
        <v>44488</v>
      </c>
      <c r="AG8" s="71">
        <v>44418</v>
      </c>
      <c r="AH8" s="71">
        <v>44481</v>
      </c>
      <c r="AI8" s="71">
        <v>44357</v>
      </c>
      <c r="AJ8" s="71">
        <v>44488</v>
      </c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>
        <v>44487</v>
      </c>
      <c r="AV8" s="71">
        <v>44491</v>
      </c>
      <c r="AW8" s="71"/>
      <c r="AX8" s="71"/>
      <c r="AY8" s="71">
        <v>44491</v>
      </c>
      <c r="AZ8" s="71"/>
      <c r="BA8" s="71"/>
      <c r="BB8" s="71">
        <v>44445</v>
      </c>
      <c r="BC8" s="71">
        <v>44491</v>
      </c>
      <c r="BD8" s="71">
        <v>44491</v>
      </c>
      <c r="BE8" s="71"/>
      <c r="BF8" s="71"/>
      <c r="BG8" s="71"/>
      <c r="BH8" s="71"/>
      <c r="BI8" s="71"/>
      <c r="BJ8" s="71"/>
      <c r="BK8" s="70"/>
      <c r="BL8" s="70"/>
      <c r="BM8" s="70"/>
      <c r="BN8" s="70"/>
      <c r="BO8" s="70"/>
    </row>
    <row r="9" spans="1:69" x14ac:dyDescent="0.4">
      <c r="A9" s="86">
        <v>3020000</v>
      </c>
      <c r="B9" s="74" t="s">
        <v>3</v>
      </c>
      <c r="C9" s="71">
        <v>44467</v>
      </c>
      <c r="D9" s="71">
        <v>44467</v>
      </c>
      <c r="E9" s="71">
        <v>44467</v>
      </c>
      <c r="F9" s="71">
        <v>44466</v>
      </c>
      <c r="G9" s="71"/>
      <c r="H9" s="71">
        <v>44467</v>
      </c>
      <c r="I9" s="71">
        <v>44466</v>
      </c>
      <c r="J9" s="71"/>
      <c r="K9" s="71"/>
      <c r="L9" s="71">
        <v>44466</v>
      </c>
      <c r="M9" s="71">
        <v>44467</v>
      </c>
      <c r="N9" s="71">
        <v>44467</v>
      </c>
      <c r="O9" s="71"/>
      <c r="P9" s="71">
        <v>44467</v>
      </c>
      <c r="Q9" s="71"/>
      <c r="R9" s="71"/>
      <c r="S9" s="71">
        <v>44467</v>
      </c>
      <c r="T9" s="71"/>
      <c r="U9" s="71">
        <v>44467</v>
      </c>
      <c r="V9" s="71">
        <v>44467</v>
      </c>
      <c r="W9" s="71"/>
      <c r="X9" s="71">
        <v>44466</v>
      </c>
      <c r="Y9" s="71"/>
      <c r="Z9" s="71">
        <v>44466</v>
      </c>
      <c r="AA9" s="71">
        <v>44466</v>
      </c>
      <c r="AB9" s="71">
        <v>44456</v>
      </c>
      <c r="AC9" s="71"/>
      <c r="AD9" s="71">
        <v>44467</v>
      </c>
      <c r="AE9" s="71"/>
      <c r="AF9" s="71">
        <v>44466</v>
      </c>
      <c r="AG9" s="71">
        <v>44467</v>
      </c>
      <c r="AH9" s="71">
        <v>44467</v>
      </c>
      <c r="AI9" s="71">
        <v>44467</v>
      </c>
      <c r="AJ9" s="71">
        <v>44467</v>
      </c>
      <c r="AK9" s="71"/>
      <c r="AL9" s="71"/>
      <c r="AM9" s="71"/>
      <c r="AN9" s="71"/>
      <c r="AO9" s="71">
        <v>44467</v>
      </c>
      <c r="AP9" s="71"/>
      <c r="AQ9" s="71">
        <v>44467</v>
      </c>
      <c r="AR9" s="71"/>
      <c r="AS9" s="71"/>
      <c r="AT9" s="71">
        <v>44466</v>
      </c>
      <c r="AU9" s="71">
        <v>44466</v>
      </c>
      <c r="AV9" s="71"/>
      <c r="AW9" s="71"/>
      <c r="AX9" s="71"/>
      <c r="AY9" s="71">
        <v>44467</v>
      </c>
      <c r="AZ9" s="71"/>
      <c r="BA9" s="71">
        <v>44467</v>
      </c>
      <c r="BB9" s="71">
        <v>44467</v>
      </c>
      <c r="BC9" s="71">
        <v>44467</v>
      </c>
      <c r="BD9" s="71">
        <v>44467</v>
      </c>
      <c r="BE9" s="71"/>
      <c r="BF9" s="71"/>
      <c r="BG9" s="71"/>
      <c r="BH9" s="71"/>
      <c r="BI9" s="71"/>
      <c r="BJ9" s="71"/>
      <c r="BK9" s="70"/>
      <c r="BL9" s="70"/>
      <c r="BM9" s="70"/>
      <c r="BN9" s="70"/>
      <c r="BO9" s="70"/>
    </row>
    <row r="10" spans="1:69" x14ac:dyDescent="0.4">
      <c r="A10" s="86">
        <v>3030000</v>
      </c>
      <c r="B10" s="74" t="s">
        <v>4</v>
      </c>
      <c r="C10" s="71"/>
      <c r="D10" s="71">
        <v>44469</v>
      </c>
      <c r="E10" s="71">
        <v>44442</v>
      </c>
      <c r="F10" s="71">
        <v>44447</v>
      </c>
      <c r="G10" s="71">
        <v>44449</v>
      </c>
      <c r="H10" s="71">
        <v>44469</v>
      </c>
      <c r="I10" s="71">
        <v>44469</v>
      </c>
      <c r="J10" s="71">
        <v>44470</v>
      </c>
      <c r="K10" s="71"/>
      <c r="L10" s="71"/>
      <c r="M10" s="71">
        <v>44447</v>
      </c>
      <c r="N10" s="71">
        <v>44469</v>
      </c>
      <c r="O10" s="71">
        <v>44469</v>
      </c>
      <c r="P10" s="71">
        <v>44469</v>
      </c>
      <c r="Q10" s="71">
        <v>44369</v>
      </c>
      <c r="R10" s="71">
        <v>44355</v>
      </c>
      <c r="S10" s="71">
        <v>44355</v>
      </c>
      <c r="T10" s="71"/>
      <c r="U10" s="71">
        <v>44469</v>
      </c>
      <c r="V10" s="71">
        <v>44454</v>
      </c>
      <c r="W10" s="71"/>
      <c r="X10" s="71">
        <v>44454</v>
      </c>
      <c r="Y10" s="71"/>
      <c r="Z10" s="71">
        <v>44469</v>
      </c>
      <c r="AA10" s="71">
        <v>44369</v>
      </c>
      <c r="AB10" s="71">
        <v>44355</v>
      </c>
      <c r="AC10" s="71"/>
      <c r="AD10" s="71">
        <v>44369</v>
      </c>
      <c r="AE10" s="71">
        <v>44355</v>
      </c>
      <c r="AF10" s="71">
        <v>44356</v>
      </c>
      <c r="AG10" s="71">
        <v>44469</v>
      </c>
      <c r="AH10" s="71">
        <v>44357</v>
      </c>
      <c r="AI10" s="71">
        <v>44365</v>
      </c>
      <c r="AJ10" s="71">
        <v>44365</v>
      </c>
      <c r="AK10" s="71"/>
      <c r="AL10" s="71"/>
      <c r="AM10" s="71"/>
      <c r="AN10" s="71"/>
      <c r="AO10" s="71"/>
      <c r="AP10" s="71"/>
      <c r="AQ10" s="71"/>
      <c r="AR10" s="71"/>
      <c r="AS10" s="71"/>
      <c r="AT10" s="71">
        <v>44357</v>
      </c>
      <c r="AU10" s="71">
        <v>44357</v>
      </c>
      <c r="AV10" s="71"/>
      <c r="AW10" s="71"/>
      <c r="AX10" s="71"/>
      <c r="AY10" s="71">
        <v>44469</v>
      </c>
      <c r="AZ10" s="71">
        <v>44469</v>
      </c>
      <c r="BA10" s="71">
        <v>44355</v>
      </c>
      <c r="BB10" s="71">
        <v>44469</v>
      </c>
      <c r="BC10" s="71">
        <v>44356</v>
      </c>
      <c r="BD10" s="71">
        <v>44356</v>
      </c>
      <c r="BE10" s="71"/>
      <c r="BF10" s="71"/>
      <c r="BG10" s="71"/>
      <c r="BH10" s="71"/>
      <c r="BI10" s="71"/>
      <c r="BJ10" s="71"/>
      <c r="BK10" s="70"/>
      <c r="BL10" s="70"/>
      <c r="BM10" s="70"/>
      <c r="BN10" s="70"/>
      <c r="BO10" s="70"/>
    </row>
    <row r="11" spans="1:69" x14ac:dyDescent="0.4">
      <c r="A11" s="86">
        <v>3040000</v>
      </c>
      <c r="B11" s="74" t="s">
        <v>5</v>
      </c>
      <c r="C11" s="71">
        <v>44370</v>
      </c>
      <c r="D11" s="71">
        <v>44186</v>
      </c>
      <c r="E11" s="72">
        <v>44195</v>
      </c>
      <c r="F11" s="72">
        <v>44022</v>
      </c>
      <c r="G11" s="72">
        <v>44127</v>
      </c>
      <c r="H11" s="71">
        <v>44186</v>
      </c>
      <c r="I11" s="71">
        <v>44376</v>
      </c>
      <c r="J11" s="72">
        <v>44378</v>
      </c>
      <c r="K11" s="71"/>
      <c r="L11" s="71"/>
      <c r="M11" s="72">
        <v>44376</v>
      </c>
      <c r="N11" s="72">
        <v>43538</v>
      </c>
      <c r="O11" s="71">
        <v>44376</v>
      </c>
      <c r="P11" s="71">
        <v>44383</v>
      </c>
      <c r="Q11" s="71">
        <v>44186</v>
      </c>
      <c r="R11" s="71">
        <v>44187</v>
      </c>
      <c r="S11" s="71">
        <v>44186</v>
      </c>
      <c r="T11" s="71"/>
      <c r="U11" s="72">
        <v>44027</v>
      </c>
      <c r="V11" s="71">
        <v>44369</v>
      </c>
      <c r="W11" s="71">
        <v>44376</v>
      </c>
      <c r="X11" s="71">
        <v>44195</v>
      </c>
      <c r="Y11" s="71"/>
      <c r="Z11" s="71">
        <v>44187</v>
      </c>
      <c r="AA11" s="71">
        <v>44370</v>
      </c>
      <c r="AB11" s="71">
        <v>44370</v>
      </c>
      <c r="AC11" s="71"/>
      <c r="AD11" s="71">
        <v>44369</v>
      </c>
      <c r="AE11" s="71"/>
      <c r="AF11" s="71"/>
      <c r="AG11" s="71"/>
      <c r="AH11" s="72">
        <v>44188</v>
      </c>
      <c r="AI11" s="72">
        <v>44026</v>
      </c>
      <c r="AJ11" s="72">
        <v>44026</v>
      </c>
      <c r="AK11" s="71">
        <v>44188</v>
      </c>
      <c r="AL11" s="71"/>
      <c r="AM11" s="71"/>
      <c r="AN11" s="71"/>
      <c r="AO11" s="71"/>
      <c r="AP11" s="71"/>
      <c r="AQ11" s="71">
        <v>44146</v>
      </c>
      <c r="AR11" s="71">
        <v>44475</v>
      </c>
      <c r="AS11" s="71"/>
      <c r="AT11" s="71">
        <v>44369</v>
      </c>
      <c r="AU11" s="71">
        <v>44375</v>
      </c>
      <c r="AV11" s="72">
        <v>44025</v>
      </c>
      <c r="AW11" s="71"/>
      <c r="AX11" s="71"/>
      <c r="AY11" s="72">
        <v>44195</v>
      </c>
      <c r="AZ11" s="71">
        <v>44369</v>
      </c>
      <c r="BA11" s="72">
        <v>44195</v>
      </c>
      <c r="BB11" s="71">
        <v>44369</v>
      </c>
      <c r="BC11" s="72">
        <v>44188</v>
      </c>
      <c r="BD11" s="72">
        <v>44188</v>
      </c>
      <c r="BE11" s="72">
        <v>44130</v>
      </c>
      <c r="BF11" s="71"/>
      <c r="BG11" s="71">
        <v>44376</v>
      </c>
      <c r="BH11" s="71"/>
      <c r="BI11" s="71"/>
      <c r="BJ11" s="71"/>
      <c r="BK11" s="70"/>
      <c r="BL11" s="70"/>
      <c r="BM11" s="70"/>
      <c r="BN11" s="70"/>
      <c r="BO11" s="70"/>
    </row>
    <row r="12" spans="1:69" x14ac:dyDescent="0.4">
      <c r="A12" s="86">
        <v>3050000</v>
      </c>
      <c r="B12" s="74" t="s">
        <v>6</v>
      </c>
      <c r="C12" s="71">
        <v>44392</v>
      </c>
      <c r="D12" s="71">
        <v>44372</v>
      </c>
      <c r="E12" s="71">
        <v>44426</v>
      </c>
      <c r="F12" s="71">
        <v>44420</v>
      </c>
      <c r="G12" s="71"/>
      <c r="H12" s="71">
        <v>44377</v>
      </c>
      <c r="I12" s="71"/>
      <c r="J12" s="71"/>
      <c r="K12" s="71"/>
      <c r="L12" s="71"/>
      <c r="M12" s="71">
        <v>44447</v>
      </c>
      <c r="N12" s="71">
        <v>44259</v>
      </c>
      <c r="O12" s="71"/>
      <c r="P12" s="71"/>
      <c r="Q12" s="71"/>
      <c r="R12" s="71"/>
      <c r="S12" s="71"/>
      <c r="T12" s="71"/>
      <c r="U12" s="71">
        <v>44267</v>
      </c>
      <c r="V12" s="71">
        <v>44301</v>
      </c>
      <c r="W12" s="71"/>
      <c r="X12" s="71"/>
      <c r="Y12" s="71"/>
      <c r="Z12" s="71"/>
      <c r="AA12" s="71"/>
      <c r="AB12" s="71">
        <v>44273</v>
      </c>
      <c r="AC12" s="71"/>
      <c r="AD12" s="71"/>
      <c r="AE12" s="71"/>
      <c r="AF12" s="71"/>
      <c r="AG12" s="71"/>
      <c r="AH12" s="71">
        <v>44421</v>
      </c>
      <c r="AI12" s="71">
        <v>44316</v>
      </c>
      <c r="AJ12" s="71">
        <v>44319</v>
      </c>
      <c r="AK12" s="71"/>
      <c r="AL12" s="71"/>
      <c r="AM12" s="71"/>
      <c r="AN12" s="71"/>
      <c r="AO12" s="71"/>
      <c r="AP12" s="71"/>
      <c r="AQ12" s="71"/>
      <c r="AR12" s="71">
        <v>44370</v>
      </c>
      <c r="AS12" s="71"/>
      <c r="AT12" s="71"/>
      <c r="AU12" s="71">
        <v>44431</v>
      </c>
      <c r="AV12" s="71"/>
      <c r="AW12" s="71"/>
      <c r="AX12" s="71"/>
      <c r="AY12" s="71">
        <v>44378</v>
      </c>
      <c r="AZ12" s="71"/>
      <c r="BA12" s="71">
        <v>44426</v>
      </c>
      <c r="BB12" s="71">
        <v>44420</v>
      </c>
      <c r="BC12" s="71">
        <v>44439</v>
      </c>
      <c r="BD12" s="71">
        <v>44439</v>
      </c>
      <c r="BE12" s="71"/>
      <c r="BF12" s="71"/>
      <c r="BG12" s="71">
        <v>44428</v>
      </c>
      <c r="BH12" s="71"/>
      <c r="BI12" s="71"/>
      <c r="BJ12" s="71"/>
      <c r="BK12" s="70"/>
      <c r="BL12" s="70"/>
      <c r="BM12" s="70"/>
      <c r="BN12" s="70"/>
      <c r="BO12" s="70"/>
    </row>
    <row r="13" spans="1:69" x14ac:dyDescent="0.4">
      <c r="A13" s="86">
        <v>3060000</v>
      </c>
      <c r="B13" s="74" t="s">
        <v>7</v>
      </c>
      <c r="C13" s="72">
        <v>44125</v>
      </c>
      <c r="D13" s="71">
        <v>44147</v>
      </c>
      <c r="E13" s="71">
        <v>44482</v>
      </c>
      <c r="F13" s="71">
        <v>44482</v>
      </c>
      <c r="G13" s="71">
        <v>44482</v>
      </c>
      <c r="H13" s="72">
        <v>44125</v>
      </c>
      <c r="I13" s="71">
        <v>44467</v>
      </c>
      <c r="J13" s="71">
        <v>44438</v>
      </c>
      <c r="K13" s="71"/>
      <c r="L13" s="71"/>
      <c r="M13" s="71">
        <v>44482</v>
      </c>
      <c r="N13" s="71">
        <v>44334</v>
      </c>
      <c r="O13" s="71"/>
      <c r="P13" s="71">
        <v>44174</v>
      </c>
      <c r="Q13" s="72">
        <v>44125</v>
      </c>
      <c r="R13" s="71"/>
      <c r="S13" s="71"/>
      <c r="T13" s="71"/>
      <c r="U13" s="72">
        <v>44125</v>
      </c>
      <c r="V13" s="71">
        <v>44174</v>
      </c>
      <c r="W13" s="72">
        <v>44022</v>
      </c>
      <c r="X13" s="72">
        <v>43969</v>
      </c>
      <c r="Y13" s="71">
        <v>44481</v>
      </c>
      <c r="Z13" s="72">
        <v>44125</v>
      </c>
      <c r="AA13" s="72">
        <v>44125</v>
      </c>
      <c r="AB13" s="71">
        <v>44174</v>
      </c>
      <c r="AC13" s="72">
        <v>44125</v>
      </c>
      <c r="AD13" s="71"/>
      <c r="AE13" s="71"/>
      <c r="AF13" s="71"/>
      <c r="AG13" s="71"/>
      <c r="AH13" s="71">
        <v>44435</v>
      </c>
      <c r="AI13" s="72">
        <v>44125</v>
      </c>
      <c r="AJ13" s="71">
        <v>44433</v>
      </c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2">
        <v>44316</v>
      </c>
      <c r="AV13" s="71"/>
      <c r="AW13" s="71"/>
      <c r="AX13" s="71"/>
      <c r="AY13" s="72">
        <v>44154</v>
      </c>
      <c r="AZ13" s="71"/>
      <c r="BA13" s="71">
        <v>44467</v>
      </c>
      <c r="BB13" s="71">
        <v>44425</v>
      </c>
      <c r="BC13" s="71">
        <v>44482</v>
      </c>
      <c r="BD13" s="72">
        <v>44153</v>
      </c>
      <c r="BE13" s="71"/>
      <c r="BF13" s="71"/>
      <c r="BG13" s="72">
        <v>44154</v>
      </c>
      <c r="BH13" s="71"/>
      <c r="BI13" s="71"/>
      <c r="BJ13" s="71"/>
      <c r="BK13" s="70"/>
      <c r="BL13" s="70"/>
      <c r="BM13" s="70"/>
      <c r="BN13" s="70"/>
      <c r="BO13" s="70"/>
    </row>
    <row r="14" spans="1:69" x14ac:dyDescent="0.4">
      <c r="A14" s="86">
        <v>3070000</v>
      </c>
      <c r="B14" s="74" t="s">
        <v>8</v>
      </c>
      <c r="C14" s="71">
        <v>44498</v>
      </c>
      <c r="D14" s="71">
        <v>44363</v>
      </c>
      <c r="E14" s="71">
        <v>44448</v>
      </c>
      <c r="F14" s="71"/>
      <c r="G14" s="71">
        <v>44445</v>
      </c>
      <c r="H14" s="71">
        <v>44270</v>
      </c>
      <c r="I14" s="71">
        <v>44410</v>
      </c>
      <c r="J14" s="72">
        <v>44404</v>
      </c>
      <c r="K14" s="71"/>
      <c r="L14" s="71"/>
      <c r="M14" s="72">
        <v>44391</v>
      </c>
      <c r="N14" s="71">
        <v>44454</v>
      </c>
      <c r="O14" s="71">
        <v>44363</v>
      </c>
      <c r="P14" s="71">
        <v>44363</v>
      </c>
      <c r="Q14" s="71"/>
      <c r="R14" s="71"/>
      <c r="S14" s="71">
        <v>44365</v>
      </c>
      <c r="T14" s="71"/>
      <c r="U14" s="71">
        <v>44362</v>
      </c>
      <c r="V14" s="71">
        <v>44298</v>
      </c>
      <c r="W14" s="71">
        <v>44364</v>
      </c>
      <c r="X14" s="71">
        <v>44391</v>
      </c>
      <c r="Y14" s="71"/>
      <c r="Z14" s="71"/>
      <c r="AA14" s="71">
        <v>44392</v>
      </c>
      <c r="AB14" s="71">
        <v>44376</v>
      </c>
      <c r="AC14" s="71">
        <v>44333</v>
      </c>
      <c r="AD14" s="71"/>
      <c r="AE14" s="71"/>
      <c r="AF14" s="71"/>
      <c r="AG14" s="71"/>
      <c r="AH14" s="71">
        <v>44357</v>
      </c>
      <c r="AI14" s="71">
        <v>44301</v>
      </c>
      <c r="AJ14" s="71">
        <v>44274</v>
      </c>
      <c r="AK14" s="71">
        <v>44354</v>
      </c>
      <c r="AL14" s="71"/>
      <c r="AM14" s="71"/>
      <c r="AN14" s="71"/>
      <c r="AO14" s="71"/>
      <c r="AP14" s="71"/>
      <c r="AQ14" s="71"/>
      <c r="AR14" s="71"/>
      <c r="AS14" s="71"/>
      <c r="AT14" s="71"/>
      <c r="AU14" s="71">
        <v>44468</v>
      </c>
      <c r="AV14" s="71"/>
      <c r="AW14" s="71"/>
      <c r="AX14" s="71"/>
      <c r="AY14" s="71">
        <v>44488</v>
      </c>
      <c r="AZ14" s="71"/>
      <c r="BA14" s="71">
        <v>44433</v>
      </c>
      <c r="BB14" s="71">
        <v>44448</v>
      </c>
      <c r="BC14" s="71">
        <v>44495</v>
      </c>
      <c r="BD14" s="71">
        <v>44449</v>
      </c>
      <c r="BE14" s="71"/>
      <c r="BF14" s="71"/>
      <c r="BG14" s="71"/>
      <c r="BH14" s="71"/>
      <c r="BI14" s="71"/>
      <c r="BJ14" s="71"/>
      <c r="BK14" s="70"/>
      <c r="BL14" s="70"/>
      <c r="BM14" s="70"/>
      <c r="BN14" s="70"/>
      <c r="BO14" s="70"/>
    </row>
    <row r="15" spans="1:69" x14ac:dyDescent="0.4">
      <c r="A15" s="86">
        <v>3080000</v>
      </c>
      <c r="B15" s="74" t="s">
        <v>9</v>
      </c>
      <c r="C15" s="71">
        <v>44498</v>
      </c>
      <c r="D15" s="71">
        <v>44434</v>
      </c>
      <c r="E15" s="71">
        <v>44503</v>
      </c>
      <c r="F15" s="71">
        <v>44482</v>
      </c>
      <c r="G15" s="71">
        <v>44482</v>
      </c>
      <c r="H15" s="71">
        <v>44440</v>
      </c>
      <c r="I15" s="71">
        <v>44342</v>
      </c>
      <c r="J15" s="71">
        <v>44481</v>
      </c>
      <c r="K15" s="71"/>
      <c r="L15" s="71"/>
      <c r="M15" s="71">
        <v>44482</v>
      </c>
      <c r="N15" s="71">
        <v>44342</v>
      </c>
      <c r="O15" s="71"/>
      <c r="P15" s="71">
        <v>44440</v>
      </c>
      <c r="Q15" s="71">
        <v>44377</v>
      </c>
      <c r="R15" s="71"/>
      <c r="S15" s="71">
        <v>44440</v>
      </c>
      <c r="T15" s="71"/>
      <c r="U15" s="71">
        <v>44432</v>
      </c>
      <c r="V15" s="71">
        <v>44351</v>
      </c>
      <c r="W15" s="71">
        <v>44498</v>
      </c>
      <c r="X15" s="71">
        <v>44382</v>
      </c>
      <c r="Y15" s="71">
        <v>44495</v>
      </c>
      <c r="Z15" s="71">
        <v>44426</v>
      </c>
      <c r="AA15" s="71">
        <v>44434</v>
      </c>
      <c r="AB15" s="71">
        <v>44440</v>
      </c>
      <c r="AC15" s="71"/>
      <c r="AD15" s="71">
        <v>44371</v>
      </c>
      <c r="AE15" s="71"/>
      <c r="AF15" s="71">
        <v>44503</v>
      </c>
      <c r="AG15" s="71">
        <v>44503</v>
      </c>
      <c r="AH15" s="71"/>
      <c r="AI15" s="71">
        <v>44356</v>
      </c>
      <c r="AJ15" s="71">
        <v>44356</v>
      </c>
      <c r="AK15" s="71"/>
      <c r="AL15" s="71"/>
      <c r="AM15" s="71"/>
      <c r="AN15" s="71"/>
      <c r="AO15" s="71"/>
      <c r="AP15" s="71"/>
      <c r="AQ15" s="71"/>
      <c r="AR15" s="71">
        <v>44503</v>
      </c>
      <c r="AS15" s="71"/>
      <c r="AT15" s="71"/>
      <c r="AU15" s="71">
        <v>44503</v>
      </c>
      <c r="AV15" s="71"/>
      <c r="AW15" s="71"/>
      <c r="AX15" s="71">
        <v>44356</v>
      </c>
      <c r="AY15" s="71">
        <v>44503</v>
      </c>
      <c r="AZ15" s="71"/>
      <c r="BA15" s="71">
        <v>44503</v>
      </c>
      <c r="BB15" s="71">
        <v>44481</v>
      </c>
      <c r="BC15" s="71">
        <v>44498</v>
      </c>
      <c r="BD15" s="71">
        <v>44503</v>
      </c>
      <c r="BE15" s="71"/>
      <c r="BF15" s="71"/>
      <c r="BG15" s="71">
        <v>44407</v>
      </c>
      <c r="BH15" s="71"/>
      <c r="BI15" s="71"/>
      <c r="BJ15" s="71"/>
      <c r="BK15" s="70"/>
      <c r="BL15" s="70"/>
      <c r="BM15" s="70"/>
      <c r="BN15" s="70"/>
      <c r="BO15" s="70"/>
    </row>
    <row r="16" spans="1:69" x14ac:dyDescent="0.4">
      <c r="A16" s="86">
        <v>3090000</v>
      </c>
      <c r="B16" s="74" t="s">
        <v>23</v>
      </c>
      <c r="C16" s="72">
        <v>42884</v>
      </c>
      <c r="D16" s="72">
        <v>43671</v>
      </c>
      <c r="E16" s="72">
        <v>43714</v>
      </c>
      <c r="F16" s="72">
        <v>43276</v>
      </c>
      <c r="G16" s="72">
        <v>43276</v>
      </c>
      <c r="H16" s="72">
        <v>43276</v>
      </c>
      <c r="I16" s="72">
        <v>43277</v>
      </c>
      <c r="J16" s="72">
        <v>43277</v>
      </c>
      <c r="K16" s="71"/>
      <c r="L16" s="72">
        <v>43739</v>
      </c>
      <c r="M16" s="72">
        <v>43745</v>
      </c>
      <c r="N16" s="72">
        <v>43276</v>
      </c>
      <c r="O16" s="71"/>
      <c r="P16" s="72">
        <v>43276</v>
      </c>
      <c r="Q16" s="72">
        <v>43742</v>
      </c>
      <c r="R16" s="71"/>
      <c r="S16" s="72">
        <v>43276</v>
      </c>
      <c r="T16" s="71"/>
      <c r="U16" s="72">
        <v>43740</v>
      </c>
      <c r="V16" s="72">
        <v>43276</v>
      </c>
      <c r="W16" s="71"/>
      <c r="X16" s="71"/>
      <c r="Y16" s="71"/>
      <c r="Z16" s="72">
        <v>43276</v>
      </c>
      <c r="AA16" s="71"/>
      <c r="AB16" s="72">
        <v>43739</v>
      </c>
      <c r="AC16" s="71"/>
      <c r="AD16" s="72">
        <v>43560</v>
      </c>
      <c r="AE16" s="72">
        <v>43276</v>
      </c>
      <c r="AF16" s="71"/>
      <c r="AG16" s="71"/>
      <c r="AH16" s="72">
        <v>43861</v>
      </c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>
        <v>44432</v>
      </c>
      <c r="BC16" s="71"/>
      <c r="BD16" s="72">
        <v>43679</v>
      </c>
      <c r="BE16" s="71"/>
      <c r="BF16" s="71"/>
      <c r="BG16" s="71"/>
      <c r="BH16" s="71"/>
      <c r="BI16" s="71"/>
      <c r="BJ16" s="71"/>
      <c r="BK16" s="70"/>
      <c r="BL16" s="70"/>
      <c r="BM16" s="70"/>
      <c r="BN16" s="70"/>
      <c r="BO16" s="70"/>
    </row>
    <row r="17" spans="1:67" x14ac:dyDescent="0.4">
      <c r="A17" s="86">
        <v>3100000</v>
      </c>
      <c r="B17" s="74" t="s">
        <v>10</v>
      </c>
      <c r="C17" s="71">
        <v>44454</v>
      </c>
      <c r="D17" s="71">
        <v>44453</v>
      </c>
      <c r="E17" s="71">
        <v>44454</v>
      </c>
      <c r="F17" s="71">
        <v>44452</v>
      </c>
      <c r="G17" s="71">
        <v>44453</v>
      </c>
      <c r="H17" s="71">
        <v>44452</v>
      </c>
      <c r="I17" s="71">
        <v>44453</v>
      </c>
      <c r="J17" s="71">
        <v>44453</v>
      </c>
      <c r="K17" s="71"/>
      <c r="L17" s="71"/>
      <c r="M17" s="71">
        <v>44453</v>
      </c>
      <c r="N17" s="71">
        <v>44453</v>
      </c>
      <c r="O17" s="71">
        <v>44454</v>
      </c>
      <c r="P17" s="71">
        <v>44456</v>
      </c>
      <c r="Q17" s="71">
        <v>44453</v>
      </c>
      <c r="R17" s="71"/>
      <c r="S17" s="71">
        <v>44453</v>
      </c>
      <c r="T17" s="71"/>
      <c r="U17" s="71">
        <v>44453</v>
      </c>
      <c r="V17" s="71">
        <v>44452</v>
      </c>
      <c r="W17" s="71"/>
      <c r="X17" s="71"/>
      <c r="Y17" s="71"/>
      <c r="Z17" s="71">
        <v>44452</v>
      </c>
      <c r="AA17" s="71">
        <v>44452</v>
      </c>
      <c r="AB17" s="71">
        <v>44452</v>
      </c>
      <c r="AC17" s="71"/>
      <c r="AD17" s="71">
        <v>44452</v>
      </c>
      <c r="AE17" s="71"/>
      <c r="AF17" s="71">
        <v>44452</v>
      </c>
      <c r="AG17" s="71">
        <v>44452</v>
      </c>
      <c r="AH17" s="71">
        <v>44452</v>
      </c>
      <c r="AI17" s="71">
        <v>44452</v>
      </c>
      <c r="AJ17" s="71">
        <v>44452</v>
      </c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>
        <v>44452</v>
      </c>
      <c r="AV17" s="71"/>
      <c r="AW17" s="71"/>
      <c r="AX17" s="71"/>
      <c r="AY17" s="71"/>
      <c r="AZ17" s="71"/>
      <c r="BA17" s="71">
        <v>44454</v>
      </c>
      <c r="BB17" s="71">
        <v>44453</v>
      </c>
      <c r="BC17" s="71">
        <v>44452</v>
      </c>
      <c r="BD17" s="71">
        <v>44452</v>
      </c>
      <c r="BE17" s="71"/>
      <c r="BF17" s="71"/>
      <c r="BG17" s="71"/>
      <c r="BH17" s="71"/>
      <c r="BI17" s="71"/>
      <c r="BJ17" s="71"/>
      <c r="BK17" s="70"/>
      <c r="BL17" s="70"/>
      <c r="BM17" s="70"/>
      <c r="BN17" s="70"/>
      <c r="BO17" s="70"/>
    </row>
    <row r="18" spans="1:67" x14ac:dyDescent="0.4">
      <c r="A18" s="86">
        <v>3110000</v>
      </c>
      <c r="B18" s="74" t="s">
        <v>11</v>
      </c>
      <c r="C18" s="71">
        <v>44322</v>
      </c>
      <c r="D18" s="71">
        <v>44333</v>
      </c>
      <c r="E18" s="72">
        <v>44315</v>
      </c>
      <c r="F18" s="72">
        <v>44379</v>
      </c>
      <c r="G18" s="72">
        <v>44379</v>
      </c>
      <c r="H18" s="71">
        <v>44426</v>
      </c>
      <c r="I18" s="71">
        <v>44299</v>
      </c>
      <c r="J18" s="71">
        <v>44435</v>
      </c>
      <c r="K18" s="71"/>
      <c r="L18" s="71">
        <v>44188</v>
      </c>
      <c r="M18" s="71">
        <v>44445</v>
      </c>
      <c r="N18" s="71">
        <v>44277</v>
      </c>
      <c r="O18" s="71"/>
      <c r="P18" s="71">
        <v>44426</v>
      </c>
      <c r="Q18" s="71"/>
      <c r="R18" s="71"/>
      <c r="S18" s="71">
        <v>44319</v>
      </c>
      <c r="T18" s="71"/>
      <c r="U18" s="71">
        <v>44313</v>
      </c>
      <c r="V18" s="71">
        <v>44379</v>
      </c>
      <c r="W18" s="71"/>
      <c r="X18" s="71">
        <v>44404</v>
      </c>
      <c r="Y18" s="71"/>
      <c r="Z18" s="71">
        <v>44292</v>
      </c>
      <c r="AA18" s="71">
        <v>44426</v>
      </c>
      <c r="AB18" s="71">
        <v>44379</v>
      </c>
      <c r="AC18" s="71">
        <v>44404</v>
      </c>
      <c r="AD18" s="71">
        <v>44333</v>
      </c>
      <c r="AE18" s="71">
        <v>44319</v>
      </c>
      <c r="AF18" s="71"/>
      <c r="AG18" s="71"/>
      <c r="AH18" s="71">
        <v>44463</v>
      </c>
      <c r="AI18" s="71">
        <v>44274</v>
      </c>
      <c r="AJ18" s="71">
        <v>44313</v>
      </c>
      <c r="AK18" s="71"/>
      <c r="AL18" s="71"/>
      <c r="AM18" s="71"/>
      <c r="AN18" s="71"/>
      <c r="AO18" s="71"/>
      <c r="AP18" s="71"/>
      <c r="AQ18" s="71"/>
      <c r="AR18" s="71">
        <v>44445</v>
      </c>
      <c r="AS18" s="71"/>
      <c r="AT18" s="71">
        <v>44319</v>
      </c>
      <c r="AU18" s="71">
        <v>44319</v>
      </c>
      <c r="AV18" s="71"/>
      <c r="AW18" s="71"/>
      <c r="AX18" s="71">
        <v>44426</v>
      </c>
      <c r="AY18" s="71">
        <v>44319</v>
      </c>
      <c r="AZ18" s="71"/>
      <c r="BA18" s="71">
        <v>44362</v>
      </c>
      <c r="BB18" s="71">
        <v>44445</v>
      </c>
      <c r="BC18" s="72">
        <v>44307</v>
      </c>
      <c r="BD18" s="72">
        <v>44302</v>
      </c>
      <c r="BE18" s="71"/>
      <c r="BF18" s="71"/>
      <c r="BG18" s="71"/>
      <c r="BH18" s="71"/>
      <c r="BI18" s="71"/>
      <c r="BJ18" s="71"/>
      <c r="BK18" s="70"/>
      <c r="BL18" s="70"/>
      <c r="BM18" s="70"/>
      <c r="BN18" s="70"/>
      <c r="BO18" s="70"/>
    </row>
    <row r="19" spans="1:67" x14ac:dyDescent="0.4">
      <c r="A19" s="86">
        <v>3120000</v>
      </c>
      <c r="B19" s="74" t="s">
        <v>12</v>
      </c>
      <c r="C19" s="72">
        <v>44134</v>
      </c>
      <c r="D19" s="71">
        <v>44410</v>
      </c>
      <c r="E19" s="71">
        <v>44371</v>
      </c>
      <c r="F19" s="71">
        <v>44425</v>
      </c>
      <c r="G19" s="72">
        <v>43704</v>
      </c>
      <c r="H19" s="72">
        <v>44127</v>
      </c>
      <c r="I19" s="71">
        <v>44370</v>
      </c>
      <c r="J19" s="72">
        <v>43699</v>
      </c>
      <c r="K19" s="71"/>
      <c r="L19" s="71">
        <v>44371</v>
      </c>
      <c r="M19" s="72">
        <v>44371</v>
      </c>
      <c r="N19" s="71">
        <v>44326</v>
      </c>
      <c r="O19" s="71"/>
      <c r="P19" s="72">
        <v>44124</v>
      </c>
      <c r="Q19" s="71">
        <v>44413</v>
      </c>
      <c r="R19" s="71">
        <v>44413</v>
      </c>
      <c r="S19" s="71">
        <v>44413</v>
      </c>
      <c r="T19" s="71"/>
      <c r="U19" s="71">
        <v>44420</v>
      </c>
      <c r="V19" s="71">
        <v>44413</v>
      </c>
      <c r="W19" s="71"/>
      <c r="X19" s="71">
        <v>44425</v>
      </c>
      <c r="Y19" s="71"/>
      <c r="Z19" s="71">
        <v>44413</v>
      </c>
      <c r="AA19" s="71">
        <v>44410</v>
      </c>
      <c r="AB19" s="71">
        <v>44413</v>
      </c>
      <c r="AC19" s="71"/>
      <c r="AD19" s="72">
        <v>44123</v>
      </c>
      <c r="AE19" s="71"/>
      <c r="AF19" s="72">
        <v>44123</v>
      </c>
      <c r="AG19" s="71">
        <v>44432</v>
      </c>
      <c r="AH19" s="71">
        <v>44371</v>
      </c>
      <c r="AI19" s="71">
        <v>44420</v>
      </c>
      <c r="AJ19" s="71">
        <v>44425</v>
      </c>
      <c r="AK19" s="71">
        <v>44425</v>
      </c>
      <c r="AL19" s="71"/>
      <c r="AM19" s="71"/>
      <c r="AN19" s="71">
        <v>44371</v>
      </c>
      <c r="AO19" s="71"/>
      <c r="AP19" s="71"/>
      <c r="AQ19" s="72">
        <v>44123</v>
      </c>
      <c r="AR19" s="71">
        <v>44405</v>
      </c>
      <c r="AS19" s="71"/>
      <c r="AT19" s="72">
        <v>44123</v>
      </c>
      <c r="AU19" s="71">
        <v>44410</v>
      </c>
      <c r="AV19" s="71">
        <v>44425</v>
      </c>
      <c r="AW19" s="71"/>
      <c r="AX19" s="72">
        <v>44036</v>
      </c>
      <c r="AY19" s="72">
        <v>44126</v>
      </c>
      <c r="AZ19" s="71"/>
      <c r="BA19" s="72">
        <v>44123</v>
      </c>
      <c r="BB19" s="71">
        <v>44467</v>
      </c>
      <c r="BC19" s="72">
        <v>44126</v>
      </c>
      <c r="BD19" s="71">
        <v>44419</v>
      </c>
      <c r="BE19" s="71"/>
      <c r="BF19" s="71"/>
      <c r="BG19" s="71"/>
      <c r="BH19" s="71"/>
      <c r="BI19" s="71"/>
      <c r="BJ19" s="71"/>
      <c r="BK19" s="70"/>
      <c r="BL19" s="70"/>
      <c r="BM19" s="70"/>
      <c r="BN19" s="70"/>
      <c r="BO19" s="70"/>
    </row>
    <row r="20" spans="1:67" x14ac:dyDescent="0.4">
      <c r="A20" s="86">
        <v>3130000</v>
      </c>
      <c r="B20" s="74" t="s">
        <v>24</v>
      </c>
      <c r="C20" s="71"/>
      <c r="D20" s="71">
        <v>44182</v>
      </c>
      <c r="E20" s="72">
        <v>44050</v>
      </c>
      <c r="F20" s="72">
        <v>43978</v>
      </c>
      <c r="G20" s="71"/>
      <c r="H20" s="71">
        <v>44414</v>
      </c>
      <c r="I20" s="71">
        <v>44434</v>
      </c>
      <c r="J20" s="71">
        <v>44420</v>
      </c>
      <c r="K20" s="71"/>
      <c r="L20" s="71">
        <v>44420</v>
      </c>
      <c r="M20" s="71">
        <v>44413</v>
      </c>
      <c r="N20" s="71">
        <v>44445</v>
      </c>
      <c r="O20" s="71"/>
      <c r="P20" s="71">
        <v>44420</v>
      </c>
      <c r="Q20" s="71"/>
      <c r="R20" s="71"/>
      <c r="S20" s="71"/>
      <c r="T20" s="71"/>
      <c r="U20" s="71"/>
      <c r="V20" s="71">
        <v>44420</v>
      </c>
      <c r="W20" s="71"/>
      <c r="X20" s="72">
        <v>44133</v>
      </c>
      <c r="Y20" s="71"/>
      <c r="Z20" s="71"/>
      <c r="AA20" s="71"/>
      <c r="AB20" s="71">
        <v>44432</v>
      </c>
      <c r="AC20" s="71"/>
      <c r="AD20" s="71"/>
      <c r="AE20" s="71"/>
      <c r="AF20" s="71">
        <v>44326</v>
      </c>
      <c r="AG20" s="71"/>
      <c r="AH20" s="71">
        <v>44439</v>
      </c>
      <c r="AI20" s="71"/>
      <c r="AJ20" s="71"/>
      <c r="AK20" s="71"/>
      <c r="AL20" s="71"/>
      <c r="AM20" s="71"/>
      <c r="AN20" s="71"/>
      <c r="AO20" s="71"/>
      <c r="AP20" s="71"/>
      <c r="AQ20" s="71"/>
      <c r="AR20" s="72">
        <v>44133</v>
      </c>
      <c r="AS20" s="71"/>
      <c r="AT20" s="71"/>
      <c r="AU20" s="71">
        <v>44413</v>
      </c>
      <c r="AV20" s="71"/>
      <c r="AW20" s="71"/>
      <c r="AX20" s="71"/>
      <c r="AY20" s="71"/>
      <c r="AZ20" s="71"/>
      <c r="BA20" s="71"/>
      <c r="BB20" s="71"/>
      <c r="BC20" s="71"/>
      <c r="BD20" s="71">
        <v>44420</v>
      </c>
      <c r="BE20" s="71"/>
      <c r="BF20" s="71"/>
      <c r="BG20" s="71"/>
      <c r="BH20" s="71"/>
      <c r="BI20" s="71"/>
      <c r="BJ20" s="71"/>
      <c r="BK20" s="70"/>
      <c r="BL20" s="70"/>
      <c r="BM20" s="70"/>
      <c r="BN20" s="70"/>
      <c r="BO20" s="70"/>
    </row>
    <row r="21" spans="1:67" x14ac:dyDescent="0.4">
      <c r="A21" s="86">
        <v>3140000</v>
      </c>
      <c r="B21" s="74" t="s">
        <v>13</v>
      </c>
      <c r="C21" s="71">
        <v>44336</v>
      </c>
      <c r="D21" s="71">
        <v>44327</v>
      </c>
      <c r="E21" s="71">
        <v>44372</v>
      </c>
      <c r="F21" s="71">
        <v>44433</v>
      </c>
      <c r="G21" s="71">
        <v>44468</v>
      </c>
      <c r="H21" s="71">
        <v>44469</v>
      </c>
      <c r="I21" s="71">
        <v>44305</v>
      </c>
      <c r="J21" s="71">
        <v>44468</v>
      </c>
      <c r="K21" s="71"/>
      <c r="L21" s="71"/>
      <c r="M21" s="71">
        <v>44463</v>
      </c>
      <c r="N21" s="71">
        <v>44327</v>
      </c>
      <c r="O21" s="71"/>
      <c r="P21" s="71">
        <v>44372</v>
      </c>
      <c r="Q21" s="71">
        <v>44433</v>
      </c>
      <c r="R21" s="71"/>
      <c r="S21" s="71"/>
      <c r="T21" s="71"/>
      <c r="U21" s="71">
        <v>44348</v>
      </c>
      <c r="V21" s="71">
        <v>44337</v>
      </c>
      <c r="W21" s="71">
        <v>44348</v>
      </c>
      <c r="X21" s="71">
        <v>44336</v>
      </c>
      <c r="Y21" s="71"/>
      <c r="Z21" s="71"/>
      <c r="AA21" s="71">
        <v>44342</v>
      </c>
      <c r="AB21" s="71">
        <v>44342</v>
      </c>
      <c r="AC21" s="71"/>
      <c r="AD21" s="71">
        <v>44433</v>
      </c>
      <c r="AE21" s="71"/>
      <c r="AF21" s="71">
        <v>44372</v>
      </c>
      <c r="AG21" s="71">
        <v>44327</v>
      </c>
      <c r="AH21" s="71">
        <v>44340</v>
      </c>
      <c r="AI21" s="71">
        <v>44384</v>
      </c>
      <c r="AJ21" s="71">
        <v>44368</v>
      </c>
      <c r="AK21" s="71"/>
      <c r="AL21" s="71"/>
      <c r="AM21" s="71"/>
      <c r="AN21" s="71"/>
      <c r="AO21" s="71"/>
      <c r="AP21" s="71"/>
      <c r="AQ21" s="71"/>
      <c r="AR21" s="71"/>
      <c r="AS21" s="71"/>
      <c r="AT21" s="71">
        <v>44344</v>
      </c>
      <c r="AU21" s="71">
        <v>44372</v>
      </c>
      <c r="AV21" s="71"/>
      <c r="AW21" s="71"/>
      <c r="AX21" s="71"/>
      <c r="AY21" s="71">
        <v>44372</v>
      </c>
      <c r="AZ21" s="71"/>
      <c r="BA21" s="71">
        <v>44372</v>
      </c>
      <c r="BB21" s="71">
        <v>44418</v>
      </c>
      <c r="BC21" s="71">
        <v>44407</v>
      </c>
      <c r="BD21" s="71">
        <v>44384</v>
      </c>
      <c r="BE21" s="71"/>
      <c r="BF21" s="71"/>
      <c r="BG21" s="71"/>
      <c r="BH21" s="71"/>
      <c r="BI21" s="71"/>
      <c r="BJ21" s="71"/>
      <c r="BK21" s="70"/>
      <c r="BL21" s="70"/>
      <c r="BM21" s="70"/>
      <c r="BN21" s="70"/>
      <c r="BO21" s="70"/>
    </row>
    <row r="22" spans="1:67" x14ac:dyDescent="0.4">
      <c r="A22" s="86">
        <v>3150000</v>
      </c>
      <c r="B22" s="74" t="s">
        <v>14</v>
      </c>
      <c r="C22" s="71">
        <v>44438</v>
      </c>
      <c r="D22" s="71">
        <v>44284</v>
      </c>
      <c r="E22" s="71">
        <v>44425</v>
      </c>
      <c r="F22" s="71">
        <v>44489</v>
      </c>
      <c r="G22" s="71">
        <v>44489</v>
      </c>
      <c r="H22" s="71">
        <v>44273</v>
      </c>
      <c r="I22" s="71">
        <v>44264</v>
      </c>
      <c r="J22" s="71">
        <v>44484</v>
      </c>
      <c r="K22" s="71"/>
      <c r="L22" s="71">
        <v>44260</v>
      </c>
      <c r="M22" s="71">
        <v>44483</v>
      </c>
      <c r="N22" s="71">
        <v>44264</v>
      </c>
      <c r="O22" s="71"/>
      <c r="P22" s="71">
        <v>44284</v>
      </c>
      <c r="Q22" s="71">
        <v>44284</v>
      </c>
      <c r="R22" s="71">
        <v>44274</v>
      </c>
      <c r="S22" s="71">
        <v>44267</v>
      </c>
      <c r="T22" s="71"/>
      <c r="U22" s="71">
        <v>44278</v>
      </c>
      <c r="V22" s="71">
        <v>44295</v>
      </c>
      <c r="W22" s="71">
        <v>44438</v>
      </c>
      <c r="X22" s="71">
        <v>44278</v>
      </c>
      <c r="Y22" s="71"/>
      <c r="Z22" s="71">
        <v>44273</v>
      </c>
      <c r="AA22" s="71">
        <v>44267</v>
      </c>
      <c r="AB22" s="71">
        <v>44277</v>
      </c>
      <c r="AC22" s="71">
        <v>44277</v>
      </c>
      <c r="AD22" s="71">
        <v>44284</v>
      </c>
      <c r="AE22" s="71"/>
      <c r="AF22" s="71">
        <v>44425</v>
      </c>
      <c r="AG22" s="71">
        <v>44428</v>
      </c>
      <c r="AH22" s="71">
        <v>44426</v>
      </c>
      <c r="AI22" s="71">
        <v>44267</v>
      </c>
      <c r="AJ22" s="71">
        <v>44267</v>
      </c>
      <c r="AK22" s="71"/>
      <c r="AL22" s="71"/>
      <c r="AM22" s="71"/>
      <c r="AN22" s="71"/>
      <c r="AO22" s="71"/>
      <c r="AP22" s="71"/>
      <c r="AQ22" s="71">
        <v>44299</v>
      </c>
      <c r="AR22" s="71"/>
      <c r="AS22" s="71"/>
      <c r="AT22" s="71">
        <v>44428</v>
      </c>
      <c r="AU22" s="71">
        <v>44428</v>
      </c>
      <c r="AV22" s="71">
        <v>44284</v>
      </c>
      <c r="AW22" s="71"/>
      <c r="AX22" s="71"/>
      <c r="AY22" s="71">
        <v>44431</v>
      </c>
      <c r="AZ22" s="71"/>
      <c r="BA22" s="71">
        <v>44425</v>
      </c>
      <c r="BB22" s="71">
        <v>44410</v>
      </c>
      <c r="BC22" s="71">
        <v>44420</v>
      </c>
      <c r="BD22" s="71">
        <v>44420</v>
      </c>
      <c r="BE22" s="71"/>
      <c r="BF22" s="71"/>
      <c r="BG22" s="71"/>
      <c r="BH22" s="71"/>
      <c r="BI22" s="71"/>
      <c r="BJ22" s="71"/>
      <c r="BK22" s="70"/>
      <c r="BL22" s="70"/>
      <c r="BM22" s="70"/>
      <c r="BN22" s="70"/>
      <c r="BO22" s="70"/>
    </row>
    <row r="23" spans="1:67" x14ac:dyDescent="0.4">
      <c r="A23" s="86">
        <v>3160000</v>
      </c>
      <c r="B23" s="74" t="s">
        <v>25</v>
      </c>
      <c r="C23" s="71">
        <v>44344</v>
      </c>
      <c r="D23" s="71">
        <v>44246</v>
      </c>
      <c r="E23" s="71">
        <v>44497</v>
      </c>
      <c r="F23" s="71">
        <v>44469</v>
      </c>
      <c r="G23" s="71">
        <v>44467</v>
      </c>
      <c r="H23" s="71">
        <v>44246</v>
      </c>
      <c r="I23" s="71">
        <v>44287</v>
      </c>
      <c r="J23" s="71">
        <v>44501</v>
      </c>
      <c r="K23" s="71"/>
      <c r="L23" s="71"/>
      <c r="M23" s="71">
        <v>44497</v>
      </c>
      <c r="N23" s="71">
        <v>44397</v>
      </c>
      <c r="O23" s="71"/>
      <c r="P23" s="71">
        <v>44371</v>
      </c>
      <c r="Q23" s="71">
        <v>44246</v>
      </c>
      <c r="R23" s="71">
        <v>44375</v>
      </c>
      <c r="S23" s="71">
        <v>44258</v>
      </c>
      <c r="T23" s="71"/>
      <c r="U23" s="71">
        <v>44376</v>
      </c>
      <c r="V23" s="71">
        <v>44454</v>
      </c>
      <c r="W23" s="71">
        <v>44421</v>
      </c>
      <c r="X23" s="71">
        <v>44375</v>
      </c>
      <c r="Y23" s="71"/>
      <c r="Z23" s="71">
        <v>44246</v>
      </c>
      <c r="AA23" s="71">
        <v>44250</v>
      </c>
      <c r="AB23" s="71">
        <v>44242</v>
      </c>
      <c r="AC23" s="71"/>
      <c r="AD23" s="71"/>
      <c r="AE23" s="71"/>
      <c r="AF23" s="71">
        <v>44377</v>
      </c>
      <c r="AG23" s="71">
        <v>44427</v>
      </c>
      <c r="AH23" s="71">
        <v>44407</v>
      </c>
      <c r="AI23" s="71"/>
      <c r="AJ23" s="71">
        <v>44497</v>
      </c>
      <c r="AK23" s="71"/>
      <c r="AL23" s="71"/>
      <c r="AM23" s="71"/>
      <c r="AN23" s="71"/>
      <c r="AO23" s="71"/>
      <c r="AP23" s="71"/>
      <c r="AQ23" s="71"/>
      <c r="AR23" s="71"/>
      <c r="AS23" s="71"/>
      <c r="AT23" s="71">
        <v>44376</v>
      </c>
      <c r="AU23" s="71">
        <v>44407</v>
      </c>
      <c r="AV23" s="71"/>
      <c r="AW23" s="71"/>
      <c r="AX23" s="71"/>
      <c r="AY23" s="71"/>
      <c r="AZ23" s="71"/>
      <c r="BA23" s="71">
        <v>44431</v>
      </c>
      <c r="BB23" s="71">
        <v>44376</v>
      </c>
      <c r="BC23" s="71">
        <v>44376</v>
      </c>
      <c r="BD23" s="71">
        <v>44376</v>
      </c>
      <c r="BE23" s="71"/>
      <c r="BF23" s="71"/>
      <c r="BG23" s="71"/>
      <c r="BH23" s="71"/>
      <c r="BI23" s="71"/>
      <c r="BJ23" s="71"/>
      <c r="BK23" s="70"/>
      <c r="BL23" s="70"/>
      <c r="BM23" s="70"/>
      <c r="BN23" s="70"/>
      <c r="BO23" s="70"/>
    </row>
    <row r="24" spans="1:67" x14ac:dyDescent="0.4">
      <c r="A24" s="86">
        <v>3170000</v>
      </c>
      <c r="B24" s="74" t="s">
        <v>15</v>
      </c>
      <c r="C24" s="71">
        <v>44452</v>
      </c>
      <c r="D24" s="71">
        <v>44445</v>
      </c>
      <c r="E24" s="71">
        <v>44490</v>
      </c>
      <c r="F24" s="71">
        <v>44463</v>
      </c>
      <c r="G24" s="71">
        <v>44467</v>
      </c>
      <c r="H24" s="71">
        <v>44447</v>
      </c>
      <c r="I24" s="71">
        <v>44274</v>
      </c>
      <c r="J24" s="71">
        <v>44439</v>
      </c>
      <c r="K24" s="71"/>
      <c r="L24" s="71"/>
      <c r="M24" s="71">
        <v>44432</v>
      </c>
      <c r="N24" s="71">
        <v>44447</v>
      </c>
      <c r="O24" s="71">
        <v>44447</v>
      </c>
      <c r="P24" s="71">
        <v>44182</v>
      </c>
      <c r="Q24" s="71">
        <v>44463</v>
      </c>
      <c r="R24" s="71"/>
      <c r="S24" s="71"/>
      <c r="T24" s="71"/>
      <c r="U24" s="71">
        <v>44454</v>
      </c>
      <c r="V24" s="71">
        <v>44445</v>
      </c>
      <c r="W24" s="71">
        <v>44447</v>
      </c>
      <c r="X24" s="71">
        <v>44421</v>
      </c>
      <c r="Y24" s="71">
        <v>44421</v>
      </c>
      <c r="Z24" s="71">
        <v>44421</v>
      </c>
      <c r="AA24" s="71">
        <v>44447</v>
      </c>
      <c r="AB24" s="71">
        <v>44182</v>
      </c>
      <c r="AC24" s="71"/>
      <c r="AD24" s="71"/>
      <c r="AE24" s="71">
        <v>44463</v>
      </c>
      <c r="AF24" s="71"/>
      <c r="AG24" s="71">
        <v>44421</v>
      </c>
      <c r="AH24" s="71">
        <v>44490</v>
      </c>
      <c r="AI24" s="71">
        <v>44439</v>
      </c>
      <c r="AJ24" s="71">
        <v>44439</v>
      </c>
      <c r="AK24" s="71"/>
      <c r="AL24" s="71"/>
      <c r="AM24" s="71"/>
      <c r="AN24" s="71"/>
      <c r="AO24" s="71"/>
      <c r="AP24" s="71"/>
      <c r="AQ24" s="71"/>
      <c r="AR24" s="71">
        <v>44411</v>
      </c>
      <c r="AS24" s="71"/>
      <c r="AT24" s="71">
        <v>44452</v>
      </c>
      <c r="AU24" s="71">
        <v>44421</v>
      </c>
      <c r="AV24" s="71"/>
      <c r="AW24" s="71"/>
      <c r="AX24" s="71">
        <v>44452</v>
      </c>
      <c r="AY24" s="71">
        <v>44354</v>
      </c>
      <c r="AZ24" s="71"/>
      <c r="BA24" s="71"/>
      <c r="BB24" s="71">
        <v>44421</v>
      </c>
      <c r="BC24" s="71">
        <v>44427</v>
      </c>
      <c r="BD24" s="71">
        <v>44340</v>
      </c>
      <c r="BE24" s="71"/>
      <c r="BF24" s="71"/>
      <c r="BG24" s="71">
        <v>44452</v>
      </c>
      <c r="BH24" s="71"/>
      <c r="BI24" s="71"/>
      <c r="BJ24" s="71"/>
      <c r="BK24" s="70"/>
      <c r="BL24" s="70"/>
      <c r="BM24" s="70"/>
      <c r="BN24" s="70"/>
      <c r="BO24" s="70"/>
    </row>
    <row r="25" spans="1:67" x14ac:dyDescent="0.4">
      <c r="A25" s="86">
        <v>3180000</v>
      </c>
      <c r="B25" s="74" t="s">
        <v>16</v>
      </c>
      <c r="C25" s="71">
        <v>44347</v>
      </c>
      <c r="D25" s="71">
        <v>44487</v>
      </c>
      <c r="E25" s="71">
        <v>44365</v>
      </c>
      <c r="F25" s="72">
        <v>44308</v>
      </c>
      <c r="G25" s="72">
        <v>44308</v>
      </c>
      <c r="H25" s="71">
        <v>44301</v>
      </c>
      <c r="I25" s="71">
        <v>44344</v>
      </c>
      <c r="J25" s="71">
        <v>44476</v>
      </c>
      <c r="K25" s="71"/>
      <c r="L25" s="71">
        <v>44491</v>
      </c>
      <c r="M25" s="71">
        <v>44462</v>
      </c>
      <c r="N25" s="72">
        <v>44095</v>
      </c>
      <c r="O25" s="71"/>
      <c r="P25" s="71">
        <v>44306</v>
      </c>
      <c r="Q25" s="71">
        <v>44349</v>
      </c>
      <c r="R25" s="71"/>
      <c r="S25" s="71">
        <v>44308</v>
      </c>
      <c r="T25" s="71"/>
      <c r="U25" s="71">
        <v>44336</v>
      </c>
      <c r="V25" s="71">
        <v>44487</v>
      </c>
      <c r="W25" s="71">
        <v>44357</v>
      </c>
      <c r="X25" s="72">
        <v>44089</v>
      </c>
      <c r="Y25" s="71"/>
      <c r="Z25" s="72">
        <v>44124</v>
      </c>
      <c r="AA25" s="71">
        <v>44306</v>
      </c>
      <c r="AB25" s="71">
        <v>44487</v>
      </c>
      <c r="AC25" s="71"/>
      <c r="AD25" s="71">
        <v>44348</v>
      </c>
      <c r="AE25" s="71"/>
      <c r="AF25" s="71">
        <v>44357</v>
      </c>
      <c r="AG25" s="72">
        <v>44306</v>
      </c>
      <c r="AH25" s="71">
        <v>44357</v>
      </c>
      <c r="AI25" s="71">
        <v>44186</v>
      </c>
      <c r="AJ25" s="71">
        <v>44186</v>
      </c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>
        <v>44340</v>
      </c>
      <c r="AZ25" s="71">
        <v>44343</v>
      </c>
      <c r="BA25" s="71">
        <v>44357</v>
      </c>
      <c r="BB25" s="72">
        <v>44301</v>
      </c>
      <c r="BC25" s="72">
        <v>44295</v>
      </c>
      <c r="BD25" s="72">
        <v>44295</v>
      </c>
      <c r="BE25" s="71"/>
      <c r="BF25" s="71"/>
      <c r="BG25" s="71"/>
      <c r="BH25" s="71"/>
      <c r="BI25" s="71"/>
      <c r="BJ25" s="71"/>
      <c r="BK25" s="70"/>
      <c r="BL25" s="70"/>
      <c r="BM25" s="70"/>
      <c r="BN25" s="70"/>
      <c r="BO25" s="70"/>
    </row>
    <row r="26" spans="1:67" x14ac:dyDescent="0.4">
      <c r="A26" s="86">
        <v>3190000</v>
      </c>
      <c r="B26" s="74" t="s">
        <v>17</v>
      </c>
      <c r="C26" s="71">
        <v>44467</v>
      </c>
      <c r="D26" s="71">
        <v>44315</v>
      </c>
      <c r="E26" s="71">
        <v>44428</v>
      </c>
      <c r="F26" s="71">
        <v>44474</v>
      </c>
      <c r="G26" s="71">
        <v>44501</v>
      </c>
      <c r="H26" s="71">
        <v>44482</v>
      </c>
      <c r="I26" s="71">
        <v>44287</v>
      </c>
      <c r="J26" s="71">
        <v>44441</v>
      </c>
      <c r="K26" s="71"/>
      <c r="L26" s="71"/>
      <c r="M26" s="71"/>
      <c r="N26" s="71">
        <v>44287</v>
      </c>
      <c r="O26" s="71"/>
      <c r="P26" s="71">
        <v>44334</v>
      </c>
      <c r="Q26" s="71">
        <v>44382</v>
      </c>
      <c r="R26" s="71">
        <v>44382</v>
      </c>
      <c r="S26" s="71">
        <v>44435</v>
      </c>
      <c r="T26" s="71"/>
      <c r="U26" s="71">
        <v>44382</v>
      </c>
      <c r="V26" s="71">
        <v>44347</v>
      </c>
      <c r="W26" s="71">
        <v>44377</v>
      </c>
      <c r="X26" s="71"/>
      <c r="Y26" s="71"/>
      <c r="Z26" s="71"/>
      <c r="AA26" s="71">
        <v>44474</v>
      </c>
      <c r="AB26" s="71">
        <v>44467</v>
      </c>
      <c r="AC26" s="71"/>
      <c r="AD26" s="71"/>
      <c r="AE26" s="71"/>
      <c r="AF26" s="71">
        <v>44392</v>
      </c>
      <c r="AG26" s="71"/>
      <c r="AH26" s="71">
        <v>44382</v>
      </c>
      <c r="AI26" s="71">
        <v>44330</v>
      </c>
      <c r="AJ26" s="71">
        <v>44355</v>
      </c>
      <c r="AK26" s="71"/>
      <c r="AL26" s="71"/>
      <c r="AM26" s="71"/>
      <c r="AN26" s="71"/>
      <c r="AO26" s="71"/>
      <c r="AP26" s="71"/>
      <c r="AQ26" s="71"/>
      <c r="AR26" s="71"/>
      <c r="AS26" s="71"/>
      <c r="AT26" s="71">
        <v>44428</v>
      </c>
      <c r="AU26" s="71">
        <v>44405</v>
      </c>
      <c r="AV26" s="71"/>
      <c r="AW26" s="71"/>
      <c r="AX26" s="71"/>
      <c r="AY26" s="71">
        <v>44470</v>
      </c>
      <c r="AZ26" s="71"/>
      <c r="BA26" s="71">
        <v>44428</v>
      </c>
      <c r="BB26" s="71">
        <v>44426</v>
      </c>
      <c r="BC26" s="71">
        <v>44467</v>
      </c>
      <c r="BD26" s="71">
        <v>44371</v>
      </c>
      <c r="BE26" s="71"/>
      <c r="BF26" s="71"/>
      <c r="BG26" s="71"/>
      <c r="BH26" s="71"/>
      <c r="BI26" s="71"/>
      <c r="BJ26" s="71"/>
      <c r="BK26" s="70"/>
      <c r="BL26" s="70"/>
      <c r="BM26" s="70"/>
      <c r="BN26" s="70"/>
      <c r="BO26" s="70"/>
    </row>
    <row r="27" spans="1:67" x14ac:dyDescent="0.4">
      <c r="A27" s="86">
        <v>3200000</v>
      </c>
      <c r="B27" s="74" t="s">
        <v>18</v>
      </c>
      <c r="C27" s="71">
        <v>44469</v>
      </c>
      <c r="D27" s="71">
        <v>44488</v>
      </c>
      <c r="E27" s="71">
        <v>44469</v>
      </c>
      <c r="F27" s="71">
        <v>44452</v>
      </c>
      <c r="G27" s="71">
        <v>44452</v>
      </c>
      <c r="H27" s="71">
        <v>44488</v>
      </c>
      <c r="I27" s="71">
        <v>44488</v>
      </c>
      <c r="J27" s="71">
        <v>44488</v>
      </c>
      <c r="K27" s="71"/>
      <c r="L27" s="71"/>
      <c r="M27" s="71">
        <v>44440</v>
      </c>
      <c r="N27" s="71">
        <v>44488</v>
      </c>
      <c r="O27" s="71">
        <v>44488</v>
      </c>
      <c r="P27" s="71">
        <v>44174</v>
      </c>
      <c r="Q27" s="71">
        <v>44488</v>
      </c>
      <c r="R27" s="71">
        <v>44488</v>
      </c>
      <c r="S27" s="71">
        <v>44488</v>
      </c>
      <c r="T27" s="71"/>
      <c r="U27" s="71">
        <v>44488</v>
      </c>
      <c r="V27" s="71">
        <v>44488</v>
      </c>
      <c r="W27" s="71">
        <v>44491</v>
      </c>
      <c r="X27" s="71">
        <v>44490</v>
      </c>
      <c r="Y27" s="71">
        <v>44490</v>
      </c>
      <c r="Z27" s="71">
        <v>44490</v>
      </c>
      <c r="AA27" s="71">
        <v>44490</v>
      </c>
      <c r="AB27" s="71">
        <v>44490</v>
      </c>
      <c r="AC27" s="71">
        <v>44491</v>
      </c>
      <c r="AD27" s="71">
        <v>44491</v>
      </c>
      <c r="AE27" s="71">
        <v>44491</v>
      </c>
      <c r="AF27" s="71">
        <v>44452</v>
      </c>
      <c r="AG27" s="71">
        <v>44452</v>
      </c>
      <c r="AH27" s="71">
        <v>44468</v>
      </c>
      <c r="AI27" s="71">
        <v>44491</v>
      </c>
      <c r="AJ27" s="71">
        <v>44491</v>
      </c>
      <c r="AK27" s="71"/>
      <c r="AL27" s="71"/>
      <c r="AM27" s="71"/>
      <c r="AN27" s="71"/>
      <c r="AO27" s="71"/>
      <c r="AP27" s="71"/>
      <c r="AQ27" s="71">
        <v>44491</v>
      </c>
      <c r="AR27" s="71">
        <v>44469</v>
      </c>
      <c r="AS27" s="71"/>
      <c r="AT27" s="71">
        <v>44452</v>
      </c>
      <c r="AU27" s="71">
        <v>44468</v>
      </c>
      <c r="AV27" s="71"/>
      <c r="AW27" s="71"/>
      <c r="AX27" s="71">
        <v>44491</v>
      </c>
      <c r="AY27" s="71">
        <v>44469</v>
      </c>
      <c r="AZ27" s="71"/>
      <c r="BA27" s="71">
        <v>44469</v>
      </c>
      <c r="BB27" s="71">
        <v>44469</v>
      </c>
      <c r="BC27" s="71">
        <v>44468</v>
      </c>
      <c r="BD27" s="71">
        <v>44468</v>
      </c>
      <c r="BE27" s="71"/>
      <c r="BF27" s="71"/>
      <c r="BG27" s="71"/>
      <c r="BH27" s="71"/>
      <c r="BI27" s="71"/>
      <c r="BJ27" s="71"/>
      <c r="BK27" s="70"/>
      <c r="BL27" s="70"/>
      <c r="BM27" s="70"/>
      <c r="BN27" s="70"/>
      <c r="BO27" s="70"/>
    </row>
    <row r="28" spans="1:67" x14ac:dyDescent="0.4">
      <c r="A28" s="86">
        <v>3210000</v>
      </c>
      <c r="B28" s="74" t="s">
        <v>19</v>
      </c>
      <c r="C28" s="71">
        <v>44481</v>
      </c>
      <c r="D28" s="71"/>
      <c r="E28" s="71">
        <v>44491</v>
      </c>
      <c r="F28" s="71">
        <v>44497</v>
      </c>
      <c r="G28" s="72">
        <v>44028</v>
      </c>
      <c r="H28" s="71">
        <v>44482</v>
      </c>
      <c r="I28" s="71">
        <v>44491</v>
      </c>
      <c r="J28" s="71">
        <v>44491</v>
      </c>
      <c r="K28" s="71"/>
      <c r="L28" s="71">
        <v>44491</v>
      </c>
      <c r="M28" s="72">
        <v>44015</v>
      </c>
      <c r="N28" s="71">
        <v>44484</v>
      </c>
      <c r="O28" s="71">
        <v>44481</v>
      </c>
      <c r="P28" s="71">
        <v>44490</v>
      </c>
      <c r="Q28" s="71">
        <v>44490</v>
      </c>
      <c r="R28" s="71">
        <v>44498</v>
      </c>
      <c r="S28" s="71">
        <v>44498</v>
      </c>
      <c r="T28" s="71"/>
      <c r="U28" s="71">
        <v>44483</v>
      </c>
      <c r="V28" s="71"/>
      <c r="W28" s="71">
        <v>44490</v>
      </c>
      <c r="X28" s="71">
        <v>44482</v>
      </c>
      <c r="Y28" s="71"/>
      <c r="Z28" s="71">
        <v>44483</v>
      </c>
      <c r="AA28" s="71">
        <v>44489</v>
      </c>
      <c r="AB28" s="71">
        <v>44495</v>
      </c>
      <c r="AC28" s="71">
        <v>44491</v>
      </c>
      <c r="AD28" s="71"/>
      <c r="AE28" s="71">
        <v>44490</v>
      </c>
      <c r="AF28" s="71">
        <v>44497</v>
      </c>
      <c r="AG28" s="71">
        <v>44498</v>
      </c>
      <c r="AH28" s="71">
        <v>44491</v>
      </c>
      <c r="AI28" s="71">
        <v>44490</v>
      </c>
      <c r="AJ28" s="71">
        <v>44490</v>
      </c>
      <c r="AK28" s="71"/>
      <c r="AL28" s="71"/>
      <c r="AM28" s="71"/>
      <c r="AN28" s="72">
        <v>44137</v>
      </c>
      <c r="AO28" s="71"/>
      <c r="AP28" s="71"/>
      <c r="AQ28" s="71">
        <v>44481</v>
      </c>
      <c r="AR28" s="71"/>
      <c r="AS28" s="71"/>
      <c r="AT28" s="71">
        <v>44497</v>
      </c>
      <c r="AU28" s="72">
        <v>44015</v>
      </c>
      <c r="AV28" s="71"/>
      <c r="AW28" s="71"/>
      <c r="AX28" s="71">
        <v>44474</v>
      </c>
      <c r="AY28" s="71">
        <v>44476</v>
      </c>
      <c r="AZ28" s="71">
        <v>44491</v>
      </c>
      <c r="BA28" s="72">
        <v>44022</v>
      </c>
      <c r="BB28" s="71">
        <v>44491</v>
      </c>
      <c r="BC28" s="71">
        <v>44491</v>
      </c>
      <c r="BD28" s="71">
        <v>44491</v>
      </c>
      <c r="BE28" s="71"/>
      <c r="BF28" s="71"/>
      <c r="BG28" s="71"/>
      <c r="BH28" s="71"/>
      <c r="BI28" s="71"/>
      <c r="BJ28" s="71"/>
      <c r="BK28" s="70"/>
      <c r="BL28" s="70"/>
      <c r="BM28" s="70"/>
      <c r="BN28" s="70"/>
      <c r="BO28" s="70"/>
    </row>
    <row r="29" spans="1:67" x14ac:dyDescent="0.4">
      <c r="A29" s="86">
        <v>3220000</v>
      </c>
      <c r="B29" s="74" t="s">
        <v>20</v>
      </c>
      <c r="C29" s="71">
        <v>44468</v>
      </c>
      <c r="D29" s="71">
        <v>44386</v>
      </c>
      <c r="E29" s="71">
        <v>44376</v>
      </c>
      <c r="F29" s="71">
        <v>44483</v>
      </c>
      <c r="G29" s="71">
        <v>44488</v>
      </c>
      <c r="H29" s="71">
        <v>44252</v>
      </c>
      <c r="I29" s="71">
        <v>44292</v>
      </c>
      <c r="J29" s="71">
        <v>44484</v>
      </c>
      <c r="K29" s="71"/>
      <c r="L29" s="71">
        <v>44433</v>
      </c>
      <c r="M29" s="71">
        <v>44456</v>
      </c>
      <c r="N29" s="71">
        <v>44420</v>
      </c>
      <c r="O29" s="71">
        <v>44291</v>
      </c>
      <c r="P29" s="71">
        <v>44194</v>
      </c>
      <c r="Q29" s="71">
        <v>44232</v>
      </c>
      <c r="R29" s="71">
        <v>44426</v>
      </c>
      <c r="S29" s="71">
        <v>44293</v>
      </c>
      <c r="T29" s="71"/>
      <c r="U29" s="71">
        <v>44425</v>
      </c>
      <c r="V29" s="71">
        <v>44420</v>
      </c>
      <c r="W29" s="71">
        <v>44362</v>
      </c>
      <c r="X29" s="71">
        <v>44420</v>
      </c>
      <c r="Y29" s="71">
        <v>44487</v>
      </c>
      <c r="Z29" s="71">
        <v>44291</v>
      </c>
      <c r="AA29" s="71">
        <v>44291</v>
      </c>
      <c r="AB29" s="71">
        <v>44252</v>
      </c>
      <c r="AC29" s="71"/>
      <c r="AD29" s="71">
        <v>44487</v>
      </c>
      <c r="AE29" s="71">
        <v>44438</v>
      </c>
      <c r="AF29" s="71">
        <v>44475</v>
      </c>
      <c r="AG29" s="71">
        <v>44432</v>
      </c>
      <c r="AH29" s="71">
        <v>44468</v>
      </c>
      <c r="AI29" s="71">
        <v>44420</v>
      </c>
      <c r="AJ29" s="71">
        <v>44420</v>
      </c>
      <c r="AK29" s="71">
        <v>44291</v>
      </c>
      <c r="AL29" s="71"/>
      <c r="AM29" s="71">
        <v>44433</v>
      </c>
      <c r="AN29" s="71"/>
      <c r="AO29" s="71"/>
      <c r="AP29" s="71"/>
      <c r="AQ29" s="71"/>
      <c r="AR29" s="71">
        <v>44427</v>
      </c>
      <c r="AS29" s="71"/>
      <c r="AT29" s="71">
        <v>44361</v>
      </c>
      <c r="AU29" s="71">
        <v>44363</v>
      </c>
      <c r="AV29" s="71"/>
      <c r="AW29" s="71">
        <v>44291</v>
      </c>
      <c r="AX29" s="71">
        <v>44487</v>
      </c>
      <c r="AY29" s="71">
        <v>44468</v>
      </c>
      <c r="AZ29" s="71"/>
      <c r="BA29" s="71">
        <v>44420</v>
      </c>
      <c r="BB29" s="71">
        <v>44468</v>
      </c>
      <c r="BC29" s="71">
        <v>44468</v>
      </c>
      <c r="BD29" s="71">
        <v>44433</v>
      </c>
      <c r="BE29" s="71"/>
      <c r="BF29" s="71"/>
      <c r="BG29" s="71"/>
      <c r="BH29" s="71"/>
      <c r="BI29" s="71"/>
      <c r="BJ29" s="71"/>
      <c r="BK29" s="70"/>
      <c r="BL29" s="70"/>
      <c r="BM29" s="70"/>
      <c r="BN29" s="70"/>
      <c r="BO29" s="70"/>
    </row>
    <row r="30" spans="1:67" x14ac:dyDescent="0.4">
      <c r="A30" s="86">
        <v>3230000</v>
      </c>
      <c r="B30" s="74" t="s">
        <v>26</v>
      </c>
      <c r="C30" s="72">
        <v>44258</v>
      </c>
      <c r="D30" s="71">
        <v>44258</v>
      </c>
      <c r="E30" s="72">
        <v>44258</v>
      </c>
      <c r="F30" s="72">
        <v>44258</v>
      </c>
      <c r="G30" s="72">
        <v>44258</v>
      </c>
      <c r="H30" s="71">
        <v>44258</v>
      </c>
      <c r="I30" s="71">
        <v>44258</v>
      </c>
      <c r="J30" s="72">
        <v>44195</v>
      </c>
      <c r="K30" s="71"/>
      <c r="L30" s="71">
        <v>44258</v>
      </c>
      <c r="M30" s="72">
        <v>44258</v>
      </c>
      <c r="N30" s="71">
        <v>44258</v>
      </c>
      <c r="O30" s="71"/>
      <c r="P30" s="71">
        <v>44258</v>
      </c>
      <c r="Q30" s="71">
        <v>44258</v>
      </c>
      <c r="R30" s="71"/>
      <c r="S30" s="71">
        <v>44258</v>
      </c>
      <c r="T30" s="71"/>
      <c r="U30" s="71">
        <v>44195</v>
      </c>
      <c r="V30" s="71"/>
      <c r="W30" s="72">
        <v>44258</v>
      </c>
      <c r="X30" s="71">
        <v>44258</v>
      </c>
      <c r="Y30" s="71"/>
      <c r="Z30" s="71">
        <v>44258</v>
      </c>
      <c r="AA30" s="71">
        <v>44258</v>
      </c>
      <c r="AB30" s="71">
        <v>44258</v>
      </c>
      <c r="AC30" s="71"/>
      <c r="AD30" s="71">
        <v>44258</v>
      </c>
      <c r="AE30" s="71"/>
      <c r="AF30" s="72">
        <v>44258</v>
      </c>
      <c r="AG30" s="72">
        <v>44258</v>
      </c>
      <c r="AH30" s="72">
        <v>44258</v>
      </c>
      <c r="AI30" s="71">
        <v>44258</v>
      </c>
      <c r="AJ30" s="71">
        <v>44258</v>
      </c>
      <c r="AK30" s="71"/>
      <c r="AL30" s="71"/>
      <c r="AM30" s="72">
        <v>44258</v>
      </c>
      <c r="AN30" s="71"/>
      <c r="AO30" s="71"/>
      <c r="AP30" s="71"/>
      <c r="AQ30" s="71"/>
      <c r="AR30" s="71"/>
      <c r="AS30" s="71"/>
      <c r="AT30" s="72">
        <v>44258</v>
      </c>
      <c r="AU30" s="72">
        <v>43901</v>
      </c>
      <c r="AV30" s="71"/>
      <c r="AW30" s="71"/>
      <c r="AX30" s="71"/>
      <c r="AY30" s="72">
        <v>43901</v>
      </c>
      <c r="AZ30" s="71"/>
      <c r="BA30" s="72">
        <v>44258</v>
      </c>
      <c r="BB30" s="72">
        <v>44258</v>
      </c>
      <c r="BC30" s="72">
        <v>44195</v>
      </c>
      <c r="BD30" s="72">
        <v>44258</v>
      </c>
      <c r="BE30" s="71"/>
      <c r="BF30" s="71"/>
      <c r="BG30" s="72">
        <v>43901</v>
      </c>
      <c r="BH30" s="71"/>
      <c r="BI30" s="71"/>
      <c r="BJ30" s="71"/>
      <c r="BK30" s="70"/>
      <c r="BL30" s="70"/>
      <c r="BM30" s="70"/>
      <c r="BN30" s="70"/>
      <c r="BO30" s="70"/>
    </row>
    <row r="31" spans="1:67" x14ac:dyDescent="0.4">
      <c r="A31" s="86">
        <v>3240000</v>
      </c>
      <c r="B31" s="74" t="s">
        <v>21</v>
      </c>
      <c r="C31" s="71">
        <v>44433</v>
      </c>
      <c r="D31" s="71">
        <v>44433</v>
      </c>
      <c r="E31" s="71">
        <v>44433</v>
      </c>
      <c r="F31" s="71">
        <v>44440</v>
      </c>
      <c r="G31" s="71">
        <v>44440</v>
      </c>
      <c r="H31" s="71">
        <v>44438</v>
      </c>
      <c r="I31" s="71">
        <v>44432</v>
      </c>
      <c r="J31" s="71">
        <v>44438</v>
      </c>
      <c r="K31" s="71"/>
      <c r="L31" s="71"/>
      <c r="M31" s="71">
        <v>44432</v>
      </c>
      <c r="N31" s="71">
        <v>44438</v>
      </c>
      <c r="O31" s="71">
        <v>44434</v>
      </c>
      <c r="P31" s="71">
        <v>44433</v>
      </c>
      <c r="Q31" s="71"/>
      <c r="R31" s="71">
        <v>44434</v>
      </c>
      <c r="S31" s="71"/>
      <c r="T31" s="71"/>
      <c r="U31" s="71">
        <v>44438</v>
      </c>
      <c r="V31" s="71">
        <v>44414</v>
      </c>
      <c r="W31" s="71"/>
      <c r="X31" s="71">
        <v>44438</v>
      </c>
      <c r="Y31" s="71"/>
      <c r="Z31" s="71">
        <v>44433</v>
      </c>
      <c r="AA31" s="71">
        <v>44434</v>
      </c>
      <c r="AB31" s="71">
        <v>44438</v>
      </c>
      <c r="AC31" s="71"/>
      <c r="AD31" s="71">
        <v>44433</v>
      </c>
      <c r="AE31" s="71">
        <v>44434</v>
      </c>
      <c r="AF31" s="71"/>
      <c r="AG31" s="71">
        <v>44433</v>
      </c>
      <c r="AH31" s="71">
        <v>44433</v>
      </c>
      <c r="AI31" s="71">
        <v>44434</v>
      </c>
      <c r="AJ31" s="71">
        <v>44433</v>
      </c>
      <c r="AK31" s="71"/>
      <c r="AL31" s="71"/>
      <c r="AM31" s="71"/>
      <c r="AN31" s="71">
        <v>44433</v>
      </c>
      <c r="AO31" s="71"/>
      <c r="AP31" s="71"/>
      <c r="AQ31" s="71"/>
      <c r="AR31" s="71">
        <v>44432</v>
      </c>
      <c r="AS31" s="71"/>
      <c r="AT31" s="71"/>
      <c r="AU31" s="71">
        <v>44433</v>
      </c>
      <c r="AV31" s="71"/>
      <c r="AW31" s="71"/>
      <c r="AX31" s="71"/>
      <c r="AY31" s="71">
        <v>44432</v>
      </c>
      <c r="AZ31" s="71"/>
      <c r="BA31" s="71">
        <v>44433</v>
      </c>
      <c r="BB31" s="71">
        <v>44432</v>
      </c>
      <c r="BC31" s="71"/>
      <c r="BD31" s="71">
        <v>44433</v>
      </c>
      <c r="BE31" s="71"/>
      <c r="BF31" s="71"/>
      <c r="BG31" s="71">
        <v>44433</v>
      </c>
      <c r="BH31" s="71"/>
      <c r="BI31" s="71"/>
      <c r="BJ31" s="71"/>
      <c r="BK31" s="70"/>
      <c r="BL31" s="70"/>
      <c r="BM31" s="70"/>
      <c r="BN31" s="70"/>
      <c r="BO31" s="70"/>
    </row>
    <row r="32" spans="1:67" x14ac:dyDescent="0.4">
      <c r="A32" s="86">
        <v>6260000</v>
      </c>
      <c r="B32" s="74" t="s">
        <v>27</v>
      </c>
      <c r="C32" s="71"/>
      <c r="D32" s="71"/>
      <c r="E32" s="71"/>
      <c r="F32" s="71">
        <v>44494</v>
      </c>
      <c r="G32" s="71">
        <v>44496</v>
      </c>
      <c r="H32" s="71"/>
      <c r="I32" s="71"/>
      <c r="J32" s="71"/>
      <c r="K32" s="71"/>
      <c r="L32" s="71">
        <v>44257</v>
      </c>
      <c r="M32" s="71">
        <v>44469</v>
      </c>
      <c r="N32" s="71"/>
      <c r="O32" s="71">
        <v>44483</v>
      </c>
      <c r="P32" s="71"/>
      <c r="Q32" s="71">
        <v>44469</v>
      </c>
      <c r="R32" s="71"/>
      <c r="S32" s="71">
        <v>44496</v>
      </c>
      <c r="T32" s="71">
        <v>44494</v>
      </c>
      <c r="U32" s="71"/>
      <c r="V32" s="71"/>
      <c r="W32" s="71"/>
      <c r="X32" s="71"/>
      <c r="Y32" s="71"/>
      <c r="Z32" s="71"/>
      <c r="AA32" s="71"/>
      <c r="AB32" s="71">
        <v>44439</v>
      </c>
      <c r="AC32" s="71"/>
      <c r="AD32" s="71"/>
      <c r="AE32" s="71"/>
      <c r="AF32" s="71"/>
      <c r="AG32" s="71"/>
      <c r="AH32" s="71">
        <v>44496</v>
      </c>
      <c r="AI32" s="71"/>
      <c r="AJ32" s="71"/>
      <c r="AK32" s="71">
        <v>44326</v>
      </c>
      <c r="AL32" s="71"/>
      <c r="AM32" s="71">
        <v>44463</v>
      </c>
      <c r="AN32" s="71"/>
      <c r="AO32" s="71">
        <v>44137</v>
      </c>
      <c r="AP32" s="71"/>
      <c r="AQ32" s="71"/>
      <c r="AR32" s="71">
        <v>44375</v>
      </c>
      <c r="AS32" s="71"/>
      <c r="AT32" s="71"/>
      <c r="AU32" s="71"/>
      <c r="AV32" s="71"/>
      <c r="AW32" s="71">
        <v>44496</v>
      </c>
      <c r="AX32" s="71"/>
      <c r="AY32" s="71"/>
      <c r="AZ32" s="71"/>
      <c r="BA32" s="71"/>
      <c r="BB32" s="71"/>
      <c r="BC32" s="71"/>
      <c r="BD32" s="71"/>
      <c r="BE32" s="71">
        <v>44435</v>
      </c>
      <c r="BF32" s="71"/>
      <c r="BG32" s="71"/>
      <c r="BH32" s="71"/>
      <c r="BI32" s="71"/>
      <c r="BJ32" s="71"/>
      <c r="BK32" s="70"/>
      <c r="BL32" s="70"/>
      <c r="BM32" s="70"/>
      <c r="BN32" s="70"/>
      <c r="BO32" s="70"/>
    </row>
    <row r="33" spans="1:67" x14ac:dyDescent="0.4">
      <c r="A33" s="86">
        <v>3250000</v>
      </c>
      <c r="B33" s="74" t="s">
        <v>28</v>
      </c>
      <c r="C33" s="71">
        <v>44484</v>
      </c>
      <c r="D33" s="71">
        <v>44463</v>
      </c>
      <c r="E33" s="71">
        <v>44456</v>
      </c>
      <c r="F33" s="71">
        <v>44498</v>
      </c>
      <c r="G33" s="71">
        <v>44484</v>
      </c>
      <c r="H33" s="71">
        <v>44484</v>
      </c>
      <c r="I33" s="71">
        <v>44498</v>
      </c>
      <c r="J33" s="71">
        <v>44484</v>
      </c>
      <c r="K33" s="71"/>
      <c r="L33" s="71">
        <v>44484</v>
      </c>
      <c r="M33" s="71">
        <v>44484</v>
      </c>
      <c r="N33" s="71">
        <v>44490</v>
      </c>
      <c r="O33" s="71"/>
      <c r="P33" s="71">
        <v>44498</v>
      </c>
      <c r="Q33" s="71"/>
      <c r="R33" s="71">
        <v>44487</v>
      </c>
      <c r="S33" s="71"/>
      <c r="T33" s="71"/>
      <c r="U33" s="71">
        <v>44490</v>
      </c>
      <c r="V33" s="71">
        <v>44487</v>
      </c>
      <c r="W33" s="71">
        <v>44495</v>
      </c>
      <c r="X33" s="71">
        <v>44487</v>
      </c>
      <c r="Y33" s="71"/>
      <c r="Z33" s="71"/>
      <c r="AA33" s="71">
        <v>44488</v>
      </c>
      <c r="AB33" s="71">
        <v>44490</v>
      </c>
      <c r="AC33" s="71">
        <v>44488</v>
      </c>
      <c r="AD33" s="71">
        <v>44488</v>
      </c>
      <c r="AE33" s="71"/>
      <c r="AF33" s="71"/>
      <c r="AG33" s="71">
        <v>44488</v>
      </c>
      <c r="AH33" s="71"/>
      <c r="AI33" s="71">
        <v>44488</v>
      </c>
      <c r="AJ33" s="71">
        <v>44488</v>
      </c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>
        <v>44489</v>
      </c>
      <c r="AV33" s="71"/>
      <c r="AW33" s="71"/>
      <c r="AX33" s="71"/>
      <c r="AY33" s="71">
        <v>44489</v>
      </c>
      <c r="AZ33" s="71"/>
      <c r="BA33" s="71">
        <v>44491</v>
      </c>
      <c r="BB33" s="71">
        <v>44489</v>
      </c>
      <c r="BC33" s="71"/>
      <c r="BD33" s="71"/>
      <c r="BE33" s="71"/>
      <c r="BF33" s="71"/>
      <c r="BG33" s="71"/>
      <c r="BH33" s="71"/>
      <c r="BI33" s="71"/>
      <c r="BJ33" s="71"/>
      <c r="BK33" s="70"/>
      <c r="BL33" s="70"/>
      <c r="BM33" s="70"/>
      <c r="BN33" s="70"/>
      <c r="BO33" s="70"/>
    </row>
    <row r="34" spans="1:67" x14ac:dyDescent="0.4">
      <c r="A34" s="86">
        <v>3260000</v>
      </c>
      <c r="B34" s="74" t="s">
        <v>29</v>
      </c>
      <c r="C34" s="71">
        <v>44487</v>
      </c>
      <c r="D34" s="71">
        <v>44452</v>
      </c>
      <c r="E34" s="71">
        <v>44445</v>
      </c>
      <c r="F34" s="71">
        <v>44428</v>
      </c>
      <c r="G34" s="71">
        <v>44428</v>
      </c>
      <c r="H34" s="71">
        <v>44445</v>
      </c>
      <c r="I34" s="71">
        <v>44490</v>
      </c>
      <c r="J34" s="71">
        <v>44469</v>
      </c>
      <c r="K34" s="71"/>
      <c r="L34" s="71">
        <v>44482</v>
      </c>
      <c r="M34" s="71">
        <v>44454</v>
      </c>
      <c r="N34" s="71">
        <v>44427</v>
      </c>
      <c r="O34" s="71"/>
      <c r="P34" s="71">
        <v>44456</v>
      </c>
      <c r="Q34" s="71">
        <v>44456</v>
      </c>
      <c r="R34" s="71">
        <v>44456</v>
      </c>
      <c r="S34" s="71">
        <v>44455</v>
      </c>
      <c r="T34" s="71"/>
      <c r="U34" s="71">
        <v>44445</v>
      </c>
      <c r="V34" s="71">
        <v>44452</v>
      </c>
      <c r="W34" s="71">
        <v>44454</v>
      </c>
      <c r="X34" s="71">
        <v>44454</v>
      </c>
      <c r="Y34" s="71">
        <v>44490</v>
      </c>
      <c r="Z34" s="71">
        <v>44487</v>
      </c>
      <c r="AA34" s="71">
        <v>44445</v>
      </c>
      <c r="AB34" s="71">
        <v>44482</v>
      </c>
      <c r="AC34" s="71">
        <v>44489</v>
      </c>
      <c r="AD34" s="71">
        <v>44453</v>
      </c>
      <c r="AE34" s="71"/>
      <c r="AF34" s="71"/>
      <c r="AG34" s="71">
        <v>44456</v>
      </c>
      <c r="AH34" s="71"/>
      <c r="AI34" s="71">
        <v>44434</v>
      </c>
      <c r="AJ34" s="71">
        <v>44428</v>
      </c>
      <c r="AK34" s="71"/>
      <c r="AL34" s="71"/>
      <c r="AM34" s="71"/>
      <c r="AN34" s="71">
        <v>44431</v>
      </c>
      <c r="AO34" s="71"/>
      <c r="AP34" s="71"/>
      <c r="AQ34" s="71"/>
      <c r="AR34" s="71"/>
      <c r="AS34" s="71"/>
      <c r="AT34" s="71"/>
      <c r="AU34" s="71">
        <v>44434</v>
      </c>
      <c r="AV34" s="71">
        <v>44482</v>
      </c>
      <c r="AW34" s="71"/>
      <c r="AX34" s="71"/>
      <c r="AY34" s="71">
        <v>44490</v>
      </c>
      <c r="AZ34" s="71"/>
      <c r="BA34" s="71">
        <v>44466</v>
      </c>
      <c r="BB34" s="71">
        <v>44489</v>
      </c>
      <c r="BC34" s="71"/>
      <c r="BD34" s="71"/>
      <c r="BE34" s="71"/>
      <c r="BF34" s="71"/>
      <c r="BG34" s="71"/>
      <c r="BH34" s="71"/>
      <c r="BI34" s="71"/>
      <c r="BJ34" s="71"/>
      <c r="BK34" s="70"/>
      <c r="BL34" s="70"/>
      <c r="BM34" s="70"/>
      <c r="BN34" s="70"/>
      <c r="BO34" s="70"/>
    </row>
    <row r="35" spans="1:67" x14ac:dyDescent="0.4">
      <c r="A35" s="86">
        <v>3270000</v>
      </c>
      <c r="B35" s="74" t="s">
        <v>30</v>
      </c>
      <c r="C35" s="71">
        <v>44487</v>
      </c>
      <c r="D35" s="71">
        <v>44397</v>
      </c>
      <c r="E35" s="71">
        <v>44490</v>
      </c>
      <c r="F35" s="71"/>
      <c r="G35" s="71"/>
      <c r="H35" s="71"/>
      <c r="I35" s="71">
        <v>44475</v>
      </c>
      <c r="J35" s="71">
        <v>44454</v>
      </c>
      <c r="K35" s="71"/>
      <c r="L35" s="71">
        <v>44399</v>
      </c>
      <c r="M35" s="71">
        <v>44482</v>
      </c>
      <c r="N35" s="71">
        <v>44489</v>
      </c>
      <c r="O35" s="71"/>
      <c r="P35" s="71">
        <v>44489</v>
      </c>
      <c r="Q35" s="71">
        <v>44375</v>
      </c>
      <c r="R35" s="71"/>
      <c r="S35" s="71"/>
      <c r="T35" s="71"/>
      <c r="U35" s="71">
        <v>44455</v>
      </c>
      <c r="V35" s="71"/>
      <c r="W35" s="71">
        <v>44487</v>
      </c>
      <c r="X35" s="71">
        <v>44445</v>
      </c>
      <c r="Y35" s="71"/>
      <c r="Z35" s="71">
        <v>44442</v>
      </c>
      <c r="AA35" s="71">
        <v>44491</v>
      </c>
      <c r="AB35" s="71">
        <v>44489</v>
      </c>
      <c r="AC35" s="71">
        <v>44428</v>
      </c>
      <c r="AD35" s="71">
        <v>44393</v>
      </c>
      <c r="AE35" s="71"/>
      <c r="AF35" s="71"/>
      <c r="AG35" s="72">
        <v>44189</v>
      </c>
      <c r="AH35" s="71"/>
      <c r="AI35" s="71">
        <v>44389</v>
      </c>
      <c r="AJ35" s="71">
        <v>44389</v>
      </c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>
        <v>44399</v>
      </c>
      <c r="AV35" s="71"/>
      <c r="AW35" s="71"/>
      <c r="AX35" s="71"/>
      <c r="AY35" s="71">
        <v>44361</v>
      </c>
      <c r="AZ35" s="71"/>
      <c r="BA35" s="71"/>
      <c r="BB35" s="71">
        <v>44487</v>
      </c>
      <c r="BC35" s="71"/>
      <c r="BD35" s="71"/>
      <c r="BE35" s="71"/>
      <c r="BF35" s="71"/>
      <c r="BG35" s="71">
        <v>44484</v>
      </c>
      <c r="BH35" s="71"/>
      <c r="BI35" s="71"/>
      <c r="BJ35" s="71"/>
      <c r="BK35" s="70"/>
      <c r="BL35" s="70"/>
      <c r="BM35" s="70"/>
      <c r="BN35" s="70"/>
      <c r="BO35" s="70"/>
    </row>
    <row r="36" spans="1:67" x14ac:dyDescent="0.4">
      <c r="A36" s="86">
        <v>3280000</v>
      </c>
      <c r="B36" s="74" t="s">
        <v>31</v>
      </c>
      <c r="C36" s="72">
        <v>44279</v>
      </c>
      <c r="D36" s="71">
        <v>44285</v>
      </c>
      <c r="E36" s="71">
        <v>44487</v>
      </c>
      <c r="F36" s="71">
        <v>44449</v>
      </c>
      <c r="G36" s="71">
        <v>44475</v>
      </c>
      <c r="H36" s="71">
        <v>44277</v>
      </c>
      <c r="I36" s="71">
        <v>44281</v>
      </c>
      <c r="J36" s="71">
        <v>44496</v>
      </c>
      <c r="K36" s="71"/>
      <c r="L36" s="71">
        <v>44273</v>
      </c>
      <c r="M36" s="71">
        <v>44428</v>
      </c>
      <c r="N36" s="71">
        <v>44487</v>
      </c>
      <c r="O36" s="71"/>
      <c r="P36" s="71">
        <v>44410</v>
      </c>
      <c r="Q36" s="71">
        <v>44428</v>
      </c>
      <c r="R36" s="71"/>
      <c r="S36" s="71">
        <v>44277</v>
      </c>
      <c r="T36" s="71"/>
      <c r="U36" s="71">
        <v>44281</v>
      </c>
      <c r="V36" s="71">
        <v>44404</v>
      </c>
      <c r="W36" s="71">
        <v>44463</v>
      </c>
      <c r="X36" s="71">
        <v>44280</v>
      </c>
      <c r="Y36" s="71"/>
      <c r="Z36" s="71">
        <v>44390</v>
      </c>
      <c r="AA36" s="71">
        <v>44481</v>
      </c>
      <c r="AB36" s="71">
        <v>44474</v>
      </c>
      <c r="AC36" s="71">
        <v>44273</v>
      </c>
      <c r="AD36" s="71">
        <v>44285</v>
      </c>
      <c r="AE36" s="71">
        <v>44277</v>
      </c>
      <c r="AF36" s="71"/>
      <c r="AG36" s="71"/>
      <c r="AH36" s="71"/>
      <c r="AI36" s="71">
        <v>44390</v>
      </c>
      <c r="AJ36" s="71">
        <v>44481</v>
      </c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>
        <v>44463</v>
      </c>
      <c r="AV36" s="71"/>
      <c r="AW36" s="71"/>
      <c r="AX36" s="71">
        <v>44271</v>
      </c>
      <c r="AY36" s="71">
        <v>44497</v>
      </c>
      <c r="AZ36" s="71"/>
      <c r="BA36" s="72">
        <v>44279</v>
      </c>
      <c r="BB36" s="71">
        <v>44434</v>
      </c>
      <c r="BC36" s="71"/>
      <c r="BD36" s="71"/>
      <c r="BE36" s="71"/>
      <c r="BF36" s="71"/>
      <c r="BG36" s="71"/>
      <c r="BH36" s="71"/>
      <c r="BI36" s="71"/>
      <c r="BJ36" s="71"/>
      <c r="BK36" s="70"/>
      <c r="BL36" s="70"/>
      <c r="BM36" s="70"/>
      <c r="BN36" s="70"/>
      <c r="BO36" s="70"/>
    </row>
    <row r="37" spans="1:67" x14ac:dyDescent="0.4">
      <c r="A37" s="86">
        <v>3290000</v>
      </c>
      <c r="B37" s="74" t="s">
        <v>32</v>
      </c>
      <c r="C37" s="71">
        <v>44496</v>
      </c>
      <c r="D37" s="71">
        <v>44489</v>
      </c>
      <c r="E37" s="71">
        <v>44462</v>
      </c>
      <c r="F37" s="71">
        <v>44432</v>
      </c>
      <c r="G37" s="71">
        <v>44494</v>
      </c>
      <c r="H37" s="71">
        <v>44305</v>
      </c>
      <c r="I37" s="71">
        <v>44481</v>
      </c>
      <c r="J37" s="71">
        <v>44496</v>
      </c>
      <c r="K37" s="71"/>
      <c r="L37" s="71">
        <v>44431</v>
      </c>
      <c r="M37" s="71">
        <v>44497</v>
      </c>
      <c r="N37" s="71">
        <v>44482</v>
      </c>
      <c r="O37" s="71"/>
      <c r="P37" s="71">
        <v>44419</v>
      </c>
      <c r="Q37" s="71">
        <v>44435</v>
      </c>
      <c r="R37" s="71">
        <v>44434</v>
      </c>
      <c r="S37" s="71">
        <v>44490</v>
      </c>
      <c r="T37" s="71"/>
      <c r="U37" s="71">
        <v>44435</v>
      </c>
      <c r="V37" s="71">
        <v>44434</v>
      </c>
      <c r="W37" s="71">
        <v>44483</v>
      </c>
      <c r="X37" s="71">
        <v>44490</v>
      </c>
      <c r="Y37" s="71">
        <v>44487</v>
      </c>
      <c r="Z37" s="71">
        <v>44434</v>
      </c>
      <c r="AA37" s="71">
        <v>44482</v>
      </c>
      <c r="AB37" s="71">
        <v>44483</v>
      </c>
      <c r="AC37" s="71"/>
      <c r="AD37" s="71"/>
      <c r="AE37" s="71"/>
      <c r="AF37" s="71"/>
      <c r="AG37" s="71">
        <v>44483</v>
      </c>
      <c r="AH37" s="71"/>
      <c r="AI37" s="71">
        <v>44433</v>
      </c>
      <c r="AJ37" s="71">
        <v>44432</v>
      </c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>
        <v>44496</v>
      </c>
      <c r="AV37" s="71"/>
      <c r="AW37" s="71"/>
      <c r="AX37" s="71"/>
      <c r="AY37" s="71">
        <v>44497</v>
      </c>
      <c r="AZ37" s="71"/>
      <c r="BA37" s="71">
        <v>44326</v>
      </c>
      <c r="BB37" s="71">
        <v>44327</v>
      </c>
      <c r="BC37" s="71">
        <v>44496</v>
      </c>
      <c r="BD37" s="71"/>
      <c r="BE37" s="71"/>
      <c r="BF37" s="71"/>
      <c r="BG37" s="71"/>
      <c r="BH37" s="71"/>
      <c r="BI37" s="71"/>
      <c r="BJ37" s="71"/>
      <c r="BK37" s="70"/>
      <c r="BL37" s="70"/>
      <c r="BM37" s="70"/>
      <c r="BN37" s="70"/>
      <c r="BO37" s="70"/>
    </row>
    <row r="38" spans="1:67" x14ac:dyDescent="0.4">
      <c r="A38" s="86">
        <v>3300000</v>
      </c>
      <c r="B38" s="74" t="s">
        <v>33</v>
      </c>
      <c r="C38" s="71">
        <v>44483</v>
      </c>
      <c r="D38" s="71">
        <v>44483</v>
      </c>
      <c r="E38" s="71">
        <v>44483</v>
      </c>
      <c r="F38" s="71">
        <v>44487</v>
      </c>
      <c r="G38" s="71">
        <v>44484</v>
      </c>
      <c r="H38" s="71"/>
      <c r="I38" s="71">
        <v>44484</v>
      </c>
      <c r="J38" s="71">
        <v>44484</v>
      </c>
      <c r="K38" s="71"/>
      <c r="L38" s="71">
        <v>44487</v>
      </c>
      <c r="M38" s="71">
        <v>44477</v>
      </c>
      <c r="N38" s="71">
        <v>44483</v>
      </c>
      <c r="O38" s="71">
        <v>44483</v>
      </c>
      <c r="P38" s="71">
        <v>44484</v>
      </c>
      <c r="Q38" s="71">
        <v>44487</v>
      </c>
      <c r="R38" s="71"/>
      <c r="S38" s="71">
        <v>44487</v>
      </c>
      <c r="T38" s="71"/>
      <c r="U38" s="71">
        <v>44477</v>
      </c>
      <c r="V38" s="71">
        <v>44484</v>
      </c>
      <c r="W38" s="71">
        <v>44483</v>
      </c>
      <c r="X38" s="71">
        <v>44487</v>
      </c>
      <c r="Y38" s="71"/>
      <c r="Z38" s="71">
        <v>44483</v>
      </c>
      <c r="AA38" s="71">
        <v>44483</v>
      </c>
      <c r="AB38" s="71">
        <v>44483</v>
      </c>
      <c r="AC38" s="71">
        <v>44487</v>
      </c>
      <c r="AD38" s="71">
        <v>44483</v>
      </c>
      <c r="AE38" s="71"/>
      <c r="AF38" s="71"/>
      <c r="AG38" s="71">
        <v>44477</v>
      </c>
      <c r="AH38" s="71"/>
      <c r="AI38" s="71">
        <v>44483</v>
      </c>
      <c r="AJ38" s="71">
        <v>44483</v>
      </c>
      <c r="AK38" s="71"/>
      <c r="AL38" s="71"/>
      <c r="AM38" s="71">
        <v>44487</v>
      </c>
      <c r="AN38" s="71"/>
      <c r="AO38" s="71"/>
      <c r="AP38" s="71"/>
      <c r="AQ38" s="71"/>
      <c r="AR38" s="71"/>
      <c r="AS38" s="71"/>
      <c r="AT38" s="71"/>
      <c r="AU38" s="71">
        <v>44483</v>
      </c>
      <c r="AV38" s="71"/>
      <c r="AW38" s="71"/>
      <c r="AX38" s="71"/>
      <c r="AY38" s="71">
        <v>44488</v>
      </c>
      <c r="AZ38" s="71"/>
      <c r="BA38" s="71">
        <v>44483</v>
      </c>
      <c r="BB38" s="71">
        <v>44488</v>
      </c>
      <c r="BC38" s="71"/>
      <c r="BD38" s="71"/>
      <c r="BE38" s="71"/>
      <c r="BF38" s="71"/>
      <c r="BG38" s="71"/>
      <c r="BH38" s="71"/>
      <c r="BI38" s="71"/>
      <c r="BJ38" s="71"/>
      <c r="BK38" s="70"/>
      <c r="BL38" s="70"/>
      <c r="BM38" s="70"/>
      <c r="BN38" s="70"/>
      <c r="BO38" s="70"/>
    </row>
    <row r="39" spans="1:67" x14ac:dyDescent="0.4">
      <c r="A39" s="86">
        <v>3310000</v>
      </c>
      <c r="B39" s="74" t="s">
        <v>34</v>
      </c>
      <c r="C39" s="71">
        <v>44361</v>
      </c>
      <c r="D39" s="71">
        <v>44396</v>
      </c>
      <c r="E39" s="71">
        <v>44356</v>
      </c>
      <c r="F39" s="71">
        <v>44449</v>
      </c>
      <c r="G39" s="71">
        <v>44449</v>
      </c>
      <c r="H39" s="71">
        <v>44357</v>
      </c>
      <c r="I39" s="71">
        <v>44357</v>
      </c>
      <c r="J39" s="71">
        <v>44490</v>
      </c>
      <c r="K39" s="71"/>
      <c r="L39" s="71">
        <v>44357</v>
      </c>
      <c r="M39" s="71">
        <v>44453</v>
      </c>
      <c r="N39" s="71">
        <v>44491</v>
      </c>
      <c r="O39" s="71"/>
      <c r="P39" s="71">
        <v>44384</v>
      </c>
      <c r="Q39" s="71">
        <v>44449</v>
      </c>
      <c r="R39" s="71">
        <v>44425</v>
      </c>
      <c r="S39" s="71">
        <v>44357</v>
      </c>
      <c r="T39" s="71"/>
      <c r="U39" s="71"/>
      <c r="V39" s="71">
        <v>44385</v>
      </c>
      <c r="W39" s="72">
        <v>44187</v>
      </c>
      <c r="X39" s="71">
        <v>44187</v>
      </c>
      <c r="Y39" s="71"/>
      <c r="Z39" s="71">
        <v>44357</v>
      </c>
      <c r="AA39" s="71">
        <v>44360</v>
      </c>
      <c r="AB39" s="71">
        <v>44490</v>
      </c>
      <c r="AC39" s="71">
        <v>44199</v>
      </c>
      <c r="AD39" s="71">
        <v>44357</v>
      </c>
      <c r="AE39" s="71"/>
      <c r="AF39" s="71"/>
      <c r="AG39" s="71">
        <v>44405</v>
      </c>
      <c r="AH39" s="71"/>
      <c r="AI39" s="71">
        <v>44175</v>
      </c>
      <c r="AJ39" s="71">
        <v>44175</v>
      </c>
      <c r="AK39" s="71"/>
      <c r="AL39" s="71"/>
      <c r="AM39" s="71"/>
      <c r="AN39" s="71">
        <v>44491</v>
      </c>
      <c r="AO39" s="71"/>
      <c r="AP39" s="71"/>
      <c r="AQ39" s="71"/>
      <c r="AR39" s="71">
        <v>44467</v>
      </c>
      <c r="AS39" s="71"/>
      <c r="AT39" s="71"/>
      <c r="AU39" s="71">
        <v>44410</v>
      </c>
      <c r="AV39" s="71"/>
      <c r="AW39" s="71"/>
      <c r="AX39" s="71"/>
      <c r="AY39" s="71"/>
      <c r="AZ39" s="71"/>
      <c r="BA39" s="71">
        <v>44356</v>
      </c>
      <c r="BB39" s="71"/>
      <c r="BC39" s="71">
        <v>44491</v>
      </c>
      <c r="BD39" s="71"/>
      <c r="BE39" s="71"/>
      <c r="BF39" s="71"/>
      <c r="BG39" s="71"/>
      <c r="BH39" s="71"/>
      <c r="BI39" s="71"/>
      <c r="BJ39" s="71"/>
      <c r="BK39" s="70"/>
      <c r="BL39" s="70"/>
      <c r="BM39" s="70"/>
      <c r="BN39" s="70"/>
      <c r="BO39" s="70"/>
    </row>
    <row r="40" spans="1:67" x14ac:dyDescent="0.4">
      <c r="A40" s="86">
        <v>3320000</v>
      </c>
      <c r="B40" s="74" t="s">
        <v>35</v>
      </c>
      <c r="C40" s="71">
        <v>44497</v>
      </c>
      <c r="D40" s="71">
        <v>44322</v>
      </c>
      <c r="E40" s="71">
        <v>44403</v>
      </c>
      <c r="F40" s="71">
        <v>44497</v>
      </c>
      <c r="G40" s="71">
        <v>44497</v>
      </c>
      <c r="H40" s="71">
        <v>44404</v>
      </c>
      <c r="I40" s="71">
        <v>44259</v>
      </c>
      <c r="J40" s="71">
        <v>44432</v>
      </c>
      <c r="K40" s="71"/>
      <c r="L40" s="71"/>
      <c r="M40" s="71">
        <v>44498</v>
      </c>
      <c r="N40" s="71">
        <v>44404</v>
      </c>
      <c r="O40" s="71"/>
      <c r="P40" s="71">
        <v>44159</v>
      </c>
      <c r="Q40" s="71">
        <v>44497</v>
      </c>
      <c r="R40" s="71">
        <v>44159</v>
      </c>
      <c r="S40" s="71"/>
      <c r="T40" s="71"/>
      <c r="U40" s="71">
        <v>44159</v>
      </c>
      <c r="V40" s="71">
        <v>44284</v>
      </c>
      <c r="W40" s="71">
        <v>44467</v>
      </c>
      <c r="X40" s="71">
        <v>44404</v>
      </c>
      <c r="Y40" s="71"/>
      <c r="Z40" s="71">
        <v>44453</v>
      </c>
      <c r="AA40" s="71"/>
      <c r="AB40" s="71">
        <v>44159</v>
      </c>
      <c r="AC40" s="71"/>
      <c r="AD40" s="71">
        <v>44159</v>
      </c>
      <c r="AE40" s="71"/>
      <c r="AF40" s="71"/>
      <c r="AG40" s="71">
        <v>44498</v>
      </c>
      <c r="AH40" s="71"/>
      <c r="AI40" s="71">
        <v>44301</v>
      </c>
      <c r="AJ40" s="71">
        <v>44301</v>
      </c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>
        <v>44497</v>
      </c>
      <c r="AV40" s="71"/>
      <c r="AW40" s="71"/>
      <c r="AX40" s="71"/>
      <c r="AY40" s="71">
        <v>44495</v>
      </c>
      <c r="AZ40" s="71"/>
      <c r="BA40" s="71"/>
      <c r="BB40" s="71">
        <v>44320</v>
      </c>
      <c r="BC40" s="71"/>
      <c r="BD40" s="71"/>
      <c r="BE40" s="71"/>
      <c r="BF40" s="71"/>
      <c r="BG40" s="71"/>
      <c r="BH40" s="71"/>
      <c r="BI40" s="71"/>
      <c r="BJ40" s="71"/>
      <c r="BK40" s="70"/>
      <c r="BL40" s="70"/>
      <c r="BM40" s="70"/>
      <c r="BN40" s="70"/>
      <c r="BO40" s="70"/>
    </row>
    <row r="41" spans="1:67" x14ac:dyDescent="0.4">
      <c r="A41" s="86">
        <v>3330000</v>
      </c>
      <c r="B41" s="74" t="s">
        <v>36</v>
      </c>
      <c r="C41" s="71">
        <v>44484</v>
      </c>
      <c r="D41" s="71">
        <v>44181</v>
      </c>
      <c r="E41" s="71">
        <v>44463</v>
      </c>
      <c r="F41" s="71">
        <v>44480</v>
      </c>
      <c r="G41" s="71">
        <v>44482</v>
      </c>
      <c r="H41" s="71">
        <v>44496</v>
      </c>
      <c r="I41" s="71">
        <v>44483</v>
      </c>
      <c r="J41" s="71">
        <v>44481</v>
      </c>
      <c r="K41" s="71"/>
      <c r="L41" s="71">
        <v>44482</v>
      </c>
      <c r="M41" s="71">
        <v>44482</v>
      </c>
      <c r="N41" s="71">
        <v>44362</v>
      </c>
      <c r="O41" s="71">
        <v>44180</v>
      </c>
      <c r="P41" s="71">
        <v>44187</v>
      </c>
      <c r="Q41" s="71">
        <v>44494</v>
      </c>
      <c r="R41" s="71"/>
      <c r="S41" s="71">
        <v>44169</v>
      </c>
      <c r="T41" s="71"/>
      <c r="U41" s="71">
        <v>44153</v>
      </c>
      <c r="V41" s="71">
        <v>44327</v>
      </c>
      <c r="W41" s="71">
        <v>44484</v>
      </c>
      <c r="X41" s="71">
        <v>44365</v>
      </c>
      <c r="Y41" s="71"/>
      <c r="Z41" s="71">
        <v>44351</v>
      </c>
      <c r="AA41" s="71">
        <v>44179</v>
      </c>
      <c r="AB41" s="71">
        <v>44483</v>
      </c>
      <c r="AC41" s="71">
        <v>44175</v>
      </c>
      <c r="AD41" s="71">
        <v>44181</v>
      </c>
      <c r="AE41" s="71">
        <v>44169</v>
      </c>
      <c r="AF41" s="71"/>
      <c r="AG41" s="71">
        <v>44342</v>
      </c>
      <c r="AH41" s="71"/>
      <c r="AI41" s="71">
        <v>44481</v>
      </c>
      <c r="AJ41" s="71">
        <v>44481</v>
      </c>
      <c r="AK41" s="71"/>
      <c r="AL41" s="71"/>
      <c r="AM41" s="71"/>
      <c r="AN41" s="71">
        <v>44398</v>
      </c>
      <c r="AO41" s="71"/>
      <c r="AP41" s="71"/>
      <c r="AQ41" s="71"/>
      <c r="AR41" s="71"/>
      <c r="AS41" s="71"/>
      <c r="AT41" s="71"/>
      <c r="AU41" s="71">
        <v>44419</v>
      </c>
      <c r="AV41" s="71"/>
      <c r="AW41" s="71"/>
      <c r="AX41" s="71">
        <v>44490</v>
      </c>
      <c r="AY41" s="71">
        <v>44376</v>
      </c>
      <c r="AZ41" s="71"/>
      <c r="BA41" s="71"/>
      <c r="BB41" s="71">
        <v>44369</v>
      </c>
      <c r="BC41" s="71"/>
      <c r="BD41" s="71"/>
      <c r="BE41" s="71"/>
      <c r="BF41" s="71"/>
      <c r="BG41" s="71">
        <v>44484</v>
      </c>
      <c r="BH41" s="71"/>
      <c r="BI41" s="71"/>
      <c r="BJ41" s="71"/>
      <c r="BK41" s="70"/>
      <c r="BL41" s="70"/>
      <c r="BM41" s="70"/>
      <c r="BN41" s="70"/>
      <c r="BO41" s="70"/>
    </row>
    <row r="42" spans="1:67" x14ac:dyDescent="0.4">
      <c r="A42" s="86">
        <v>3340000</v>
      </c>
      <c r="B42" s="74" t="s">
        <v>37</v>
      </c>
      <c r="C42" s="71">
        <v>44497</v>
      </c>
      <c r="D42" s="71">
        <v>44280</v>
      </c>
      <c r="E42" s="71">
        <v>44463</v>
      </c>
      <c r="F42" s="71">
        <v>44463</v>
      </c>
      <c r="G42" s="71">
        <v>44463</v>
      </c>
      <c r="H42" s="71">
        <v>44497</v>
      </c>
      <c r="I42" s="71">
        <v>44264</v>
      </c>
      <c r="J42" s="71">
        <v>44447</v>
      </c>
      <c r="K42" s="71"/>
      <c r="L42" s="71">
        <v>44314</v>
      </c>
      <c r="M42" s="71">
        <v>44447</v>
      </c>
      <c r="N42" s="71">
        <v>44188</v>
      </c>
      <c r="O42" s="71">
        <v>44463</v>
      </c>
      <c r="P42" s="71">
        <v>44175</v>
      </c>
      <c r="Q42" s="71">
        <v>44497</v>
      </c>
      <c r="R42" s="71">
        <v>44186</v>
      </c>
      <c r="S42" s="71">
        <v>44463</v>
      </c>
      <c r="T42" s="71"/>
      <c r="U42" s="71">
        <v>44260</v>
      </c>
      <c r="V42" s="71">
        <v>44448</v>
      </c>
      <c r="W42" s="71">
        <v>44477</v>
      </c>
      <c r="X42" s="71">
        <v>44218</v>
      </c>
      <c r="Y42" s="71"/>
      <c r="Z42" s="71">
        <v>44313</v>
      </c>
      <c r="AA42" s="71">
        <v>44462</v>
      </c>
      <c r="AB42" s="71">
        <v>44172</v>
      </c>
      <c r="AC42" s="71">
        <v>44217</v>
      </c>
      <c r="AD42" s="71">
        <v>44188</v>
      </c>
      <c r="AE42" s="71">
        <v>44483</v>
      </c>
      <c r="AF42" s="71">
        <v>44497</v>
      </c>
      <c r="AG42" s="71"/>
      <c r="AH42" s="71"/>
      <c r="AI42" s="71">
        <v>44288</v>
      </c>
      <c r="AJ42" s="71">
        <v>44288</v>
      </c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>
        <v>44406</v>
      </c>
      <c r="AZ42" s="71"/>
      <c r="BA42" s="71">
        <v>44463</v>
      </c>
      <c r="BB42" s="71">
        <v>44497</v>
      </c>
      <c r="BC42" s="71"/>
      <c r="BD42" s="71"/>
      <c r="BE42" s="71"/>
      <c r="BF42" s="71"/>
      <c r="BG42" s="71"/>
      <c r="BH42" s="71"/>
      <c r="BI42" s="71"/>
      <c r="BJ42" s="71"/>
      <c r="BK42" s="70"/>
      <c r="BL42" s="70"/>
      <c r="BM42" s="70"/>
      <c r="BN42" s="70"/>
      <c r="BO42" s="70"/>
    </row>
    <row r="43" spans="1:67" x14ac:dyDescent="0.4">
      <c r="A43" s="86">
        <v>3350000</v>
      </c>
      <c r="B43" s="74" t="s">
        <v>38</v>
      </c>
      <c r="C43" s="71">
        <v>44495</v>
      </c>
      <c r="D43" s="71">
        <v>44495</v>
      </c>
      <c r="E43" s="71">
        <v>44495</v>
      </c>
      <c r="F43" s="71">
        <v>44496</v>
      </c>
      <c r="G43" s="71">
        <v>44495</v>
      </c>
      <c r="H43" s="71">
        <v>44495</v>
      </c>
      <c r="I43" s="71">
        <v>44495</v>
      </c>
      <c r="J43" s="71">
        <v>44495</v>
      </c>
      <c r="K43" s="71"/>
      <c r="L43" s="71">
        <v>44495</v>
      </c>
      <c r="M43" s="71">
        <v>44495</v>
      </c>
      <c r="N43" s="71">
        <v>44496</v>
      </c>
      <c r="O43" s="71">
        <v>44495</v>
      </c>
      <c r="P43" s="71">
        <v>44495</v>
      </c>
      <c r="Q43" s="71">
        <v>44495</v>
      </c>
      <c r="R43" s="71"/>
      <c r="S43" s="71">
        <v>44495</v>
      </c>
      <c r="T43" s="71"/>
      <c r="U43" s="71">
        <v>44495</v>
      </c>
      <c r="V43" s="71">
        <v>44495</v>
      </c>
      <c r="W43" s="71">
        <v>44495</v>
      </c>
      <c r="X43" s="71">
        <v>44495</v>
      </c>
      <c r="Y43" s="71"/>
      <c r="Z43" s="71"/>
      <c r="AA43" s="71">
        <v>44495</v>
      </c>
      <c r="AB43" s="71">
        <v>44495</v>
      </c>
      <c r="AC43" s="71">
        <v>44496</v>
      </c>
      <c r="AD43" s="71">
        <v>44496</v>
      </c>
      <c r="AE43" s="71"/>
      <c r="AF43" s="71"/>
      <c r="AG43" s="71">
        <v>44496</v>
      </c>
      <c r="AH43" s="71"/>
      <c r="AI43" s="71">
        <v>44495</v>
      </c>
      <c r="AJ43" s="71">
        <v>44495</v>
      </c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>
        <v>44495</v>
      </c>
      <c r="AY43" s="71">
        <v>44504</v>
      </c>
      <c r="AZ43" s="71"/>
      <c r="BA43" s="71"/>
      <c r="BB43" s="71">
        <v>44495</v>
      </c>
      <c r="BC43" s="71">
        <v>44495</v>
      </c>
      <c r="BD43" s="71"/>
      <c r="BE43" s="71"/>
      <c r="BF43" s="71"/>
      <c r="BG43" s="71"/>
      <c r="BH43" s="71"/>
      <c r="BI43" s="71"/>
      <c r="BJ43" s="71"/>
      <c r="BK43" s="70"/>
      <c r="BL43" s="70"/>
      <c r="BM43" s="70"/>
      <c r="BN43" s="70"/>
      <c r="BO43" s="70"/>
    </row>
    <row r="44" spans="1:67" x14ac:dyDescent="0.4">
      <c r="A44" s="86">
        <v>3360000</v>
      </c>
      <c r="B44" s="74" t="s">
        <v>39</v>
      </c>
      <c r="C44" s="71">
        <v>44491</v>
      </c>
      <c r="D44" s="71">
        <v>44455</v>
      </c>
      <c r="E44" s="71">
        <v>44447</v>
      </c>
      <c r="F44" s="71"/>
      <c r="G44" s="71">
        <v>44459</v>
      </c>
      <c r="H44" s="71">
        <v>44232</v>
      </c>
      <c r="I44" s="71">
        <v>44494</v>
      </c>
      <c r="J44" s="71">
        <v>44413</v>
      </c>
      <c r="K44" s="71"/>
      <c r="L44" s="71">
        <v>44306</v>
      </c>
      <c r="M44" s="71">
        <v>44459</v>
      </c>
      <c r="N44" s="71">
        <v>44139</v>
      </c>
      <c r="O44" s="71"/>
      <c r="P44" s="71">
        <v>44435</v>
      </c>
      <c r="Q44" s="71">
        <v>44372</v>
      </c>
      <c r="R44" s="71"/>
      <c r="S44" s="71">
        <v>44363</v>
      </c>
      <c r="T44" s="71"/>
      <c r="U44" s="71">
        <v>44490</v>
      </c>
      <c r="V44" s="71">
        <v>44466</v>
      </c>
      <c r="W44" s="71"/>
      <c r="X44" s="71"/>
      <c r="Y44" s="71"/>
      <c r="Z44" s="71"/>
      <c r="AA44" s="71">
        <v>44443</v>
      </c>
      <c r="AB44" s="71">
        <v>44487</v>
      </c>
      <c r="AC44" s="71"/>
      <c r="AD44" s="71">
        <v>44223</v>
      </c>
      <c r="AE44" s="71">
        <v>44466</v>
      </c>
      <c r="AF44" s="71"/>
      <c r="AG44" s="71"/>
      <c r="AH44" s="71"/>
      <c r="AI44" s="71">
        <v>44372</v>
      </c>
      <c r="AJ44" s="71">
        <v>44372</v>
      </c>
      <c r="AK44" s="71"/>
      <c r="AL44" s="71"/>
      <c r="AM44" s="71"/>
      <c r="AN44" s="71"/>
      <c r="AO44" s="71"/>
      <c r="AP44" s="71"/>
      <c r="AQ44" s="71"/>
      <c r="AR44" s="71">
        <v>44491</v>
      </c>
      <c r="AS44" s="71"/>
      <c r="AT44" s="71"/>
      <c r="AU44" s="71">
        <v>44457</v>
      </c>
      <c r="AV44" s="71"/>
      <c r="AW44" s="71"/>
      <c r="AX44" s="71"/>
      <c r="AY44" s="71">
        <v>44413</v>
      </c>
      <c r="AZ44" s="71"/>
      <c r="BA44" s="71">
        <v>44459</v>
      </c>
      <c r="BB44" s="71"/>
      <c r="BC44" s="71"/>
      <c r="BD44" s="71"/>
      <c r="BE44" s="71"/>
      <c r="BF44" s="71"/>
      <c r="BG44" s="71"/>
      <c r="BH44" s="71"/>
      <c r="BI44" s="71"/>
      <c r="BJ44" s="71"/>
      <c r="BK44" s="70"/>
      <c r="BL44" s="70"/>
      <c r="BM44" s="70"/>
      <c r="BN44" s="70"/>
      <c r="BO44" s="70"/>
    </row>
    <row r="45" spans="1:67" x14ac:dyDescent="0.4">
      <c r="A45" s="86">
        <v>3370000</v>
      </c>
      <c r="B45" s="74" t="s">
        <v>40</v>
      </c>
      <c r="C45" s="71">
        <v>44485</v>
      </c>
      <c r="D45" s="71">
        <v>44393</v>
      </c>
      <c r="E45" s="71">
        <v>44483</v>
      </c>
      <c r="F45" s="71">
        <v>44483</v>
      </c>
      <c r="G45" s="71">
        <v>44490</v>
      </c>
      <c r="H45" s="71">
        <v>44491</v>
      </c>
      <c r="I45" s="71">
        <v>44477</v>
      </c>
      <c r="J45" s="71">
        <v>44428</v>
      </c>
      <c r="K45" s="71"/>
      <c r="L45" s="71"/>
      <c r="M45" s="71">
        <v>44491</v>
      </c>
      <c r="N45" s="71">
        <v>44469</v>
      </c>
      <c r="O45" s="71">
        <v>44390</v>
      </c>
      <c r="P45" s="71">
        <v>44489</v>
      </c>
      <c r="Q45" s="71"/>
      <c r="R45" s="71">
        <v>44340</v>
      </c>
      <c r="S45" s="71"/>
      <c r="T45" s="71"/>
      <c r="U45" s="71">
        <v>44483</v>
      </c>
      <c r="V45" s="71">
        <v>44357</v>
      </c>
      <c r="W45" s="71">
        <v>44485</v>
      </c>
      <c r="X45" s="71">
        <v>44485</v>
      </c>
      <c r="Y45" s="71"/>
      <c r="Z45" s="71">
        <v>44484</v>
      </c>
      <c r="AA45" s="71">
        <v>44469</v>
      </c>
      <c r="AB45" s="71">
        <v>44475</v>
      </c>
      <c r="AC45" s="71"/>
      <c r="AD45" s="71">
        <v>44489</v>
      </c>
      <c r="AE45" s="71">
        <v>44483</v>
      </c>
      <c r="AF45" s="71"/>
      <c r="AG45" s="71"/>
      <c r="AH45" s="71"/>
      <c r="AI45" s="71">
        <v>44484</v>
      </c>
      <c r="AJ45" s="71">
        <v>44484</v>
      </c>
      <c r="AK45" s="71"/>
      <c r="AL45" s="71"/>
      <c r="AM45" s="71"/>
      <c r="AN45" s="71"/>
      <c r="AO45" s="71"/>
      <c r="AP45" s="71"/>
      <c r="AQ45" s="71"/>
      <c r="AR45" s="71">
        <v>44484</v>
      </c>
      <c r="AS45" s="71"/>
      <c r="AT45" s="71"/>
      <c r="AU45" s="71">
        <v>44484</v>
      </c>
      <c r="AV45" s="71"/>
      <c r="AW45" s="71"/>
      <c r="AX45" s="71">
        <v>44488</v>
      </c>
      <c r="AY45" s="71">
        <v>44377</v>
      </c>
      <c r="AZ45" s="71">
        <v>44456</v>
      </c>
      <c r="BA45" s="71">
        <v>44483</v>
      </c>
      <c r="BB45" s="71">
        <v>44428</v>
      </c>
      <c r="BC45" s="71">
        <v>44369</v>
      </c>
      <c r="BD45" s="71"/>
      <c r="BE45" s="71"/>
      <c r="BF45" s="71"/>
      <c r="BG45" s="71"/>
      <c r="BH45" s="71"/>
      <c r="BI45" s="71"/>
      <c r="BJ45" s="71"/>
      <c r="BK45" s="70"/>
      <c r="BL45" s="70"/>
      <c r="BM45" s="70"/>
      <c r="BN45" s="70"/>
      <c r="BO45" s="70"/>
    </row>
    <row r="46" spans="1:67" x14ac:dyDescent="0.4">
      <c r="A46" s="86">
        <v>3380000</v>
      </c>
      <c r="B46" s="74" t="s">
        <v>41</v>
      </c>
      <c r="C46" s="71">
        <v>44378</v>
      </c>
      <c r="D46" s="71">
        <v>44463</v>
      </c>
      <c r="E46" s="71">
        <v>44376</v>
      </c>
      <c r="F46" s="71">
        <v>44463</v>
      </c>
      <c r="G46" s="71">
        <v>44477</v>
      </c>
      <c r="H46" s="71"/>
      <c r="I46" s="71">
        <v>44357</v>
      </c>
      <c r="J46" s="71">
        <v>44487</v>
      </c>
      <c r="K46" s="71"/>
      <c r="L46" s="71">
        <v>44483</v>
      </c>
      <c r="M46" s="71">
        <v>44466</v>
      </c>
      <c r="N46" s="71">
        <v>44378</v>
      </c>
      <c r="O46" s="71">
        <v>44236</v>
      </c>
      <c r="P46" s="71">
        <v>44378</v>
      </c>
      <c r="Q46" s="71">
        <v>44403</v>
      </c>
      <c r="R46" s="71">
        <v>44342</v>
      </c>
      <c r="S46" s="71"/>
      <c r="T46" s="71"/>
      <c r="U46" s="71">
        <v>44404</v>
      </c>
      <c r="V46" s="71"/>
      <c r="W46" s="71">
        <v>44433</v>
      </c>
      <c r="X46" s="71">
        <v>44166</v>
      </c>
      <c r="Y46" s="71"/>
      <c r="Z46" s="71">
        <v>44371</v>
      </c>
      <c r="AA46" s="71">
        <v>44364</v>
      </c>
      <c r="AB46" s="71">
        <v>44140</v>
      </c>
      <c r="AC46" s="71">
        <v>44369</v>
      </c>
      <c r="AD46" s="71">
        <v>44378</v>
      </c>
      <c r="AE46" s="71"/>
      <c r="AF46" s="71"/>
      <c r="AG46" s="71">
        <v>44371</v>
      </c>
      <c r="AH46" s="71"/>
      <c r="AI46" s="71">
        <v>44221</v>
      </c>
      <c r="AJ46" s="71">
        <v>44435</v>
      </c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>
        <v>44372</v>
      </c>
      <c r="AV46" s="71"/>
      <c r="AW46" s="71"/>
      <c r="AX46" s="71"/>
      <c r="AY46" s="71">
        <v>44378</v>
      </c>
      <c r="AZ46" s="71"/>
      <c r="BA46" s="71"/>
      <c r="BB46" s="71">
        <v>44341</v>
      </c>
      <c r="BC46" s="71"/>
      <c r="BD46" s="71"/>
      <c r="BE46" s="71"/>
      <c r="BF46" s="71"/>
      <c r="BG46" s="71"/>
      <c r="BH46" s="71"/>
      <c r="BI46" s="71"/>
      <c r="BJ46" s="71"/>
      <c r="BK46" s="70"/>
      <c r="BL46" s="70"/>
      <c r="BM46" s="70"/>
      <c r="BN46" s="70"/>
      <c r="BO46" s="70"/>
    </row>
    <row r="47" spans="1:67" x14ac:dyDescent="0.4">
      <c r="A47" s="86">
        <v>3390000</v>
      </c>
      <c r="B47" s="74" t="s">
        <v>42</v>
      </c>
      <c r="C47" s="71">
        <v>44490</v>
      </c>
      <c r="D47" s="71">
        <v>44377</v>
      </c>
      <c r="E47" s="71">
        <v>44453</v>
      </c>
      <c r="F47" s="71">
        <v>44466</v>
      </c>
      <c r="G47" s="71">
        <v>44489</v>
      </c>
      <c r="H47" s="71">
        <v>44372</v>
      </c>
      <c r="I47" s="71">
        <v>44365</v>
      </c>
      <c r="J47" s="71">
        <v>44496</v>
      </c>
      <c r="K47" s="71"/>
      <c r="L47" s="71"/>
      <c r="M47" s="71">
        <v>44447</v>
      </c>
      <c r="N47" s="71">
        <v>44377</v>
      </c>
      <c r="O47" s="71"/>
      <c r="P47" s="71">
        <v>44487</v>
      </c>
      <c r="Q47" s="71">
        <v>44466</v>
      </c>
      <c r="R47" s="71">
        <v>44372</v>
      </c>
      <c r="S47" s="71">
        <v>44363</v>
      </c>
      <c r="T47" s="71"/>
      <c r="U47" s="71">
        <v>44376</v>
      </c>
      <c r="V47" s="71">
        <v>44376</v>
      </c>
      <c r="W47" s="71">
        <v>44370</v>
      </c>
      <c r="X47" s="71">
        <v>44370</v>
      </c>
      <c r="Y47" s="71"/>
      <c r="Z47" s="71">
        <v>44363</v>
      </c>
      <c r="AA47" s="71">
        <v>44382</v>
      </c>
      <c r="AB47" s="71">
        <v>44382</v>
      </c>
      <c r="AC47" s="71"/>
      <c r="AD47" s="71">
        <v>44368</v>
      </c>
      <c r="AE47" s="71"/>
      <c r="AF47" s="71"/>
      <c r="AG47" s="71"/>
      <c r="AH47" s="71"/>
      <c r="AI47" s="71">
        <v>44314</v>
      </c>
      <c r="AJ47" s="71">
        <v>44284</v>
      </c>
      <c r="AK47" s="71"/>
      <c r="AL47" s="71"/>
      <c r="AM47" s="71"/>
      <c r="AN47" s="71"/>
      <c r="AO47" s="71"/>
      <c r="AP47" s="71"/>
      <c r="AQ47" s="71"/>
      <c r="AR47" s="71">
        <v>44370</v>
      </c>
      <c r="AS47" s="71"/>
      <c r="AT47" s="71"/>
      <c r="AU47" s="71">
        <v>44490</v>
      </c>
      <c r="AV47" s="71"/>
      <c r="AW47" s="71"/>
      <c r="AX47" s="71"/>
      <c r="AY47" s="71">
        <v>44377</v>
      </c>
      <c r="AZ47" s="71"/>
      <c r="BA47" s="71"/>
      <c r="BB47" s="71">
        <v>44355</v>
      </c>
      <c r="BC47" s="71">
        <v>44382</v>
      </c>
      <c r="BD47" s="71"/>
      <c r="BE47" s="71"/>
      <c r="BF47" s="71"/>
      <c r="BG47" s="71"/>
      <c r="BH47" s="71"/>
      <c r="BI47" s="71"/>
      <c r="BJ47" s="71"/>
      <c r="BK47" s="70"/>
      <c r="BL47" s="70"/>
      <c r="BM47" s="70"/>
      <c r="BN47" s="70"/>
      <c r="BO47" s="70"/>
    </row>
    <row r="48" spans="1:67" x14ac:dyDescent="0.4">
      <c r="A48" s="86">
        <v>3400000</v>
      </c>
      <c r="B48" s="74" t="s">
        <v>43</v>
      </c>
      <c r="C48" s="71">
        <v>44368</v>
      </c>
      <c r="D48" s="71">
        <v>44214</v>
      </c>
      <c r="E48" s="71">
        <v>44477</v>
      </c>
      <c r="F48" s="71"/>
      <c r="G48" s="71"/>
      <c r="H48" s="71">
        <v>44173</v>
      </c>
      <c r="I48" s="71">
        <v>44481</v>
      </c>
      <c r="J48" s="71">
        <v>44484</v>
      </c>
      <c r="K48" s="71"/>
      <c r="L48" s="71"/>
      <c r="M48" s="71">
        <v>44413</v>
      </c>
      <c r="N48" s="71">
        <v>44481</v>
      </c>
      <c r="O48" s="71"/>
      <c r="P48" s="71">
        <v>44186</v>
      </c>
      <c r="Q48" s="71">
        <v>44245</v>
      </c>
      <c r="R48" s="71"/>
      <c r="S48" s="71"/>
      <c r="T48" s="71">
        <v>44453</v>
      </c>
      <c r="U48" s="71">
        <v>44186</v>
      </c>
      <c r="V48" s="71">
        <v>44476</v>
      </c>
      <c r="W48" s="71"/>
      <c r="X48" s="71">
        <v>44393</v>
      </c>
      <c r="Y48" s="71"/>
      <c r="Z48" s="71">
        <v>44420</v>
      </c>
      <c r="AA48" s="71">
        <v>44422</v>
      </c>
      <c r="AB48" s="71">
        <v>44301</v>
      </c>
      <c r="AC48" s="71"/>
      <c r="AD48" s="71">
        <v>44449</v>
      </c>
      <c r="AE48" s="71"/>
      <c r="AF48" s="71"/>
      <c r="AG48" s="71">
        <v>44393</v>
      </c>
      <c r="AH48" s="71"/>
      <c r="AI48" s="71">
        <v>44481</v>
      </c>
      <c r="AJ48" s="71">
        <v>44481</v>
      </c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>
        <v>44476</v>
      </c>
      <c r="AV48" s="71"/>
      <c r="AW48" s="71"/>
      <c r="AX48" s="71"/>
      <c r="AY48" s="71">
        <v>44475</v>
      </c>
      <c r="AZ48" s="71"/>
      <c r="BA48" s="71"/>
      <c r="BB48" s="71">
        <v>44484</v>
      </c>
      <c r="BC48" s="71"/>
      <c r="BD48" s="71"/>
      <c r="BE48" s="71"/>
      <c r="BF48" s="71"/>
      <c r="BG48" s="71">
        <v>44350</v>
      </c>
      <c r="BH48" s="71"/>
      <c r="BI48" s="71"/>
      <c r="BJ48" s="71"/>
      <c r="BK48" s="70"/>
      <c r="BL48" s="70"/>
      <c r="BM48" s="70"/>
      <c r="BN48" s="70"/>
      <c r="BO48" s="70"/>
    </row>
    <row r="49" spans="1:67" x14ac:dyDescent="0.4">
      <c r="A49" s="86">
        <v>6280000</v>
      </c>
      <c r="B49" s="74" t="s">
        <v>44</v>
      </c>
      <c r="C49" s="71"/>
      <c r="D49" s="71">
        <v>44259</v>
      </c>
      <c r="E49" s="71"/>
      <c r="F49" s="71"/>
      <c r="G49" s="71"/>
      <c r="H49" s="71"/>
      <c r="I49" s="71">
        <v>44364</v>
      </c>
      <c r="J49" s="71">
        <v>44498</v>
      </c>
      <c r="K49" s="71"/>
      <c r="L49" s="71">
        <v>44497</v>
      </c>
      <c r="M49" s="71">
        <v>44497</v>
      </c>
      <c r="N49" s="71"/>
      <c r="O49" s="71"/>
      <c r="P49" s="71"/>
      <c r="Q49" s="71"/>
      <c r="R49" s="71"/>
      <c r="S49" s="71">
        <v>44249</v>
      </c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>
        <v>44494</v>
      </c>
      <c r="AL49" s="71"/>
      <c r="AM49" s="71">
        <v>44489</v>
      </c>
      <c r="AN49" s="71"/>
      <c r="AO49" s="71"/>
      <c r="AP49" s="71"/>
      <c r="AQ49" s="71"/>
      <c r="AR49" s="71"/>
      <c r="AS49" s="71"/>
      <c r="AT49" s="71"/>
      <c r="AU49" s="71">
        <v>44496</v>
      </c>
      <c r="AV49" s="71"/>
      <c r="AW49" s="71">
        <v>44495</v>
      </c>
      <c r="AX49" s="71"/>
      <c r="AY49" s="71"/>
      <c r="AZ49" s="71"/>
      <c r="BA49" s="71"/>
      <c r="BB49" s="71"/>
      <c r="BC49" s="71"/>
      <c r="BD49" s="71"/>
      <c r="BE49" s="71">
        <v>44498</v>
      </c>
      <c r="BF49" s="71"/>
      <c r="BG49" s="71"/>
      <c r="BH49" s="71"/>
      <c r="BI49" s="71">
        <v>44223</v>
      </c>
      <c r="BJ49" s="71">
        <v>44498</v>
      </c>
      <c r="BK49" s="70"/>
      <c r="BL49" s="70"/>
      <c r="BM49" s="70"/>
      <c r="BN49" s="70"/>
      <c r="BO49" s="70"/>
    </row>
    <row r="50" spans="1:67" x14ac:dyDescent="0.4">
      <c r="A50" s="86">
        <v>3490000</v>
      </c>
      <c r="B50" s="74" t="s">
        <v>45</v>
      </c>
      <c r="C50" s="71">
        <v>44411</v>
      </c>
      <c r="D50" s="71">
        <v>44333</v>
      </c>
      <c r="E50" s="71">
        <v>44410</v>
      </c>
      <c r="F50" s="71">
        <v>44468</v>
      </c>
      <c r="G50" s="71">
        <v>44483</v>
      </c>
      <c r="H50" s="71">
        <v>44333</v>
      </c>
      <c r="I50" s="71">
        <v>44410</v>
      </c>
      <c r="J50" s="71">
        <v>44468</v>
      </c>
      <c r="K50" s="71"/>
      <c r="L50" s="71">
        <v>44410</v>
      </c>
      <c r="M50" s="71">
        <v>44483</v>
      </c>
      <c r="N50" s="71">
        <v>44494</v>
      </c>
      <c r="O50" s="71"/>
      <c r="P50" s="71">
        <v>44334</v>
      </c>
      <c r="Q50" s="71"/>
      <c r="R50" s="71">
        <v>44489</v>
      </c>
      <c r="S50" s="71">
        <v>44418</v>
      </c>
      <c r="T50" s="71"/>
      <c r="U50" s="71">
        <v>44333</v>
      </c>
      <c r="V50" s="71">
        <v>44333</v>
      </c>
      <c r="W50" s="71"/>
      <c r="X50" s="71"/>
      <c r="Y50" s="71"/>
      <c r="Z50" s="71">
        <v>44151</v>
      </c>
      <c r="AA50" s="71">
        <v>44333</v>
      </c>
      <c r="AB50" s="71">
        <v>44489</v>
      </c>
      <c r="AC50" s="71"/>
      <c r="AD50" s="71">
        <v>44333</v>
      </c>
      <c r="AE50" s="71"/>
      <c r="AF50" s="71">
        <v>44410</v>
      </c>
      <c r="AG50" s="71">
        <v>44410</v>
      </c>
      <c r="AH50" s="71">
        <v>44333</v>
      </c>
      <c r="AI50" s="71">
        <v>44468</v>
      </c>
      <c r="AJ50" s="71">
        <v>44468</v>
      </c>
      <c r="AK50" s="71"/>
      <c r="AL50" s="71"/>
      <c r="AM50" s="71"/>
      <c r="AN50" s="71"/>
      <c r="AO50" s="71"/>
      <c r="AP50" s="71"/>
      <c r="AQ50" s="71">
        <v>44151</v>
      </c>
      <c r="AR50" s="71">
        <v>44327</v>
      </c>
      <c r="AS50" s="71"/>
      <c r="AT50" s="71"/>
      <c r="AU50" s="71">
        <v>44410</v>
      </c>
      <c r="AV50" s="71">
        <v>44468</v>
      </c>
      <c r="AW50" s="71"/>
      <c r="AX50" s="71">
        <v>44468</v>
      </c>
      <c r="AY50" s="71">
        <v>44489</v>
      </c>
      <c r="AZ50" s="71"/>
      <c r="BA50" s="71">
        <v>44410</v>
      </c>
      <c r="BB50" s="71">
        <v>44468</v>
      </c>
      <c r="BC50" s="71">
        <v>44410</v>
      </c>
      <c r="BD50" s="71">
        <v>44410</v>
      </c>
      <c r="BE50" s="71"/>
      <c r="BF50" s="71"/>
      <c r="BG50" s="71">
        <v>44327</v>
      </c>
      <c r="BH50" s="71"/>
      <c r="BI50" s="71"/>
      <c r="BJ50" s="71"/>
      <c r="BK50" s="70"/>
      <c r="BL50" s="70"/>
      <c r="BM50" s="70"/>
      <c r="BN50" s="70"/>
      <c r="BO50" s="70"/>
    </row>
    <row r="51" spans="1:67" x14ac:dyDescent="0.4">
      <c r="A51" s="86">
        <v>3500000</v>
      </c>
      <c r="B51" s="74" t="s">
        <v>46</v>
      </c>
      <c r="C51" s="71">
        <v>44481</v>
      </c>
      <c r="D51" s="71">
        <v>44371</v>
      </c>
      <c r="E51" s="71">
        <v>44362</v>
      </c>
      <c r="F51" s="71">
        <v>44418</v>
      </c>
      <c r="G51" s="71">
        <v>44418</v>
      </c>
      <c r="H51" s="71">
        <v>44488</v>
      </c>
      <c r="I51" s="71">
        <v>44274</v>
      </c>
      <c r="J51" s="71">
        <v>44431</v>
      </c>
      <c r="K51" s="71"/>
      <c r="L51" s="71"/>
      <c r="M51" s="71">
        <v>44420</v>
      </c>
      <c r="N51" s="71">
        <v>44363</v>
      </c>
      <c r="O51" s="71"/>
      <c r="P51" s="71">
        <v>44327</v>
      </c>
      <c r="Q51" s="71"/>
      <c r="R51" s="71">
        <v>44491</v>
      </c>
      <c r="S51" s="71">
        <v>44369</v>
      </c>
      <c r="T51" s="71"/>
      <c r="U51" s="71">
        <v>44390</v>
      </c>
      <c r="V51" s="71"/>
      <c r="W51" s="71">
        <v>44484</v>
      </c>
      <c r="X51" s="71"/>
      <c r="Y51" s="71"/>
      <c r="Z51" s="71"/>
      <c r="AA51" s="71">
        <v>44489</v>
      </c>
      <c r="AB51" s="71">
        <v>44363</v>
      </c>
      <c r="AC51" s="71"/>
      <c r="AD51" s="71"/>
      <c r="AE51" s="71"/>
      <c r="AF51" s="71"/>
      <c r="AG51" s="71">
        <v>44329</v>
      </c>
      <c r="AH51" s="71"/>
      <c r="AI51" s="71">
        <v>44389</v>
      </c>
      <c r="AJ51" s="71">
        <v>44389</v>
      </c>
      <c r="AK51" s="71"/>
      <c r="AL51" s="71"/>
      <c r="AM51" s="71"/>
      <c r="AN51" s="71">
        <v>44463</v>
      </c>
      <c r="AO51" s="71"/>
      <c r="AP51" s="71"/>
      <c r="AQ51" s="71"/>
      <c r="AR51" s="71">
        <v>44494</v>
      </c>
      <c r="AS51" s="71"/>
      <c r="AT51" s="71"/>
      <c r="AU51" s="71">
        <v>44431</v>
      </c>
      <c r="AV51" s="71"/>
      <c r="AW51" s="71"/>
      <c r="AX51" s="71"/>
      <c r="AY51" s="71">
        <v>44456</v>
      </c>
      <c r="AZ51" s="71">
        <v>44453</v>
      </c>
      <c r="BA51" s="71"/>
      <c r="BB51" s="71"/>
      <c r="BC51" s="71">
        <v>44431</v>
      </c>
      <c r="BD51" s="71">
        <v>44431</v>
      </c>
      <c r="BE51" s="71"/>
      <c r="BF51" s="71"/>
      <c r="BG51" s="71">
        <v>44456</v>
      </c>
      <c r="BH51" s="71"/>
      <c r="BI51" s="71"/>
      <c r="BJ51" s="71"/>
      <c r="BK51" s="70"/>
      <c r="BL51" s="70"/>
      <c r="BM51" s="70"/>
      <c r="BN51" s="70"/>
      <c r="BO51" s="70"/>
    </row>
    <row r="52" spans="1:67" x14ac:dyDescent="0.4">
      <c r="A52" s="86">
        <v>3510500</v>
      </c>
      <c r="B52" s="74" t="s">
        <v>47</v>
      </c>
      <c r="C52" s="71"/>
      <c r="D52" s="71">
        <v>44348</v>
      </c>
      <c r="E52" s="71">
        <v>44347</v>
      </c>
      <c r="F52" s="71">
        <v>44445</v>
      </c>
      <c r="G52" s="71">
        <v>44489</v>
      </c>
      <c r="H52" s="71">
        <v>44445</v>
      </c>
      <c r="I52" s="71">
        <v>44314</v>
      </c>
      <c r="J52" s="71">
        <v>44447</v>
      </c>
      <c r="K52" s="71"/>
      <c r="L52" s="71"/>
      <c r="M52" s="71">
        <v>44489</v>
      </c>
      <c r="N52" s="71">
        <v>44347</v>
      </c>
      <c r="O52" s="71"/>
      <c r="P52" s="71">
        <v>44348</v>
      </c>
      <c r="Q52" s="71">
        <v>44348</v>
      </c>
      <c r="R52" s="71">
        <v>44337</v>
      </c>
      <c r="S52" s="71">
        <v>44349</v>
      </c>
      <c r="T52" s="71"/>
      <c r="U52" s="71">
        <v>44347</v>
      </c>
      <c r="V52" s="71">
        <v>44300</v>
      </c>
      <c r="W52" s="71"/>
      <c r="X52" s="71"/>
      <c r="Y52" s="71">
        <v>44445</v>
      </c>
      <c r="Z52" s="71">
        <v>44348</v>
      </c>
      <c r="AA52" s="71">
        <v>44349</v>
      </c>
      <c r="AB52" s="71">
        <v>44314</v>
      </c>
      <c r="AC52" s="71">
        <v>44348</v>
      </c>
      <c r="AD52" s="71"/>
      <c r="AE52" s="71">
        <v>44348</v>
      </c>
      <c r="AF52" s="71"/>
      <c r="AG52" s="71">
        <v>44348</v>
      </c>
      <c r="AH52" s="71">
        <v>44446</v>
      </c>
      <c r="AI52" s="71"/>
      <c r="AJ52" s="71">
        <v>44333</v>
      </c>
      <c r="AK52" s="71"/>
      <c r="AL52" s="71"/>
      <c r="AM52" s="71"/>
      <c r="AN52" s="71"/>
      <c r="AO52" s="71"/>
      <c r="AP52" s="71"/>
      <c r="AQ52" s="71"/>
      <c r="AR52" s="71">
        <v>44438</v>
      </c>
      <c r="AS52" s="71"/>
      <c r="AT52" s="71"/>
      <c r="AU52" s="71">
        <v>44447</v>
      </c>
      <c r="AV52" s="71"/>
      <c r="AW52" s="71"/>
      <c r="AX52" s="71"/>
      <c r="AY52" s="71"/>
      <c r="AZ52" s="71">
        <v>44448</v>
      </c>
      <c r="BA52" s="71">
        <v>44448</v>
      </c>
      <c r="BB52" s="71">
        <v>44447</v>
      </c>
      <c r="BC52" s="71">
        <v>44495</v>
      </c>
      <c r="BD52" s="71">
        <v>44497</v>
      </c>
      <c r="BE52" s="71"/>
      <c r="BF52" s="71"/>
      <c r="BG52" s="71"/>
      <c r="BH52" s="71"/>
      <c r="BI52" s="71"/>
      <c r="BJ52" s="71"/>
      <c r="BK52" s="70"/>
      <c r="BL52" s="70"/>
      <c r="BM52" s="70"/>
      <c r="BN52" s="70"/>
      <c r="BO52" s="70"/>
    </row>
    <row r="53" spans="1:67" x14ac:dyDescent="0.4">
      <c r="A53" s="86">
        <v>3520000</v>
      </c>
      <c r="B53" s="74" t="s">
        <v>48</v>
      </c>
      <c r="C53" s="71">
        <v>44496</v>
      </c>
      <c r="D53" s="71">
        <v>44491</v>
      </c>
      <c r="E53" s="71">
        <v>44463</v>
      </c>
      <c r="F53" s="71">
        <v>44496</v>
      </c>
      <c r="G53" s="71">
        <v>44496</v>
      </c>
      <c r="H53" s="71">
        <v>44496</v>
      </c>
      <c r="I53" s="71">
        <v>44496</v>
      </c>
      <c r="J53" s="71">
        <v>44491</v>
      </c>
      <c r="K53" s="71"/>
      <c r="L53" s="71">
        <v>44496</v>
      </c>
      <c r="M53" s="72">
        <v>44385</v>
      </c>
      <c r="N53" s="71">
        <v>44498</v>
      </c>
      <c r="O53" s="71"/>
      <c r="P53" s="71">
        <v>44496</v>
      </c>
      <c r="Q53" s="71">
        <v>44496</v>
      </c>
      <c r="R53" s="71">
        <v>44496</v>
      </c>
      <c r="S53" s="71">
        <v>44491</v>
      </c>
      <c r="T53" s="71"/>
      <c r="U53" s="71">
        <v>44494</v>
      </c>
      <c r="V53" s="71">
        <v>44467</v>
      </c>
      <c r="W53" s="71"/>
      <c r="X53" s="71"/>
      <c r="Y53" s="71"/>
      <c r="Z53" s="71"/>
      <c r="AA53" s="71">
        <v>44496</v>
      </c>
      <c r="AB53" s="71">
        <v>44496</v>
      </c>
      <c r="AC53" s="71">
        <v>44496</v>
      </c>
      <c r="AD53" s="71">
        <v>44494</v>
      </c>
      <c r="AE53" s="71"/>
      <c r="AF53" s="71">
        <v>44496</v>
      </c>
      <c r="AG53" s="71">
        <v>44498</v>
      </c>
      <c r="AH53" s="71">
        <v>44496</v>
      </c>
      <c r="AI53" s="71">
        <v>44496</v>
      </c>
      <c r="AJ53" s="71">
        <v>44496</v>
      </c>
      <c r="AK53" s="71"/>
      <c r="AL53" s="71"/>
      <c r="AM53" s="71"/>
      <c r="AN53" s="71">
        <v>44496</v>
      </c>
      <c r="AO53" s="71"/>
      <c r="AP53" s="71"/>
      <c r="AQ53" s="71"/>
      <c r="AR53" s="71">
        <v>44491</v>
      </c>
      <c r="AS53" s="71"/>
      <c r="AT53" s="71"/>
      <c r="AU53" s="71">
        <v>44496</v>
      </c>
      <c r="AV53" s="71"/>
      <c r="AW53" s="71"/>
      <c r="AX53" s="71">
        <v>44496</v>
      </c>
      <c r="AY53" s="71">
        <v>44496</v>
      </c>
      <c r="AZ53" s="71"/>
      <c r="BA53" s="71">
        <v>44496</v>
      </c>
      <c r="BB53" s="71">
        <v>44467</v>
      </c>
      <c r="BC53" s="71">
        <v>44496</v>
      </c>
      <c r="BD53" s="71">
        <v>44496</v>
      </c>
      <c r="BE53" s="71">
        <v>44496</v>
      </c>
      <c r="BF53" s="71"/>
      <c r="BG53" s="71">
        <v>44463</v>
      </c>
      <c r="BH53" s="71"/>
      <c r="BI53" s="71"/>
      <c r="BJ53" s="71"/>
      <c r="BK53" s="70"/>
      <c r="BL53" s="70"/>
      <c r="BM53" s="70"/>
      <c r="BN53" s="70"/>
      <c r="BO53" s="70"/>
    </row>
    <row r="54" spans="1:67" x14ac:dyDescent="0.4">
      <c r="A54" s="86">
        <v>3530000</v>
      </c>
      <c r="B54" s="74" t="s">
        <v>49</v>
      </c>
      <c r="C54" s="71">
        <v>44476</v>
      </c>
      <c r="D54" s="71">
        <v>44277</v>
      </c>
      <c r="E54" s="71">
        <v>44481</v>
      </c>
      <c r="F54" s="71">
        <v>44502</v>
      </c>
      <c r="G54" s="71">
        <v>44489</v>
      </c>
      <c r="H54" s="71">
        <v>44277</v>
      </c>
      <c r="I54" s="71">
        <v>44278</v>
      </c>
      <c r="J54" s="71">
        <v>44481</v>
      </c>
      <c r="K54" s="71"/>
      <c r="L54" s="71"/>
      <c r="M54" s="71">
        <v>44470</v>
      </c>
      <c r="N54" s="71">
        <v>44167</v>
      </c>
      <c r="O54" s="71">
        <v>44488</v>
      </c>
      <c r="P54" s="71">
        <v>44278</v>
      </c>
      <c r="Q54" s="71">
        <v>44489</v>
      </c>
      <c r="R54" s="71">
        <v>44489</v>
      </c>
      <c r="S54" s="71">
        <v>44168</v>
      </c>
      <c r="T54" s="71"/>
      <c r="U54" s="71">
        <v>44169</v>
      </c>
      <c r="V54" s="71">
        <v>44169</v>
      </c>
      <c r="W54" s="71"/>
      <c r="X54" s="71">
        <v>44173</v>
      </c>
      <c r="Y54" s="71"/>
      <c r="Z54" s="71"/>
      <c r="AA54" s="71">
        <v>44172</v>
      </c>
      <c r="AB54" s="71">
        <v>44172</v>
      </c>
      <c r="AC54" s="71">
        <v>44173</v>
      </c>
      <c r="AD54" s="71">
        <v>44298</v>
      </c>
      <c r="AE54" s="71">
        <v>44489</v>
      </c>
      <c r="AF54" s="71">
        <v>44329</v>
      </c>
      <c r="AG54" s="71">
        <v>44341</v>
      </c>
      <c r="AH54" s="71">
        <v>44448</v>
      </c>
      <c r="AI54" s="71"/>
      <c r="AJ54" s="71">
        <v>44483</v>
      </c>
      <c r="AK54" s="71"/>
      <c r="AL54" s="71"/>
      <c r="AM54" s="71"/>
      <c r="AN54" s="71">
        <v>44489</v>
      </c>
      <c r="AO54" s="71"/>
      <c r="AP54" s="71"/>
      <c r="AQ54" s="71">
        <v>44173</v>
      </c>
      <c r="AR54" s="71">
        <v>44340</v>
      </c>
      <c r="AS54" s="71">
        <v>44455</v>
      </c>
      <c r="AT54" s="71"/>
      <c r="AU54" s="71">
        <v>44474</v>
      </c>
      <c r="AV54" s="71"/>
      <c r="AW54" s="71"/>
      <c r="AX54" s="71"/>
      <c r="AY54" s="71">
        <v>44463</v>
      </c>
      <c r="AZ54" s="71">
        <v>44467</v>
      </c>
      <c r="BA54" s="71">
        <v>44476</v>
      </c>
      <c r="BB54" s="71">
        <v>44456</v>
      </c>
      <c r="BC54" s="71">
        <v>44441</v>
      </c>
      <c r="BD54" s="71">
        <v>44340</v>
      </c>
      <c r="BE54" s="71"/>
      <c r="BF54" s="71"/>
      <c r="BG54" s="71">
        <v>44489</v>
      </c>
      <c r="BH54" s="71"/>
      <c r="BI54" s="71"/>
      <c r="BJ54" s="71"/>
      <c r="BK54" s="70"/>
      <c r="BL54" s="70"/>
      <c r="BM54" s="70"/>
      <c r="BN54" s="70"/>
      <c r="BO54" s="70"/>
    </row>
    <row r="55" spans="1:67" x14ac:dyDescent="0.4">
      <c r="A55" s="86">
        <v>3540000</v>
      </c>
      <c r="B55" s="74" t="s">
        <v>50</v>
      </c>
      <c r="C55" s="71">
        <v>44469</v>
      </c>
      <c r="D55" s="71">
        <v>44487</v>
      </c>
      <c r="E55" s="71">
        <v>44469</v>
      </c>
      <c r="F55" s="71">
        <v>44494</v>
      </c>
      <c r="G55" s="71"/>
      <c r="H55" s="71">
        <v>44211</v>
      </c>
      <c r="I55" s="71">
        <v>44419</v>
      </c>
      <c r="J55" s="71">
        <v>44469</v>
      </c>
      <c r="K55" s="71"/>
      <c r="L55" s="71"/>
      <c r="M55" s="71">
        <v>44414</v>
      </c>
      <c r="N55" s="71">
        <v>44497</v>
      </c>
      <c r="O55" s="71"/>
      <c r="P55" s="71">
        <v>44469</v>
      </c>
      <c r="Q55" s="71">
        <v>44273</v>
      </c>
      <c r="R55" s="71">
        <v>44273</v>
      </c>
      <c r="S55" s="71">
        <v>44411</v>
      </c>
      <c r="T55" s="71"/>
      <c r="U55" s="71">
        <v>44372</v>
      </c>
      <c r="V55" s="71">
        <v>44469</v>
      </c>
      <c r="W55" s="71">
        <v>44487</v>
      </c>
      <c r="X55" s="71">
        <v>44357</v>
      </c>
      <c r="Y55" s="71"/>
      <c r="Z55" s="71"/>
      <c r="AA55" s="71">
        <v>44491</v>
      </c>
      <c r="AB55" s="71">
        <v>44411</v>
      </c>
      <c r="AC55" s="71">
        <v>44411</v>
      </c>
      <c r="AD55" s="71">
        <v>44414</v>
      </c>
      <c r="AE55" s="71"/>
      <c r="AF55" s="71"/>
      <c r="AG55" s="71">
        <v>44414</v>
      </c>
      <c r="AH55" s="71">
        <v>44414</v>
      </c>
      <c r="AI55" s="71">
        <v>44411</v>
      </c>
      <c r="AJ55" s="71">
        <v>44411</v>
      </c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>
        <v>44494</v>
      </c>
      <c r="AV55" s="71"/>
      <c r="AW55" s="71"/>
      <c r="AX55" s="71"/>
      <c r="AY55" s="71">
        <v>44411</v>
      </c>
      <c r="AZ55" s="71"/>
      <c r="BA55" s="71"/>
      <c r="BB55" s="71">
        <v>44368</v>
      </c>
      <c r="BC55" s="71">
        <v>44469</v>
      </c>
      <c r="BD55" s="71">
        <v>44469</v>
      </c>
      <c r="BE55" s="71"/>
      <c r="BF55" s="71"/>
      <c r="BG55" s="71">
        <v>44497</v>
      </c>
      <c r="BH55" s="71"/>
      <c r="BI55" s="71"/>
      <c r="BJ55" s="71"/>
      <c r="BK55" s="70"/>
      <c r="BL55" s="70"/>
      <c r="BM55" s="70"/>
      <c r="BN55" s="70"/>
      <c r="BO55" s="70"/>
    </row>
    <row r="56" spans="1:67" x14ac:dyDescent="0.4">
      <c r="A56" s="86">
        <v>3550000</v>
      </c>
      <c r="B56" s="74" t="s">
        <v>51</v>
      </c>
      <c r="C56" s="71">
        <v>44431</v>
      </c>
      <c r="D56" s="71">
        <v>44431</v>
      </c>
      <c r="E56" s="71">
        <v>44354</v>
      </c>
      <c r="F56" s="71">
        <v>44431</v>
      </c>
      <c r="G56" s="71">
        <v>44431</v>
      </c>
      <c r="H56" s="71">
        <v>44342</v>
      </c>
      <c r="I56" s="71">
        <v>44174</v>
      </c>
      <c r="J56" s="71">
        <v>44442</v>
      </c>
      <c r="K56" s="71"/>
      <c r="L56" s="71">
        <v>44397</v>
      </c>
      <c r="M56" s="71">
        <v>44431</v>
      </c>
      <c r="N56" s="71">
        <v>44397</v>
      </c>
      <c r="O56" s="71"/>
      <c r="P56" s="71">
        <v>44305</v>
      </c>
      <c r="Q56" s="71">
        <v>44431</v>
      </c>
      <c r="R56" s="71">
        <v>44306</v>
      </c>
      <c r="S56" s="71">
        <v>44431</v>
      </c>
      <c r="T56" s="71"/>
      <c r="U56" s="71">
        <v>44438</v>
      </c>
      <c r="V56" s="71">
        <v>44397</v>
      </c>
      <c r="W56" s="71">
        <v>44354</v>
      </c>
      <c r="X56" s="71">
        <v>44431</v>
      </c>
      <c r="Y56" s="71">
        <v>44481</v>
      </c>
      <c r="Z56" s="71">
        <v>44294</v>
      </c>
      <c r="AA56" s="71">
        <v>44258</v>
      </c>
      <c r="AB56" s="71">
        <v>44386</v>
      </c>
      <c r="AC56" s="71"/>
      <c r="AD56" s="71">
        <v>44431</v>
      </c>
      <c r="AE56" s="71">
        <v>44431</v>
      </c>
      <c r="AF56" s="71">
        <v>44350</v>
      </c>
      <c r="AG56" s="71">
        <v>44350</v>
      </c>
      <c r="AH56" s="71">
        <v>44431</v>
      </c>
      <c r="AI56" s="71">
        <v>44294</v>
      </c>
      <c r="AJ56" s="71">
        <v>44294</v>
      </c>
      <c r="AK56" s="71">
        <v>44431</v>
      </c>
      <c r="AL56" s="71"/>
      <c r="AM56" s="71"/>
      <c r="AN56" s="71">
        <v>44463</v>
      </c>
      <c r="AO56" s="71"/>
      <c r="AP56" s="71"/>
      <c r="AQ56" s="71">
        <v>44431</v>
      </c>
      <c r="AR56" s="71">
        <v>44481</v>
      </c>
      <c r="AS56" s="71"/>
      <c r="AT56" s="71">
        <v>44350</v>
      </c>
      <c r="AU56" s="71">
        <v>44361</v>
      </c>
      <c r="AV56" s="71"/>
      <c r="AW56" s="71"/>
      <c r="AX56" s="71">
        <v>44432</v>
      </c>
      <c r="AY56" s="71">
        <v>44438</v>
      </c>
      <c r="AZ56" s="71"/>
      <c r="BA56" s="71">
        <v>44481</v>
      </c>
      <c r="BB56" s="71">
        <v>44342</v>
      </c>
      <c r="BC56" s="71">
        <v>44431</v>
      </c>
      <c r="BD56" s="71">
        <v>44431</v>
      </c>
      <c r="BE56" s="71">
        <v>44483</v>
      </c>
      <c r="BF56" s="71"/>
      <c r="BG56" s="71"/>
      <c r="BH56" s="71"/>
      <c r="BI56" s="71"/>
      <c r="BJ56" s="71"/>
      <c r="BK56" s="70"/>
      <c r="BL56" s="70"/>
      <c r="BM56" s="70"/>
      <c r="BN56" s="70"/>
      <c r="BO56" s="70"/>
    </row>
    <row r="57" spans="1:67" x14ac:dyDescent="0.4">
      <c r="A57" s="86">
        <v>3560000</v>
      </c>
      <c r="B57" s="74" t="s">
        <v>52</v>
      </c>
      <c r="C57" s="71">
        <v>44469</v>
      </c>
      <c r="D57" s="71">
        <v>44417</v>
      </c>
      <c r="E57" s="71">
        <v>44433</v>
      </c>
      <c r="F57" s="71">
        <v>44439</v>
      </c>
      <c r="G57" s="71">
        <v>44489</v>
      </c>
      <c r="H57" s="71">
        <v>44411</v>
      </c>
      <c r="I57" s="71">
        <v>44469</v>
      </c>
      <c r="J57" s="71">
        <v>44487</v>
      </c>
      <c r="K57" s="71"/>
      <c r="L57" s="71">
        <v>44411</v>
      </c>
      <c r="M57" s="71">
        <v>44468</v>
      </c>
      <c r="N57" s="71">
        <v>44411</v>
      </c>
      <c r="O57" s="71">
        <v>44375</v>
      </c>
      <c r="P57" s="71">
        <v>44406</v>
      </c>
      <c r="Q57" s="71">
        <v>44432</v>
      </c>
      <c r="R57" s="71">
        <v>44411</v>
      </c>
      <c r="S57" s="71">
        <v>44406</v>
      </c>
      <c r="T57" s="71"/>
      <c r="U57" s="71">
        <v>44407</v>
      </c>
      <c r="V57" s="71">
        <v>44406</v>
      </c>
      <c r="W57" s="71"/>
      <c r="X57" s="71">
        <v>44406</v>
      </c>
      <c r="Y57" s="71"/>
      <c r="Z57" s="71">
        <v>44406</v>
      </c>
      <c r="AA57" s="71">
        <v>44406</v>
      </c>
      <c r="AB57" s="71">
        <v>44406</v>
      </c>
      <c r="AC57" s="71"/>
      <c r="AD57" s="71">
        <v>44407</v>
      </c>
      <c r="AE57" s="71">
        <v>44406</v>
      </c>
      <c r="AF57" s="71"/>
      <c r="AG57" s="71">
        <v>44406</v>
      </c>
      <c r="AH57" s="71">
        <v>44406</v>
      </c>
      <c r="AI57" s="71">
        <v>44476</v>
      </c>
      <c r="AJ57" s="71">
        <v>44249</v>
      </c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>
        <v>44410</v>
      </c>
      <c r="AV57" s="71"/>
      <c r="AW57" s="71"/>
      <c r="AX57" s="71">
        <v>44411</v>
      </c>
      <c r="AY57" s="71">
        <v>44469</v>
      </c>
      <c r="AZ57" s="71"/>
      <c r="BA57" s="71">
        <v>44411</v>
      </c>
      <c r="BB57" s="71">
        <v>44411</v>
      </c>
      <c r="BC57" s="71">
        <v>44406</v>
      </c>
      <c r="BD57" s="71">
        <v>44411</v>
      </c>
      <c r="BE57" s="71"/>
      <c r="BF57" s="71"/>
      <c r="BG57" s="71"/>
      <c r="BH57" s="71"/>
      <c r="BI57" s="71"/>
      <c r="BJ57" s="71"/>
      <c r="BK57" s="70"/>
      <c r="BL57" s="70"/>
      <c r="BM57" s="70"/>
      <c r="BN57" s="70"/>
      <c r="BO57" s="70"/>
    </row>
    <row r="58" spans="1:67" x14ac:dyDescent="0.4">
      <c r="A58" s="86">
        <v>3570000</v>
      </c>
      <c r="B58" s="74" t="s">
        <v>53</v>
      </c>
      <c r="C58" s="71">
        <v>44336</v>
      </c>
      <c r="D58" s="71">
        <v>44453</v>
      </c>
      <c r="E58" s="71">
        <v>44476</v>
      </c>
      <c r="F58" s="71"/>
      <c r="G58" s="71">
        <v>44501</v>
      </c>
      <c r="H58" s="71">
        <v>44452</v>
      </c>
      <c r="I58" s="71">
        <v>44326</v>
      </c>
      <c r="J58" s="71">
        <v>44497</v>
      </c>
      <c r="K58" s="71">
        <v>44475</v>
      </c>
      <c r="L58" s="71">
        <v>44326</v>
      </c>
      <c r="M58" s="71"/>
      <c r="N58" s="71">
        <v>44265</v>
      </c>
      <c r="O58" s="71"/>
      <c r="P58" s="71">
        <v>44442</v>
      </c>
      <c r="Q58" s="71">
        <v>44421</v>
      </c>
      <c r="R58" s="71">
        <v>44421</v>
      </c>
      <c r="S58" s="71">
        <v>44421</v>
      </c>
      <c r="T58" s="71">
        <v>44265</v>
      </c>
      <c r="U58" s="71">
        <v>44452</v>
      </c>
      <c r="V58" s="71">
        <v>44476</v>
      </c>
      <c r="W58" s="71"/>
      <c r="X58" s="71"/>
      <c r="Y58" s="71"/>
      <c r="Z58" s="71"/>
      <c r="AA58" s="71">
        <v>44421</v>
      </c>
      <c r="AB58" s="71">
        <v>44421</v>
      </c>
      <c r="AC58" s="71">
        <v>44421</v>
      </c>
      <c r="AD58" s="71">
        <v>44453</v>
      </c>
      <c r="AE58" s="71">
        <v>44421</v>
      </c>
      <c r="AF58" s="71"/>
      <c r="AG58" s="71"/>
      <c r="AH58" s="71">
        <v>44476</v>
      </c>
      <c r="AI58" s="71">
        <v>44265</v>
      </c>
      <c r="AJ58" s="71">
        <v>44421</v>
      </c>
      <c r="AK58" s="71"/>
      <c r="AL58" s="71"/>
      <c r="AM58" s="71"/>
      <c r="AN58" s="71"/>
      <c r="AO58" s="71"/>
      <c r="AP58" s="71"/>
      <c r="AQ58" s="71"/>
      <c r="AR58" s="71"/>
      <c r="AS58" s="71"/>
      <c r="AT58" s="71">
        <v>44476</v>
      </c>
      <c r="AU58" s="71">
        <v>44467</v>
      </c>
      <c r="AV58" s="71"/>
      <c r="AW58" s="71"/>
      <c r="AX58" s="71">
        <v>44265</v>
      </c>
      <c r="AY58" s="71">
        <v>44491</v>
      </c>
      <c r="AZ58" s="71"/>
      <c r="BA58" s="71">
        <v>44476</v>
      </c>
      <c r="BB58" s="71">
        <v>44475</v>
      </c>
      <c r="BC58" s="71">
        <v>44476</v>
      </c>
      <c r="BD58" s="71">
        <v>44476</v>
      </c>
      <c r="BE58" s="71"/>
      <c r="BF58" s="71"/>
      <c r="BG58" s="71"/>
      <c r="BH58" s="71"/>
      <c r="BI58" s="71"/>
      <c r="BJ58" s="71"/>
      <c r="BK58" s="70"/>
      <c r="BL58" s="70"/>
      <c r="BM58" s="70"/>
      <c r="BN58" s="70"/>
      <c r="BO58" s="70"/>
    </row>
    <row r="59" spans="1:67" x14ac:dyDescent="0.4">
      <c r="A59" s="86">
        <v>3580000</v>
      </c>
      <c r="B59" s="74" t="s">
        <v>54</v>
      </c>
      <c r="C59" s="71">
        <v>44487</v>
      </c>
      <c r="D59" s="71"/>
      <c r="E59" s="71">
        <v>44340</v>
      </c>
      <c r="F59" s="71">
        <v>44487</v>
      </c>
      <c r="G59" s="71">
        <v>44487</v>
      </c>
      <c r="H59" s="71">
        <v>44504</v>
      </c>
      <c r="I59" s="71">
        <v>44337</v>
      </c>
      <c r="J59" s="71">
        <v>44504</v>
      </c>
      <c r="K59" s="71"/>
      <c r="L59" s="71">
        <v>44337</v>
      </c>
      <c r="M59" s="72">
        <v>44167</v>
      </c>
      <c r="N59" s="71">
        <v>44504</v>
      </c>
      <c r="O59" s="71"/>
      <c r="P59" s="71"/>
      <c r="Q59" s="71"/>
      <c r="R59" s="71"/>
      <c r="S59" s="71"/>
      <c r="T59" s="71">
        <v>44502</v>
      </c>
      <c r="U59" s="71">
        <v>44504</v>
      </c>
      <c r="V59" s="71">
        <v>44167</v>
      </c>
      <c r="W59" s="71"/>
      <c r="X59" s="71"/>
      <c r="Y59" s="72">
        <v>44167</v>
      </c>
      <c r="Z59" s="71">
        <v>44167</v>
      </c>
      <c r="AA59" s="71"/>
      <c r="AB59" s="71">
        <v>44504</v>
      </c>
      <c r="AC59" s="71">
        <v>44167</v>
      </c>
      <c r="AD59" s="71">
        <v>44167</v>
      </c>
      <c r="AE59" s="71">
        <v>44167</v>
      </c>
      <c r="AF59" s="71">
        <v>44342</v>
      </c>
      <c r="AG59" s="71"/>
      <c r="AH59" s="71"/>
      <c r="AI59" s="71"/>
      <c r="AJ59" s="71">
        <v>44167</v>
      </c>
      <c r="AK59" s="71"/>
      <c r="AL59" s="71"/>
      <c r="AM59" s="71"/>
      <c r="AN59" s="71">
        <v>44342</v>
      </c>
      <c r="AO59" s="71"/>
      <c r="AP59" s="71"/>
      <c r="AQ59" s="71"/>
      <c r="AR59" s="71"/>
      <c r="AS59" s="71"/>
      <c r="AT59" s="71"/>
      <c r="AU59" s="71">
        <v>44504</v>
      </c>
      <c r="AV59" s="71"/>
      <c r="AW59" s="71"/>
      <c r="AX59" s="71"/>
      <c r="AY59" s="72">
        <v>44179</v>
      </c>
      <c r="AZ59" s="71"/>
      <c r="BA59" s="71"/>
      <c r="BB59" s="71">
        <v>44487</v>
      </c>
      <c r="BC59" s="71"/>
      <c r="BD59" s="71">
        <v>44487</v>
      </c>
      <c r="BE59" s="71"/>
      <c r="BF59" s="71"/>
      <c r="BG59" s="71">
        <v>44487</v>
      </c>
      <c r="BH59" s="71"/>
      <c r="BI59" s="71"/>
      <c r="BJ59" s="71"/>
      <c r="BK59" s="70"/>
      <c r="BL59" s="70"/>
      <c r="BM59" s="70"/>
      <c r="BN59" s="70"/>
      <c r="BO59" s="70"/>
    </row>
    <row r="60" spans="1:67" x14ac:dyDescent="0.4">
      <c r="A60" s="86">
        <v>6270000</v>
      </c>
      <c r="B60" s="74" t="s">
        <v>55</v>
      </c>
      <c r="C60" s="71">
        <v>44468</v>
      </c>
      <c r="D60" s="71">
        <v>44455</v>
      </c>
      <c r="E60" s="71"/>
      <c r="F60" s="71">
        <v>44418</v>
      </c>
      <c r="G60" s="71">
        <v>44419</v>
      </c>
      <c r="H60" s="71">
        <v>44496</v>
      </c>
      <c r="I60" s="71">
        <v>44467</v>
      </c>
      <c r="J60" s="71">
        <v>44498</v>
      </c>
      <c r="K60" s="71"/>
      <c r="L60" s="71">
        <v>44467</v>
      </c>
      <c r="M60" s="71"/>
      <c r="N60" s="71">
        <v>44419</v>
      </c>
      <c r="O60" s="71"/>
      <c r="P60" s="71"/>
      <c r="Q60" s="71"/>
      <c r="R60" s="71"/>
      <c r="S60" s="71">
        <v>44370</v>
      </c>
      <c r="T60" s="71">
        <v>44495</v>
      </c>
      <c r="U60" s="71">
        <v>44403</v>
      </c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>
        <v>44490</v>
      </c>
      <c r="AI60" s="71"/>
      <c r="AJ60" s="71"/>
      <c r="AK60" s="71"/>
      <c r="AL60" s="71"/>
      <c r="AM60" s="71">
        <v>44494</v>
      </c>
      <c r="AN60" s="71"/>
      <c r="AO60" s="71">
        <v>44426</v>
      </c>
      <c r="AP60" s="71"/>
      <c r="AQ60" s="71"/>
      <c r="AR60" s="71"/>
      <c r="AS60" s="71"/>
      <c r="AT60" s="71"/>
      <c r="AU60" s="71"/>
      <c r="AV60" s="71"/>
      <c r="AW60" s="71"/>
      <c r="AX60" s="71"/>
      <c r="AY60" s="71"/>
      <c r="AZ60" s="71"/>
      <c r="BA60" s="71"/>
      <c r="BB60" s="71"/>
      <c r="BC60" s="71">
        <v>44495</v>
      </c>
      <c r="BD60" s="71"/>
      <c r="BE60" s="71">
        <v>44482</v>
      </c>
      <c r="BF60" s="71">
        <v>44495</v>
      </c>
      <c r="BG60" s="71"/>
      <c r="BH60" s="71"/>
      <c r="BI60" s="71">
        <v>44498</v>
      </c>
      <c r="BJ60" s="71">
        <v>44498</v>
      </c>
      <c r="BK60" s="70"/>
      <c r="BL60" s="70"/>
      <c r="BM60" s="70"/>
      <c r="BN60" s="70"/>
      <c r="BO60" s="70"/>
    </row>
    <row r="61" spans="1:67" x14ac:dyDescent="0.4">
      <c r="A61" s="86">
        <v>3410000</v>
      </c>
      <c r="B61" s="74" t="s">
        <v>56</v>
      </c>
      <c r="C61" s="71">
        <v>44382</v>
      </c>
      <c r="D61" s="71">
        <v>44382</v>
      </c>
      <c r="E61" s="71">
        <v>44382</v>
      </c>
      <c r="F61" s="71">
        <v>44431</v>
      </c>
      <c r="G61" s="71">
        <v>44477</v>
      </c>
      <c r="H61" s="71">
        <v>44383</v>
      </c>
      <c r="I61" s="71">
        <v>44431</v>
      </c>
      <c r="J61" s="71">
        <v>44435</v>
      </c>
      <c r="K61" s="71"/>
      <c r="L61" s="71">
        <v>44431</v>
      </c>
      <c r="M61" s="71">
        <v>44482</v>
      </c>
      <c r="N61" s="71">
        <v>44426</v>
      </c>
      <c r="O61" s="71"/>
      <c r="P61" s="71">
        <v>44421</v>
      </c>
      <c r="Q61" s="71">
        <v>44431</v>
      </c>
      <c r="R61" s="71">
        <v>44391</v>
      </c>
      <c r="S61" s="71"/>
      <c r="T61" s="71"/>
      <c r="U61" s="71">
        <v>44391</v>
      </c>
      <c r="V61" s="71">
        <v>44477</v>
      </c>
      <c r="W61" s="71">
        <v>44386</v>
      </c>
      <c r="X61" s="71">
        <v>44386</v>
      </c>
      <c r="Y61" s="71"/>
      <c r="Z61" s="71"/>
      <c r="AA61" s="71">
        <v>44386</v>
      </c>
      <c r="AB61" s="71">
        <v>44426</v>
      </c>
      <c r="AC61" s="71"/>
      <c r="AD61" s="71">
        <v>44399</v>
      </c>
      <c r="AE61" s="71"/>
      <c r="AF61" s="71"/>
      <c r="AG61" s="71">
        <v>44386</v>
      </c>
      <c r="AH61" s="71"/>
      <c r="AI61" s="71">
        <v>44427</v>
      </c>
      <c r="AJ61" s="71">
        <v>44425</v>
      </c>
      <c r="AK61" s="71">
        <v>44386</v>
      </c>
      <c r="AL61" s="71"/>
      <c r="AM61" s="71">
        <v>44431</v>
      </c>
      <c r="AN61" s="71"/>
      <c r="AO61" s="71"/>
      <c r="AP61" s="71"/>
      <c r="AQ61" s="71"/>
      <c r="AR61" s="71"/>
      <c r="AS61" s="71"/>
      <c r="AT61" s="71"/>
      <c r="AU61" s="71">
        <v>44391</v>
      </c>
      <c r="AV61" s="71"/>
      <c r="AW61" s="71"/>
      <c r="AX61" s="71"/>
      <c r="AY61" s="71">
        <v>44391</v>
      </c>
      <c r="AZ61" s="71">
        <v>44414</v>
      </c>
      <c r="BA61" s="71">
        <v>44391</v>
      </c>
      <c r="BB61" s="71">
        <v>44391</v>
      </c>
      <c r="BC61" s="71">
        <v>44391</v>
      </c>
      <c r="BD61" s="71"/>
      <c r="BE61" s="71"/>
      <c r="BF61" s="71"/>
      <c r="BG61" s="71"/>
      <c r="BH61" s="71"/>
      <c r="BI61" s="71"/>
      <c r="BJ61" s="71"/>
      <c r="BK61" s="70"/>
      <c r="BL61" s="70"/>
      <c r="BM61" s="70"/>
      <c r="BN61" s="70"/>
      <c r="BO61" s="70"/>
    </row>
    <row r="62" spans="1:67" x14ac:dyDescent="0.4">
      <c r="A62" s="86">
        <v>3420000</v>
      </c>
      <c r="B62" s="74" t="s">
        <v>57</v>
      </c>
      <c r="C62" s="71">
        <v>44376</v>
      </c>
      <c r="D62" s="71">
        <v>44279</v>
      </c>
      <c r="E62" s="71">
        <v>44333</v>
      </c>
      <c r="F62" s="71">
        <v>44421</v>
      </c>
      <c r="G62" s="71"/>
      <c r="H62" s="71">
        <v>44379</v>
      </c>
      <c r="I62" s="71">
        <v>44334</v>
      </c>
      <c r="J62" s="71">
        <v>44418</v>
      </c>
      <c r="K62" s="71"/>
      <c r="L62" s="71">
        <v>44333</v>
      </c>
      <c r="M62" s="71">
        <v>44421</v>
      </c>
      <c r="N62" s="71">
        <v>44341</v>
      </c>
      <c r="O62" s="71"/>
      <c r="P62" s="71">
        <v>44336</v>
      </c>
      <c r="Q62" s="71">
        <v>44341</v>
      </c>
      <c r="R62" s="71"/>
      <c r="S62" s="71"/>
      <c r="T62" s="71"/>
      <c r="U62" s="71">
        <v>44334</v>
      </c>
      <c r="V62" s="71">
        <v>44314</v>
      </c>
      <c r="W62" s="71"/>
      <c r="X62" s="71"/>
      <c r="Y62" s="71"/>
      <c r="Z62" s="71">
        <v>44341</v>
      </c>
      <c r="AA62" s="71">
        <v>44372</v>
      </c>
      <c r="AB62" s="71">
        <v>44336</v>
      </c>
      <c r="AC62" s="71"/>
      <c r="AD62" s="71">
        <v>44165</v>
      </c>
      <c r="AE62" s="71"/>
      <c r="AF62" s="71"/>
      <c r="AG62" s="71"/>
      <c r="AH62" s="71"/>
      <c r="AI62" s="71">
        <v>44342</v>
      </c>
      <c r="AJ62" s="71">
        <v>44334</v>
      </c>
      <c r="AK62" s="71">
        <v>44334</v>
      </c>
      <c r="AL62" s="71"/>
      <c r="AM62" s="71"/>
      <c r="AN62" s="71"/>
      <c r="AO62" s="71"/>
      <c r="AP62" s="71"/>
      <c r="AQ62" s="71"/>
      <c r="AR62" s="71"/>
      <c r="AS62" s="71"/>
      <c r="AT62" s="71"/>
      <c r="AU62" s="71">
        <v>44379</v>
      </c>
      <c r="AV62" s="71"/>
      <c r="AW62" s="71"/>
      <c r="AX62" s="71"/>
      <c r="AY62" s="71">
        <v>44358</v>
      </c>
      <c r="AZ62" s="71"/>
      <c r="BA62" s="71">
        <v>44390</v>
      </c>
      <c r="BB62" s="71">
        <v>44323</v>
      </c>
      <c r="BC62" s="71"/>
      <c r="BD62" s="71"/>
      <c r="BE62" s="71"/>
      <c r="BF62" s="71"/>
      <c r="BG62" s="71"/>
      <c r="BH62" s="71"/>
      <c r="BI62" s="71"/>
      <c r="BJ62" s="71"/>
      <c r="BK62" s="70"/>
      <c r="BL62" s="70"/>
      <c r="BM62" s="70"/>
      <c r="BN62" s="70"/>
      <c r="BO62" s="70"/>
    </row>
    <row r="63" spans="1:67" x14ac:dyDescent="0.4">
      <c r="A63" s="86">
        <v>3430000</v>
      </c>
      <c r="B63" s="74" t="s">
        <v>58</v>
      </c>
      <c r="C63" s="71">
        <v>44482</v>
      </c>
      <c r="D63" s="71">
        <v>44482</v>
      </c>
      <c r="E63" s="71">
        <v>44484</v>
      </c>
      <c r="F63" s="71">
        <v>44484</v>
      </c>
      <c r="G63" s="71">
        <v>44482</v>
      </c>
      <c r="H63" s="71">
        <v>44482</v>
      </c>
      <c r="I63" s="71">
        <v>44482</v>
      </c>
      <c r="J63" s="71">
        <v>44482</v>
      </c>
      <c r="K63" s="71"/>
      <c r="L63" s="71"/>
      <c r="M63" s="71">
        <v>44481</v>
      </c>
      <c r="N63" s="71">
        <v>44484</v>
      </c>
      <c r="O63" s="71">
        <v>44482</v>
      </c>
      <c r="P63" s="71">
        <v>44494</v>
      </c>
      <c r="Q63" s="71">
        <v>44482</v>
      </c>
      <c r="R63" s="71">
        <v>44482</v>
      </c>
      <c r="S63" s="71"/>
      <c r="T63" s="71"/>
      <c r="U63" s="71">
        <v>44482</v>
      </c>
      <c r="V63" s="71">
        <v>44481</v>
      </c>
      <c r="W63" s="71"/>
      <c r="X63" s="71"/>
      <c r="Y63" s="71"/>
      <c r="Z63" s="71">
        <v>44482</v>
      </c>
      <c r="AA63" s="71">
        <v>44482</v>
      </c>
      <c r="AB63" s="71">
        <v>44482</v>
      </c>
      <c r="AC63" s="71">
        <v>44482</v>
      </c>
      <c r="AD63" s="71"/>
      <c r="AE63" s="71">
        <v>44482</v>
      </c>
      <c r="AF63" s="71"/>
      <c r="AG63" s="71">
        <v>44494</v>
      </c>
      <c r="AH63" s="71"/>
      <c r="AI63" s="71">
        <v>44482</v>
      </c>
      <c r="AJ63" s="71">
        <v>44494</v>
      </c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>
        <v>44482</v>
      </c>
      <c r="AV63" s="71"/>
      <c r="AW63" s="71"/>
      <c r="AX63" s="71">
        <v>44482</v>
      </c>
      <c r="AY63" s="71">
        <v>44482</v>
      </c>
      <c r="AZ63" s="71">
        <v>44482</v>
      </c>
      <c r="BA63" s="71"/>
      <c r="BB63" s="71">
        <v>44482</v>
      </c>
      <c r="BC63" s="71">
        <v>44494</v>
      </c>
      <c r="BD63" s="71"/>
      <c r="BE63" s="71"/>
      <c r="BF63" s="71"/>
      <c r="BG63" s="71"/>
      <c r="BH63" s="71"/>
      <c r="BI63" s="71"/>
      <c r="BJ63" s="71"/>
      <c r="BK63" s="70"/>
      <c r="BL63" s="70"/>
      <c r="BM63" s="70"/>
      <c r="BN63" s="70"/>
      <c r="BO63" s="70"/>
    </row>
    <row r="64" spans="1:67" x14ac:dyDescent="0.4">
      <c r="A64" s="86">
        <v>3440000</v>
      </c>
      <c r="B64" s="74" t="s">
        <v>59</v>
      </c>
      <c r="C64" s="71">
        <v>44404</v>
      </c>
      <c r="D64" s="71">
        <v>44404</v>
      </c>
      <c r="E64" s="71">
        <v>44404</v>
      </c>
      <c r="F64" s="71">
        <v>44504</v>
      </c>
      <c r="G64" s="71">
        <v>44417</v>
      </c>
      <c r="H64" s="71">
        <v>44404</v>
      </c>
      <c r="I64" s="71">
        <v>44412</v>
      </c>
      <c r="J64" s="71">
        <v>44504</v>
      </c>
      <c r="K64" s="71"/>
      <c r="L64" s="71"/>
      <c r="M64" s="71">
        <v>44420</v>
      </c>
      <c r="N64" s="71">
        <v>44386</v>
      </c>
      <c r="O64" s="71"/>
      <c r="P64" s="71">
        <v>44442</v>
      </c>
      <c r="Q64" s="71">
        <v>44414</v>
      </c>
      <c r="R64" s="71">
        <v>44439</v>
      </c>
      <c r="S64" s="71">
        <v>44439</v>
      </c>
      <c r="T64" s="71"/>
      <c r="U64" s="71">
        <v>44386</v>
      </c>
      <c r="V64" s="71">
        <v>44447</v>
      </c>
      <c r="W64" s="71">
        <v>44386</v>
      </c>
      <c r="X64" s="71"/>
      <c r="Y64" s="71"/>
      <c r="Z64" s="71"/>
      <c r="AA64" s="71">
        <v>44386</v>
      </c>
      <c r="AB64" s="71">
        <v>44386</v>
      </c>
      <c r="AC64" s="71"/>
      <c r="AD64" s="71"/>
      <c r="AE64" s="71">
        <v>44420</v>
      </c>
      <c r="AF64" s="71"/>
      <c r="AG64" s="71">
        <v>44404</v>
      </c>
      <c r="AH64" s="71"/>
      <c r="AI64" s="71">
        <v>44413</v>
      </c>
      <c r="AJ64" s="71">
        <v>44413</v>
      </c>
      <c r="AK64" s="71"/>
      <c r="AL64" s="71"/>
      <c r="AM64" s="71"/>
      <c r="AN64" s="71"/>
      <c r="AO64" s="71"/>
      <c r="AP64" s="71"/>
      <c r="AQ64" s="71"/>
      <c r="AR64" s="71">
        <v>44404</v>
      </c>
      <c r="AS64" s="71"/>
      <c r="AT64" s="71"/>
      <c r="AU64" s="71">
        <v>44386</v>
      </c>
      <c r="AV64" s="71"/>
      <c r="AW64" s="71"/>
      <c r="AX64" s="71">
        <v>44403</v>
      </c>
      <c r="AY64" s="71">
        <v>44404</v>
      </c>
      <c r="AZ64" s="71">
        <v>44404</v>
      </c>
      <c r="BA64" s="71"/>
      <c r="BB64" s="71">
        <v>44420</v>
      </c>
      <c r="BC64" s="71">
        <v>44413</v>
      </c>
      <c r="BD64" s="71"/>
      <c r="BE64" s="71"/>
      <c r="BF64" s="71"/>
      <c r="BG64" s="71"/>
      <c r="BH64" s="71"/>
      <c r="BI64" s="71"/>
      <c r="BJ64" s="71"/>
      <c r="BK64" s="70"/>
      <c r="BL64" s="70"/>
      <c r="BM64" s="70"/>
      <c r="BN64" s="70"/>
      <c r="BO64" s="70"/>
    </row>
    <row r="65" spans="1:67" x14ac:dyDescent="0.4">
      <c r="A65" s="86">
        <v>3450000</v>
      </c>
      <c r="B65" s="74" t="s">
        <v>60</v>
      </c>
      <c r="C65" s="71">
        <v>44403</v>
      </c>
      <c r="D65" s="71">
        <v>44414</v>
      </c>
      <c r="E65" s="71">
        <v>44503</v>
      </c>
      <c r="F65" s="71">
        <v>44449</v>
      </c>
      <c r="G65" s="71">
        <v>44449</v>
      </c>
      <c r="H65" s="71">
        <v>44416</v>
      </c>
      <c r="I65" s="71">
        <v>44176</v>
      </c>
      <c r="J65" s="71">
        <v>44448</v>
      </c>
      <c r="K65" s="71"/>
      <c r="L65" s="71">
        <v>44503</v>
      </c>
      <c r="M65" s="71">
        <v>44416</v>
      </c>
      <c r="N65" s="71">
        <v>44419</v>
      </c>
      <c r="O65" s="71"/>
      <c r="P65" s="71">
        <v>44405</v>
      </c>
      <c r="Q65" s="71"/>
      <c r="R65" s="71">
        <v>44400</v>
      </c>
      <c r="S65" s="71">
        <v>44208</v>
      </c>
      <c r="T65" s="71"/>
      <c r="U65" s="71">
        <v>44449</v>
      </c>
      <c r="V65" s="71">
        <v>44449</v>
      </c>
      <c r="W65" s="71">
        <v>44446</v>
      </c>
      <c r="X65" s="71"/>
      <c r="Y65" s="71"/>
      <c r="Z65" s="71"/>
      <c r="AA65" s="71">
        <v>44357</v>
      </c>
      <c r="AB65" s="71">
        <v>44357</v>
      </c>
      <c r="AC65" s="71">
        <v>44208</v>
      </c>
      <c r="AD65" s="71"/>
      <c r="AE65" s="71">
        <v>44208</v>
      </c>
      <c r="AF65" s="71"/>
      <c r="AG65" s="71">
        <v>44451</v>
      </c>
      <c r="AH65" s="71"/>
      <c r="AI65" s="71">
        <v>44216</v>
      </c>
      <c r="AJ65" s="71">
        <v>44440</v>
      </c>
      <c r="AK65" s="71"/>
      <c r="AL65" s="71"/>
      <c r="AM65" s="71"/>
      <c r="AN65" s="71"/>
      <c r="AO65" s="71"/>
      <c r="AP65" s="71"/>
      <c r="AQ65" s="71"/>
      <c r="AR65" s="71"/>
      <c r="AS65" s="71"/>
      <c r="AT65" s="71"/>
      <c r="AU65" s="71">
        <v>44403</v>
      </c>
      <c r="AV65" s="71"/>
      <c r="AW65" s="71"/>
      <c r="AX65" s="71">
        <v>44449</v>
      </c>
      <c r="AY65" s="71">
        <v>44350</v>
      </c>
      <c r="AZ65" s="71">
        <v>44452</v>
      </c>
      <c r="BA65" s="71"/>
      <c r="BB65" s="71">
        <v>44446</v>
      </c>
      <c r="BC65" s="71">
        <v>44449</v>
      </c>
      <c r="BD65" s="71"/>
      <c r="BE65" s="71"/>
      <c r="BF65" s="71"/>
      <c r="BG65" s="71"/>
      <c r="BH65" s="71"/>
      <c r="BI65" s="71"/>
      <c r="BJ65" s="71"/>
      <c r="BK65" s="70"/>
      <c r="BL65" s="70"/>
      <c r="BM65" s="70"/>
      <c r="BN65" s="70"/>
      <c r="BO65" s="70"/>
    </row>
    <row r="66" spans="1:67" x14ac:dyDescent="0.4">
      <c r="A66" s="86">
        <v>3460000</v>
      </c>
      <c r="B66" s="74" t="s">
        <v>61</v>
      </c>
      <c r="C66" s="71">
        <v>44389</v>
      </c>
      <c r="D66" s="71">
        <v>44382</v>
      </c>
      <c r="E66" s="71">
        <v>44387</v>
      </c>
      <c r="F66" s="71">
        <v>44425</v>
      </c>
      <c r="G66" s="71">
        <v>44454</v>
      </c>
      <c r="H66" s="71">
        <v>44390</v>
      </c>
      <c r="I66" s="71">
        <v>44207</v>
      </c>
      <c r="J66" s="71">
        <v>44447</v>
      </c>
      <c r="K66" s="71"/>
      <c r="L66" s="71">
        <v>44384</v>
      </c>
      <c r="M66" s="72">
        <v>44173</v>
      </c>
      <c r="N66" s="71">
        <v>44390</v>
      </c>
      <c r="O66" s="71"/>
      <c r="P66" s="71">
        <v>44387</v>
      </c>
      <c r="Q66" s="71">
        <v>44383</v>
      </c>
      <c r="R66" s="71"/>
      <c r="S66" s="71">
        <v>44390</v>
      </c>
      <c r="T66" s="71"/>
      <c r="U66" s="71">
        <v>44385</v>
      </c>
      <c r="V66" s="71">
        <v>44383</v>
      </c>
      <c r="W66" s="71"/>
      <c r="X66" s="71"/>
      <c r="Y66" s="71"/>
      <c r="Z66" s="71"/>
      <c r="AA66" s="71"/>
      <c r="AB66" s="71">
        <v>44389</v>
      </c>
      <c r="AC66" s="71"/>
      <c r="AD66" s="71"/>
      <c r="AE66" s="71">
        <v>44390</v>
      </c>
      <c r="AF66" s="71"/>
      <c r="AG66" s="71"/>
      <c r="AH66" s="71"/>
      <c r="AI66" s="71">
        <v>44389</v>
      </c>
      <c r="AJ66" s="71">
        <v>44390</v>
      </c>
      <c r="AK66" s="71"/>
      <c r="AL66" s="71"/>
      <c r="AM66" s="71"/>
      <c r="AN66" s="71"/>
      <c r="AO66" s="71"/>
      <c r="AP66" s="71"/>
      <c r="AQ66" s="71"/>
      <c r="AR66" s="71"/>
      <c r="AS66" s="71"/>
      <c r="AT66" s="71"/>
      <c r="AU66" s="71">
        <v>44475</v>
      </c>
      <c r="AV66" s="71"/>
      <c r="AW66" s="71"/>
      <c r="AX66" s="71">
        <v>44385</v>
      </c>
      <c r="AY66" s="71">
        <v>44377</v>
      </c>
      <c r="AZ66" s="71"/>
      <c r="BA66" s="71"/>
      <c r="BB66" s="71">
        <v>44389</v>
      </c>
      <c r="BC66" s="71">
        <v>44382</v>
      </c>
      <c r="BD66" s="71"/>
      <c r="BE66" s="71"/>
      <c r="BF66" s="71"/>
      <c r="BG66" s="71"/>
      <c r="BH66" s="71"/>
      <c r="BI66" s="71"/>
      <c r="BJ66" s="71"/>
      <c r="BK66" s="70"/>
      <c r="BL66" s="70"/>
      <c r="BM66" s="70"/>
      <c r="BN66" s="70"/>
      <c r="BO66" s="70"/>
    </row>
    <row r="67" spans="1:67" x14ac:dyDescent="0.4">
      <c r="A67" s="86">
        <v>3470000</v>
      </c>
      <c r="B67" s="74" t="s">
        <v>62</v>
      </c>
      <c r="C67" s="71">
        <v>44454</v>
      </c>
      <c r="D67" s="71">
        <v>44497</v>
      </c>
      <c r="E67" s="71">
        <v>44453</v>
      </c>
      <c r="F67" s="71">
        <v>44482</v>
      </c>
      <c r="G67" s="71">
        <v>44446</v>
      </c>
      <c r="H67" s="71">
        <v>44498</v>
      </c>
      <c r="I67" s="71">
        <v>44305</v>
      </c>
      <c r="J67" s="71">
        <v>44469</v>
      </c>
      <c r="K67" s="71"/>
      <c r="L67" s="71">
        <v>44433</v>
      </c>
      <c r="M67" s="71">
        <v>44491</v>
      </c>
      <c r="N67" s="71">
        <v>44390</v>
      </c>
      <c r="O67" s="71"/>
      <c r="P67" s="71">
        <v>44462</v>
      </c>
      <c r="Q67" s="71">
        <v>44333</v>
      </c>
      <c r="R67" s="71">
        <v>44280</v>
      </c>
      <c r="S67" s="71">
        <v>44244</v>
      </c>
      <c r="T67" s="71"/>
      <c r="U67" s="71">
        <v>44488</v>
      </c>
      <c r="V67" s="71">
        <v>44495</v>
      </c>
      <c r="W67" s="71"/>
      <c r="X67" s="71"/>
      <c r="Y67" s="71"/>
      <c r="Z67" s="71"/>
      <c r="AA67" s="71"/>
      <c r="AB67" s="71">
        <v>44341</v>
      </c>
      <c r="AC67" s="71"/>
      <c r="AD67" s="71">
        <v>44344</v>
      </c>
      <c r="AE67" s="71">
        <v>44477</v>
      </c>
      <c r="AF67" s="71">
        <v>44410</v>
      </c>
      <c r="AG67" s="71">
        <v>44482</v>
      </c>
      <c r="AH67" s="71"/>
      <c r="AI67" s="71">
        <v>44343</v>
      </c>
      <c r="AJ67" s="71">
        <v>44343</v>
      </c>
      <c r="AK67" s="71"/>
      <c r="AL67" s="71"/>
      <c r="AM67" s="71"/>
      <c r="AN67" s="71"/>
      <c r="AO67" s="71"/>
      <c r="AP67" s="71"/>
      <c r="AQ67" s="71"/>
      <c r="AR67" s="71">
        <v>44426</v>
      </c>
      <c r="AS67" s="71"/>
      <c r="AT67" s="71"/>
      <c r="AU67" s="71">
        <v>44454</v>
      </c>
      <c r="AV67" s="71"/>
      <c r="AW67" s="71">
        <v>44476</v>
      </c>
      <c r="AX67" s="71">
        <v>44280</v>
      </c>
      <c r="AY67" s="71">
        <v>44477</v>
      </c>
      <c r="AZ67" s="71">
        <v>44468</v>
      </c>
      <c r="BA67" s="71">
        <v>44452</v>
      </c>
      <c r="BB67" s="71">
        <v>44468</v>
      </c>
      <c r="BC67" s="71">
        <v>44470</v>
      </c>
      <c r="BD67" s="71"/>
      <c r="BE67" s="71"/>
      <c r="BF67" s="71"/>
      <c r="BG67" s="71"/>
      <c r="BH67" s="71"/>
      <c r="BI67" s="71"/>
      <c r="BJ67" s="71"/>
      <c r="BK67" s="70"/>
      <c r="BL67" s="70"/>
      <c r="BM67" s="70"/>
      <c r="BN67" s="70"/>
      <c r="BO67" s="70"/>
    </row>
    <row r="68" spans="1:67" x14ac:dyDescent="0.4">
      <c r="A68" s="86">
        <v>3480000</v>
      </c>
      <c r="B68" s="74" t="s">
        <v>63</v>
      </c>
      <c r="C68" s="71">
        <v>44496</v>
      </c>
      <c r="D68" s="71">
        <v>44418</v>
      </c>
      <c r="E68" s="71">
        <v>44496</v>
      </c>
      <c r="F68" s="71">
        <v>44489</v>
      </c>
      <c r="G68" s="71">
        <v>44489</v>
      </c>
      <c r="H68" s="71">
        <v>44463</v>
      </c>
      <c r="I68" s="71">
        <v>44489</v>
      </c>
      <c r="J68" s="71">
        <v>44489</v>
      </c>
      <c r="K68" s="71">
        <v>44418</v>
      </c>
      <c r="L68" s="71"/>
      <c r="M68" s="71">
        <v>44496</v>
      </c>
      <c r="N68" s="71">
        <v>44495</v>
      </c>
      <c r="O68" s="71"/>
      <c r="P68" s="71">
        <v>44495</v>
      </c>
      <c r="Q68" s="71">
        <v>44406</v>
      </c>
      <c r="R68" s="71"/>
      <c r="S68" s="71"/>
      <c r="T68" s="71">
        <v>44418</v>
      </c>
      <c r="U68" s="71">
        <v>44495</v>
      </c>
      <c r="V68" s="71">
        <v>44468</v>
      </c>
      <c r="W68" s="71"/>
      <c r="X68" s="71"/>
      <c r="Y68" s="71"/>
      <c r="Z68" s="71"/>
      <c r="AA68" s="71">
        <v>44495</v>
      </c>
      <c r="AB68" s="71">
        <v>44495</v>
      </c>
      <c r="AC68" s="71"/>
      <c r="AD68" s="71">
        <v>44468</v>
      </c>
      <c r="AE68" s="71"/>
      <c r="AF68" s="71"/>
      <c r="AG68" s="71">
        <v>44418</v>
      </c>
      <c r="AH68" s="71"/>
      <c r="AI68" s="71">
        <v>44489</v>
      </c>
      <c r="AJ68" s="71">
        <v>44489</v>
      </c>
      <c r="AK68" s="71"/>
      <c r="AL68" s="71"/>
      <c r="AM68" s="71"/>
      <c r="AN68" s="71"/>
      <c r="AO68" s="71"/>
      <c r="AP68" s="71"/>
      <c r="AQ68" s="71"/>
      <c r="AR68" s="71">
        <v>44440</v>
      </c>
      <c r="AS68" s="71"/>
      <c r="AT68" s="71"/>
      <c r="AU68" s="71"/>
      <c r="AV68" s="71"/>
      <c r="AW68" s="71"/>
      <c r="AX68" s="71"/>
      <c r="AY68" s="71"/>
      <c r="AZ68" s="71">
        <v>44495</v>
      </c>
      <c r="BA68" s="71">
        <v>44496</v>
      </c>
      <c r="BB68" s="71">
        <v>44468</v>
      </c>
      <c r="BC68" s="71">
        <v>44495</v>
      </c>
      <c r="BD68" s="71"/>
      <c r="BE68" s="71"/>
      <c r="BF68" s="71"/>
      <c r="BG68" s="71">
        <v>44496</v>
      </c>
      <c r="BH68" s="72">
        <v>44014</v>
      </c>
      <c r="BI68" s="71"/>
      <c r="BJ68" s="71"/>
      <c r="BK68" s="70"/>
      <c r="BL68" s="70"/>
      <c r="BM68" s="70"/>
      <c r="BN68" s="70"/>
      <c r="BO68" s="70"/>
    </row>
    <row r="69" spans="1:67" x14ac:dyDescent="0.4">
      <c r="A69" s="86">
        <v>6290000</v>
      </c>
      <c r="B69" s="74" t="s">
        <v>64</v>
      </c>
      <c r="C69" s="71"/>
      <c r="D69" s="71">
        <v>44445</v>
      </c>
      <c r="E69" s="71"/>
      <c r="F69" s="71">
        <v>44445</v>
      </c>
      <c r="G69" s="71"/>
      <c r="H69" s="71">
        <v>44483</v>
      </c>
      <c r="I69" s="71">
        <v>44446</v>
      </c>
      <c r="J69" s="71">
        <v>44468</v>
      </c>
      <c r="K69" s="71"/>
      <c r="L69" s="71">
        <v>44445</v>
      </c>
      <c r="M69" s="71">
        <v>44431</v>
      </c>
      <c r="N69" s="71"/>
      <c r="O69" s="71"/>
      <c r="P69" s="71"/>
      <c r="Q69" s="71">
        <v>44489</v>
      </c>
      <c r="R69" s="71"/>
      <c r="S69" s="71">
        <v>44307</v>
      </c>
      <c r="T69" s="71">
        <v>44482</v>
      </c>
      <c r="U69" s="71">
        <v>44488</v>
      </c>
      <c r="V69" s="71"/>
      <c r="W69" s="71"/>
      <c r="X69" s="71"/>
      <c r="Y69" s="71"/>
      <c r="Z69" s="71"/>
      <c r="AA69" s="71">
        <v>44433</v>
      </c>
      <c r="AB69" s="71">
        <v>44307</v>
      </c>
      <c r="AC69" s="71"/>
      <c r="AD69" s="71"/>
      <c r="AE69" s="71"/>
      <c r="AF69" s="71"/>
      <c r="AG69" s="71"/>
      <c r="AH69" s="71"/>
      <c r="AI69" s="71">
        <v>44489</v>
      </c>
      <c r="AJ69" s="71">
        <v>44489</v>
      </c>
      <c r="AK69" s="71">
        <v>44463</v>
      </c>
      <c r="AL69" s="71"/>
      <c r="AM69" s="71"/>
      <c r="AN69" s="71"/>
      <c r="AO69" s="71">
        <v>44488</v>
      </c>
      <c r="AP69" s="71"/>
      <c r="AQ69" s="71"/>
      <c r="AR69" s="71"/>
      <c r="AS69" s="71"/>
      <c r="AT69" s="71"/>
      <c r="AU69" s="71"/>
      <c r="AV69" s="71"/>
      <c r="AW69" s="71"/>
      <c r="AX69" s="71">
        <v>44476</v>
      </c>
      <c r="AY69" s="71"/>
      <c r="AZ69" s="71"/>
      <c r="BA69" s="71"/>
      <c r="BB69" s="71"/>
      <c r="BC69" s="71">
        <v>44456</v>
      </c>
      <c r="BD69" s="71"/>
      <c r="BE69" s="71"/>
      <c r="BF69" s="71"/>
      <c r="BG69" s="71"/>
      <c r="BH69" s="71"/>
      <c r="BI69" s="71">
        <v>44214</v>
      </c>
      <c r="BJ69" s="71">
        <v>44503</v>
      </c>
      <c r="BK69" s="70"/>
      <c r="BL69" s="70"/>
      <c r="BM69" s="70"/>
      <c r="BN69" s="70"/>
      <c r="BO69" s="70"/>
    </row>
    <row r="70" spans="1:67" x14ac:dyDescent="0.4">
      <c r="A70" s="86">
        <v>3590000</v>
      </c>
      <c r="B70" s="74" t="s">
        <v>65</v>
      </c>
      <c r="C70" s="71">
        <v>44476</v>
      </c>
      <c r="D70" s="71">
        <v>44263</v>
      </c>
      <c r="E70" s="71">
        <v>44466</v>
      </c>
      <c r="F70" s="71">
        <v>44467</v>
      </c>
      <c r="G70" s="71">
        <v>44467</v>
      </c>
      <c r="H70" s="71"/>
      <c r="I70" s="71">
        <v>44337</v>
      </c>
      <c r="J70" s="71">
        <v>44467</v>
      </c>
      <c r="K70" s="71"/>
      <c r="L70" s="71"/>
      <c r="M70" s="71">
        <v>44494</v>
      </c>
      <c r="N70" s="71">
        <v>44482</v>
      </c>
      <c r="O70" s="71">
        <v>44263</v>
      </c>
      <c r="P70" s="71">
        <v>44383</v>
      </c>
      <c r="Q70" s="71">
        <v>44483</v>
      </c>
      <c r="R70" s="71">
        <v>44281</v>
      </c>
      <c r="S70" s="71">
        <v>44504</v>
      </c>
      <c r="T70" s="71"/>
      <c r="U70" s="71">
        <v>44281</v>
      </c>
      <c r="V70" s="71">
        <v>44477</v>
      </c>
      <c r="W70" s="71">
        <v>44382</v>
      </c>
      <c r="X70" s="71">
        <v>44382</v>
      </c>
      <c r="Y70" s="71"/>
      <c r="Z70" s="71">
        <v>44466</v>
      </c>
      <c r="AA70" s="71">
        <v>44483</v>
      </c>
      <c r="AB70" s="71">
        <v>44468</v>
      </c>
      <c r="AC70" s="71"/>
      <c r="AD70" s="71">
        <v>44482</v>
      </c>
      <c r="AE70" s="71"/>
      <c r="AF70" s="71"/>
      <c r="AG70" s="71">
        <v>44477</v>
      </c>
      <c r="AH70" s="71">
        <v>44476</v>
      </c>
      <c r="AI70" s="71">
        <v>44228</v>
      </c>
      <c r="AJ70" s="71">
        <v>44377</v>
      </c>
      <c r="AK70" s="71"/>
      <c r="AL70" s="71"/>
      <c r="AM70" s="71"/>
      <c r="AN70" s="71"/>
      <c r="AO70" s="71"/>
      <c r="AP70" s="71"/>
      <c r="AQ70" s="71"/>
      <c r="AR70" s="71"/>
      <c r="AS70" s="71"/>
      <c r="AT70" s="71"/>
      <c r="AU70" s="71">
        <v>44411</v>
      </c>
      <c r="AV70" s="71"/>
      <c r="AW70" s="71"/>
      <c r="AX70" s="71">
        <v>44466</v>
      </c>
      <c r="AY70" s="71">
        <v>44398</v>
      </c>
      <c r="AZ70" s="71"/>
      <c r="BA70" s="71"/>
      <c r="BB70" s="71">
        <v>44371</v>
      </c>
      <c r="BC70" s="71">
        <v>44476</v>
      </c>
      <c r="BD70" s="71"/>
      <c r="BE70" s="71"/>
      <c r="BF70" s="71"/>
      <c r="BG70" s="71"/>
      <c r="BH70" s="71"/>
      <c r="BI70" s="71"/>
      <c r="BJ70" s="71"/>
      <c r="BK70" s="70"/>
      <c r="BL70" s="70"/>
      <c r="BM70" s="70"/>
      <c r="BN70" s="70"/>
      <c r="BO70" s="70"/>
    </row>
    <row r="71" spans="1:67" x14ac:dyDescent="0.4">
      <c r="A71" s="86">
        <v>3600000</v>
      </c>
      <c r="B71" s="74" t="s">
        <v>66</v>
      </c>
      <c r="C71" s="71">
        <v>44496</v>
      </c>
      <c r="D71" s="71">
        <v>44452</v>
      </c>
      <c r="E71" s="71">
        <v>44496</v>
      </c>
      <c r="F71" s="71">
        <v>44497</v>
      </c>
      <c r="G71" s="71">
        <v>44426</v>
      </c>
      <c r="H71" s="71">
        <v>44495</v>
      </c>
      <c r="I71" s="71">
        <v>44496</v>
      </c>
      <c r="J71" s="71">
        <v>44495</v>
      </c>
      <c r="K71" s="71"/>
      <c r="L71" s="71">
        <v>44467</v>
      </c>
      <c r="M71" s="71">
        <v>44497</v>
      </c>
      <c r="N71" s="71">
        <v>44495</v>
      </c>
      <c r="O71" s="71">
        <v>44463</v>
      </c>
      <c r="P71" s="71">
        <v>44497</v>
      </c>
      <c r="Q71" s="71">
        <v>44496</v>
      </c>
      <c r="R71" s="71"/>
      <c r="S71" s="71">
        <v>44181</v>
      </c>
      <c r="T71" s="71"/>
      <c r="U71" s="72">
        <v>44134</v>
      </c>
      <c r="V71" s="71">
        <v>44159</v>
      </c>
      <c r="W71" s="71"/>
      <c r="X71" s="71"/>
      <c r="Y71" s="71">
        <v>44496</v>
      </c>
      <c r="Z71" s="71">
        <v>44496</v>
      </c>
      <c r="AA71" s="71">
        <v>44495</v>
      </c>
      <c r="AB71" s="71">
        <v>44497</v>
      </c>
      <c r="AC71" s="71"/>
      <c r="AD71" s="71"/>
      <c r="AE71" s="71">
        <v>44496</v>
      </c>
      <c r="AF71" s="71"/>
      <c r="AG71" s="71">
        <v>44496</v>
      </c>
      <c r="AH71" s="71">
        <v>44449</v>
      </c>
      <c r="AI71" s="71">
        <v>44463</v>
      </c>
      <c r="AJ71" s="71">
        <v>44266</v>
      </c>
      <c r="AK71" s="71"/>
      <c r="AL71" s="71"/>
      <c r="AM71" s="71"/>
      <c r="AN71" s="71"/>
      <c r="AO71" s="71"/>
      <c r="AP71" s="71"/>
      <c r="AQ71" s="71">
        <v>44431</v>
      </c>
      <c r="AR71" s="71"/>
      <c r="AS71" s="71"/>
      <c r="AT71" s="71"/>
      <c r="AU71" s="71">
        <v>44426</v>
      </c>
      <c r="AV71" s="71"/>
      <c r="AW71" s="71"/>
      <c r="AX71" s="71">
        <v>44427</v>
      </c>
      <c r="AY71" s="71"/>
      <c r="AZ71" s="71"/>
      <c r="BA71" s="71">
        <v>44420</v>
      </c>
      <c r="BB71" s="71"/>
      <c r="BC71" s="71">
        <v>44433</v>
      </c>
      <c r="BD71" s="71"/>
      <c r="BE71" s="71"/>
      <c r="BF71" s="71"/>
      <c r="BG71" s="71"/>
      <c r="BH71" s="71"/>
      <c r="BI71" s="71"/>
      <c r="BJ71" s="71"/>
      <c r="BK71" s="70"/>
      <c r="BL71" s="70"/>
      <c r="BM71" s="70"/>
      <c r="BN71" s="70"/>
      <c r="BO71" s="70"/>
    </row>
    <row r="72" spans="1:67" x14ac:dyDescent="0.4">
      <c r="A72" s="86">
        <v>3610000</v>
      </c>
      <c r="B72" s="74" t="s">
        <v>67</v>
      </c>
      <c r="C72" s="71">
        <v>44495</v>
      </c>
      <c r="D72" s="71">
        <v>44329</v>
      </c>
      <c r="E72" s="71">
        <v>44495</v>
      </c>
      <c r="F72" s="71"/>
      <c r="G72" s="71"/>
      <c r="H72" s="71">
        <v>44181</v>
      </c>
      <c r="I72" s="71">
        <v>44327</v>
      </c>
      <c r="J72" s="71">
        <v>44502</v>
      </c>
      <c r="K72" s="71"/>
      <c r="L72" s="71">
        <v>44377</v>
      </c>
      <c r="M72" s="71">
        <v>44502</v>
      </c>
      <c r="N72" s="71">
        <v>44322</v>
      </c>
      <c r="O72" s="71">
        <v>44319</v>
      </c>
      <c r="P72" s="71">
        <v>44186</v>
      </c>
      <c r="Q72" s="71">
        <v>44304</v>
      </c>
      <c r="R72" s="71"/>
      <c r="S72" s="71">
        <v>44468</v>
      </c>
      <c r="T72" s="71"/>
      <c r="U72" s="71">
        <v>44316</v>
      </c>
      <c r="V72" s="71">
        <v>44494</v>
      </c>
      <c r="W72" s="71"/>
      <c r="X72" s="71">
        <v>44187</v>
      </c>
      <c r="Y72" s="71"/>
      <c r="Z72" s="71">
        <v>44446</v>
      </c>
      <c r="AA72" s="71">
        <v>44481</v>
      </c>
      <c r="AB72" s="71">
        <v>44319</v>
      </c>
      <c r="AC72" s="71"/>
      <c r="AD72" s="71">
        <v>44329</v>
      </c>
      <c r="AE72" s="71"/>
      <c r="AF72" s="71"/>
      <c r="AG72" s="71">
        <v>44502</v>
      </c>
      <c r="AH72" s="71">
        <v>44326</v>
      </c>
      <c r="AI72" s="71">
        <v>44446</v>
      </c>
      <c r="AJ72" s="71">
        <v>44446</v>
      </c>
      <c r="AK72" s="71"/>
      <c r="AL72" s="71"/>
      <c r="AM72" s="71"/>
      <c r="AN72" s="71"/>
      <c r="AO72" s="71"/>
      <c r="AP72" s="71"/>
      <c r="AQ72" s="71"/>
      <c r="AR72" s="71"/>
      <c r="AS72" s="71"/>
      <c r="AT72" s="71"/>
      <c r="AU72" s="71">
        <v>44377</v>
      </c>
      <c r="AV72" s="71">
        <v>44186</v>
      </c>
      <c r="AW72" s="71"/>
      <c r="AX72" s="71"/>
      <c r="AY72" s="71">
        <v>44484</v>
      </c>
      <c r="AZ72" s="71"/>
      <c r="BA72" s="71"/>
      <c r="BB72" s="71">
        <v>44476</v>
      </c>
      <c r="BC72" s="71">
        <v>44494</v>
      </c>
      <c r="BD72" s="71"/>
      <c r="BE72" s="71"/>
      <c r="BF72" s="71"/>
      <c r="BG72" s="71"/>
      <c r="BH72" s="71"/>
      <c r="BI72" s="71"/>
      <c r="BJ72" s="71"/>
      <c r="BK72" s="70"/>
      <c r="BL72" s="70"/>
      <c r="BM72" s="70"/>
      <c r="BN72" s="70"/>
      <c r="BO72" s="70"/>
    </row>
    <row r="73" spans="1:67" x14ac:dyDescent="0.4">
      <c r="A73" s="86">
        <v>3620000</v>
      </c>
      <c r="B73" s="74" t="s">
        <v>68</v>
      </c>
      <c r="C73" s="71">
        <v>44375</v>
      </c>
      <c r="D73" s="71">
        <v>44186</v>
      </c>
      <c r="E73" s="71">
        <v>44375</v>
      </c>
      <c r="F73" s="71">
        <v>44474</v>
      </c>
      <c r="G73" s="71">
        <v>44467</v>
      </c>
      <c r="H73" s="71">
        <v>44186</v>
      </c>
      <c r="I73" s="71">
        <v>44375</v>
      </c>
      <c r="J73" s="71">
        <v>44467</v>
      </c>
      <c r="K73" s="71"/>
      <c r="L73" s="71">
        <v>44375</v>
      </c>
      <c r="M73" s="71">
        <v>44474</v>
      </c>
      <c r="N73" s="71">
        <v>44186</v>
      </c>
      <c r="O73" s="71">
        <v>44186</v>
      </c>
      <c r="P73" s="71">
        <v>44186</v>
      </c>
      <c r="Q73" s="71">
        <v>44186</v>
      </c>
      <c r="R73" s="71">
        <v>44186</v>
      </c>
      <c r="S73" s="71">
        <v>44375</v>
      </c>
      <c r="T73" s="71"/>
      <c r="U73" s="71">
        <v>44186</v>
      </c>
      <c r="V73" s="71">
        <v>44186</v>
      </c>
      <c r="W73" s="71"/>
      <c r="X73" s="71">
        <v>44186</v>
      </c>
      <c r="Y73" s="71"/>
      <c r="Z73" s="71"/>
      <c r="AA73" s="71">
        <v>44186</v>
      </c>
      <c r="AB73" s="71">
        <v>44186</v>
      </c>
      <c r="AC73" s="71"/>
      <c r="AD73" s="71">
        <v>44186</v>
      </c>
      <c r="AE73" s="71"/>
      <c r="AF73" s="71">
        <v>44375</v>
      </c>
      <c r="AG73" s="71">
        <v>44375</v>
      </c>
      <c r="AH73" s="71">
        <v>44375</v>
      </c>
      <c r="AI73" s="71">
        <v>44186</v>
      </c>
      <c r="AJ73" s="71">
        <v>44186</v>
      </c>
      <c r="AK73" s="71"/>
      <c r="AL73" s="71"/>
      <c r="AM73" s="71"/>
      <c r="AN73" s="71">
        <v>44375</v>
      </c>
      <c r="AO73" s="71"/>
      <c r="AP73" s="71"/>
      <c r="AQ73" s="71">
        <v>44375</v>
      </c>
      <c r="AR73" s="71"/>
      <c r="AS73" s="71">
        <v>44375</v>
      </c>
      <c r="AT73" s="71"/>
      <c r="AU73" s="71">
        <v>44375</v>
      </c>
      <c r="AV73" s="71"/>
      <c r="AW73" s="71"/>
      <c r="AX73" s="71">
        <v>44186</v>
      </c>
      <c r="AY73" s="71">
        <v>44375</v>
      </c>
      <c r="AZ73" s="71"/>
      <c r="BA73" s="71"/>
      <c r="BB73" s="71">
        <v>44375</v>
      </c>
      <c r="BC73" s="71">
        <v>44375</v>
      </c>
      <c r="BD73" s="71"/>
      <c r="BE73" s="71"/>
      <c r="BF73" s="71"/>
      <c r="BG73" s="71"/>
      <c r="BH73" s="71"/>
      <c r="BI73" s="71"/>
      <c r="BJ73" s="71"/>
      <c r="BK73" s="70"/>
      <c r="BL73" s="70"/>
      <c r="BM73" s="70"/>
      <c r="BN73" s="70"/>
      <c r="BO73" s="70"/>
    </row>
    <row r="74" spans="1:67" x14ac:dyDescent="0.4">
      <c r="A74" s="86">
        <v>3630000</v>
      </c>
      <c r="B74" s="74" t="s">
        <v>69</v>
      </c>
      <c r="C74" s="71">
        <v>44413</v>
      </c>
      <c r="D74" s="71">
        <v>44396</v>
      </c>
      <c r="E74" s="71"/>
      <c r="F74" s="72">
        <v>44288</v>
      </c>
      <c r="G74" s="71">
        <v>44413</v>
      </c>
      <c r="H74" s="71">
        <v>44413</v>
      </c>
      <c r="I74" s="71">
        <v>44413</v>
      </c>
      <c r="J74" s="71">
        <v>44413</v>
      </c>
      <c r="K74" s="71"/>
      <c r="L74" s="71"/>
      <c r="M74" s="71">
        <v>44413</v>
      </c>
      <c r="N74" s="71">
        <v>44462</v>
      </c>
      <c r="O74" s="71"/>
      <c r="P74" s="71">
        <v>44420</v>
      </c>
      <c r="Q74" s="71"/>
      <c r="R74" s="71"/>
      <c r="S74" s="71"/>
      <c r="T74" s="71"/>
      <c r="U74" s="71">
        <v>44420</v>
      </c>
      <c r="V74" s="71">
        <v>44420</v>
      </c>
      <c r="W74" s="71"/>
      <c r="X74" s="71">
        <v>44411</v>
      </c>
      <c r="Y74" s="71"/>
      <c r="Z74" s="71"/>
      <c r="AA74" s="71">
        <v>44420</v>
      </c>
      <c r="AB74" s="71">
        <v>44411</v>
      </c>
      <c r="AC74" s="71"/>
      <c r="AD74" s="71">
        <v>44411</v>
      </c>
      <c r="AE74" s="71"/>
      <c r="AF74" s="71"/>
      <c r="AG74" s="71"/>
      <c r="AH74" s="71">
        <v>44411</v>
      </c>
      <c r="AI74" s="71">
        <v>44411</v>
      </c>
      <c r="AJ74" s="71">
        <v>44411</v>
      </c>
      <c r="AK74" s="71"/>
      <c r="AL74" s="71"/>
      <c r="AM74" s="71"/>
      <c r="AN74" s="71"/>
      <c r="AO74" s="71"/>
      <c r="AP74" s="71"/>
      <c r="AQ74" s="71"/>
      <c r="AR74" s="71"/>
      <c r="AS74" s="71"/>
      <c r="AT74" s="71"/>
      <c r="AU74" s="71">
        <v>44411</v>
      </c>
      <c r="AV74" s="71">
        <v>44413</v>
      </c>
      <c r="AW74" s="71"/>
      <c r="AX74" s="71">
        <v>44410</v>
      </c>
      <c r="AY74" s="71">
        <v>44411</v>
      </c>
      <c r="AZ74" s="71"/>
      <c r="BA74" s="71">
        <v>44411</v>
      </c>
      <c r="BB74" s="71">
        <v>44411</v>
      </c>
      <c r="BC74" s="71">
        <v>44411</v>
      </c>
      <c r="BD74" s="71"/>
      <c r="BE74" s="71"/>
      <c r="BF74" s="71"/>
      <c r="BG74" s="71"/>
      <c r="BH74" s="71">
        <v>44502</v>
      </c>
      <c r="BI74" s="71"/>
      <c r="BJ74" s="71"/>
      <c r="BK74" s="70"/>
      <c r="BL74" s="70"/>
      <c r="BM74" s="70"/>
      <c r="BN74" s="70"/>
      <c r="BO74" s="70"/>
    </row>
    <row r="75" spans="1:67" x14ac:dyDescent="0.4">
      <c r="A75" s="86">
        <v>6300000</v>
      </c>
      <c r="B75" s="74" t="s">
        <v>70</v>
      </c>
      <c r="C75" s="71">
        <v>44497</v>
      </c>
      <c r="D75" s="71"/>
      <c r="E75" s="71">
        <v>44497</v>
      </c>
      <c r="F75" s="71"/>
      <c r="G75" s="71"/>
      <c r="H75" s="71">
        <v>44497</v>
      </c>
      <c r="I75" s="71">
        <v>44497</v>
      </c>
      <c r="J75" s="71">
        <v>44497</v>
      </c>
      <c r="K75" s="71">
        <v>44497</v>
      </c>
      <c r="L75" s="71">
        <v>44497</v>
      </c>
      <c r="M75" s="71">
        <v>44497</v>
      </c>
      <c r="N75" s="71">
        <v>44187</v>
      </c>
      <c r="O75" s="71">
        <v>44160</v>
      </c>
      <c r="P75" s="71"/>
      <c r="Q75" s="71">
        <v>44184</v>
      </c>
      <c r="R75" s="71"/>
      <c r="S75" s="71">
        <v>44187</v>
      </c>
      <c r="T75" s="71">
        <v>44182</v>
      </c>
      <c r="U75" s="71">
        <v>44497</v>
      </c>
      <c r="V75" s="71"/>
      <c r="W75" s="71"/>
      <c r="X75" s="71"/>
      <c r="Y75" s="71">
        <v>44497</v>
      </c>
      <c r="Z75" s="71"/>
      <c r="AA75" s="71">
        <v>44187</v>
      </c>
      <c r="AB75" s="71">
        <v>44179</v>
      </c>
      <c r="AC75" s="71">
        <v>44497</v>
      </c>
      <c r="AD75" s="71"/>
      <c r="AE75" s="71"/>
      <c r="AF75" s="71"/>
      <c r="AG75" s="71"/>
      <c r="AH75" s="71">
        <v>44392</v>
      </c>
      <c r="AI75" s="71"/>
      <c r="AJ75" s="71"/>
      <c r="AK75" s="71">
        <v>44497</v>
      </c>
      <c r="AL75" s="71"/>
      <c r="AM75" s="72">
        <v>44184</v>
      </c>
      <c r="AN75" s="71"/>
      <c r="AO75" s="71">
        <v>44497</v>
      </c>
      <c r="AP75" s="71"/>
      <c r="AQ75" s="71"/>
      <c r="AR75" s="71"/>
      <c r="AS75" s="71"/>
      <c r="AT75" s="71"/>
      <c r="AU75" s="71"/>
      <c r="AV75" s="71"/>
      <c r="AW75" s="71">
        <v>44497</v>
      </c>
      <c r="AX75" s="71"/>
      <c r="AY75" s="71"/>
      <c r="AZ75" s="71"/>
      <c r="BA75" s="71"/>
      <c r="BB75" s="71">
        <v>44497</v>
      </c>
      <c r="BC75" s="71"/>
      <c r="BD75" s="71"/>
      <c r="BE75" s="71">
        <v>44497</v>
      </c>
      <c r="BF75" s="71"/>
      <c r="BG75" s="71"/>
      <c r="BH75" s="71"/>
      <c r="BI75" s="71">
        <v>44216</v>
      </c>
      <c r="BJ75" s="71">
        <v>44497</v>
      </c>
      <c r="BK75" s="70"/>
      <c r="BL75" s="70"/>
      <c r="BM75" s="70"/>
      <c r="BN75" s="70"/>
      <c r="BO75" s="70"/>
    </row>
    <row r="76" spans="1:67" x14ac:dyDescent="0.4">
      <c r="A76" s="86">
        <v>3640000</v>
      </c>
      <c r="B76" s="74" t="s">
        <v>71</v>
      </c>
      <c r="C76" s="71">
        <v>44453</v>
      </c>
      <c r="D76" s="71">
        <v>44342</v>
      </c>
      <c r="E76" s="71">
        <v>44455</v>
      </c>
      <c r="F76" s="71">
        <v>44425</v>
      </c>
      <c r="G76" s="71">
        <v>44420</v>
      </c>
      <c r="H76" s="71">
        <v>44428</v>
      </c>
      <c r="I76" s="71">
        <v>44432</v>
      </c>
      <c r="J76" s="71">
        <v>44428</v>
      </c>
      <c r="K76" s="71"/>
      <c r="L76" s="71"/>
      <c r="M76" s="71">
        <v>44411</v>
      </c>
      <c r="N76" s="71">
        <v>44434</v>
      </c>
      <c r="O76" s="71"/>
      <c r="P76" s="71">
        <v>44448</v>
      </c>
      <c r="Q76" s="71"/>
      <c r="R76" s="71">
        <v>44181</v>
      </c>
      <c r="S76" s="71">
        <v>44362</v>
      </c>
      <c r="T76" s="71"/>
      <c r="U76" s="71">
        <v>44363</v>
      </c>
      <c r="V76" s="71"/>
      <c r="W76" s="71"/>
      <c r="X76" s="71"/>
      <c r="Y76" s="71"/>
      <c r="Z76" s="71">
        <v>44186</v>
      </c>
      <c r="AA76" s="71"/>
      <c r="AB76" s="71">
        <v>44186</v>
      </c>
      <c r="AC76" s="71"/>
      <c r="AD76" s="71"/>
      <c r="AE76" s="71">
        <v>44365</v>
      </c>
      <c r="AF76" s="71">
        <v>44467</v>
      </c>
      <c r="AG76" s="71">
        <v>44368</v>
      </c>
      <c r="AH76" s="71"/>
      <c r="AI76" s="71">
        <v>44187</v>
      </c>
      <c r="AJ76" s="71">
        <v>44455</v>
      </c>
      <c r="AK76" s="71"/>
      <c r="AL76" s="71"/>
      <c r="AM76" s="71"/>
      <c r="AN76" s="71"/>
      <c r="AO76" s="71"/>
      <c r="AP76" s="71"/>
      <c r="AQ76" s="71"/>
      <c r="AR76" s="71">
        <v>44456</v>
      </c>
      <c r="AS76" s="71"/>
      <c r="AT76" s="71"/>
      <c r="AU76" s="71">
        <v>44453</v>
      </c>
      <c r="AV76" s="71"/>
      <c r="AW76" s="71"/>
      <c r="AX76" s="71"/>
      <c r="AY76" s="71">
        <v>44446</v>
      </c>
      <c r="AZ76" s="71"/>
      <c r="BA76" s="71">
        <v>44428</v>
      </c>
      <c r="BB76" s="71">
        <v>44433</v>
      </c>
      <c r="BC76" s="72">
        <v>44133</v>
      </c>
      <c r="BD76" s="71">
        <v>44455</v>
      </c>
      <c r="BE76" s="71"/>
      <c r="BF76" s="71"/>
      <c r="BG76" s="71"/>
      <c r="BH76" s="71"/>
      <c r="BI76" s="71"/>
      <c r="BJ76" s="71"/>
      <c r="BK76" s="70"/>
      <c r="BL76" s="70"/>
      <c r="BM76" s="70"/>
      <c r="BN76" s="70"/>
      <c r="BO76" s="70"/>
    </row>
    <row r="77" spans="1:67" x14ac:dyDescent="0.4">
      <c r="A77" s="86">
        <v>3650000</v>
      </c>
      <c r="B77" s="74" t="s">
        <v>75</v>
      </c>
      <c r="C77" s="71">
        <v>44456</v>
      </c>
      <c r="D77" s="71">
        <v>44295</v>
      </c>
      <c r="E77" s="71">
        <v>44448</v>
      </c>
      <c r="F77" s="71">
        <v>44434</v>
      </c>
      <c r="G77" s="71">
        <v>44495</v>
      </c>
      <c r="H77" s="71">
        <v>44442</v>
      </c>
      <c r="I77" s="71">
        <v>44295</v>
      </c>
      <c r="J77" s="71">
        <v>44425</v>
      </c>
      <c r="K77" s="71"/>
      <c r="L77" s="71"/>
      <c r="M77" s="71">
        <v>44434</v>
      </c>
      <c r="N77" s="71">
        <v>44448</v>
      </c>
      <c r="O77" s="71"/>
      <c r="P77" s="71">
        <v>44462</v>
      </c>
      <c r="Q77" s="71">
        <v>44350</v>
      </c>
      <c r="R77" s="71">
        <v>44448</v>
      </c>
      <c r="S77" s="71">
        <v>44462</v>
      </c>
      <c r="T77" s="71"/>
      <c r="U77" s="71">
        <v>44456</v>
      </c>
      <c r="V77" s="71">
        <v>44456</v>
      </c>
      <c r="W77" s="71"/>
      <c r="X77" s="71">
        <v>44442</v>
      </c>
      <c r="Y77" s="71"/>
      <c r="Z77" s="71">
        <v>44448</v>
      </c>
      <c r="AA77" s="71">
        <v>44442</v>
      </c>
      <c r="AB77" s="71">
        <v>44448</v>
      </c>
      <c r="AC77" s="71">
        <v>44442</v>
      </c>
      <c r="AD77" s="71">
        <v>44350</v>
      </c>
      <c r="AE77" s="71">
        <v>44448</v>
      </c>
      <c r="AF77" s="71">
        <v>44497</v>
      </c>
      <c r="AG77" s="71">
        <v>44333</v>
      </c>
      <c r="AH77" s="71"/>
      <c r="AI77" s="71">
        <v>44384</v>
      </c>
      <c r="AJ77" s="71">
        <v>44497</v>
      </c>
      <c r="AK77" s="71"/>
      <c r="AL77" s="71"/>
      <c r="AM77" s="71"/>
      <c r="AN77" s="71"/>
      <c r="AO77" s="71"/>
      <c r="AP77" s="71"/>
      <c r="AQ77" s="71"/>
      <c r="AR77" s="71"/>
      <c r="AS77" s="71"/>
      <c r="AT77" s="71"/>
      <c r="AU77" s="71">
        <v>44456</v>
      </c>
      <c r="AV77" s="71"/>
      <c r="AW77" s="71"/>
      <c r="AX77" s="71">
        <v>44442</v>
      </c>
      <c r="AY77" s="71">
        <v>44455</v>
      </c>
      <c r="AZ77" s="71"/>
      <c r="BA77" s="71">
        <v>44448</v>
      </c>
      <c r="BB77" s="71"/>
      <c r="BC77" s="71">
        <v>44442</v>
      </c>
      <c r="BD77" s="71">
        <v>44442</v>
      </c>
      <c r="BE77" s="71"/>
      <c r="BF77" s="71"/>
      <c r="BG77" s="71"/>
      <c r="BH77" s="71"/>
      <c r="BI77" s="71"/>
      <c r="BJ77" s="71"/>
      <c r="BK77" s="70"/>
      <c r="BL77" s="70"/>
      <c r="BM77" s="70"/>
      <c r="BN77" s="70"/>
      <c r="BO77" s="70"/>
    </row>
    <row r="78" spans="1:67" x14ac:dyDescent="0.4">
      <c r="A78" s="86">
        <v>3660000</v>
      </c>
      <c r="B78" s="74" t="s">
        <v>72</v>
      </c>
      <c r="C78" s="71">
        <v>44350</v>
      </c>
      <c r="D78" s="71">
        <v>44357</v>
      </c>
      <c r="E78" s="71">
        <v>44496</v>
      </c>
      <c r="F78" s="71">
        <v>44480</v>
      </c>
      <c r="G78" s="71">
        <v>44452</v>
      </c>
      <c r="H78" s="71">
        <v>44350</v>
      </c>
      <c r="I78" s="71">
        <v>44350</v>
      </c>
      <c r="J78" s="71">
        <v>44421</v>
      </c>
      <c r="K78" s="71"/>
      <c r="L78" s="71"/>
      <c r="M78" s="71">
        <v>44466</v>
      </c>
      <c r="N78" s="71">
        <v>44362</v>
      </c>
      <c r="O78" s="71"/>
      <c r="P78" s="71">
        <v>44397</v>
      </c>
      <c r="Q78" s="71"/>
      <c r="R78" s="71"/>
      <c r="S78" s="71"/>
      <c r="T78" s="71"/>
      <c r="U78" s="71">
        <v>44350</v>
      </c>
      <c r="V78" s="71"/>
      <c r="W78" s="71">
        <v>44350</v>
      </c>
      <c r="X78" s="71"/>
      <c r="Y78" s="71"/>
      <c r="Z78" s="71"/>
      <c r="AA78" s="71">
        <v>44369</v>
      </c>
      <c r="AB78" s="71">
        <v>44350</v>
      </c>
      <c r="AC78" s="71"/>
      <c r="AD78" s="71">
        <v>44350</v>
      </c>
      <c r="AE78" s="71"/>
      <c r="AF78" s="71">
        <v>44362</v>
      </c>
      <c r="AG78" s="71">
        <v>44354</v>
      </c>
      <c r="AH78" s="71"/>
      <c r="AI78" s="71">
        <v>44376</v>
      </c>
      <c r="AJ78" s="71">
        <v>44376</v>
      </c>
      <c r="AK78" s="71"/>
      <c r="AL78" s="71"/>
      <c r="AM78" s="71"/>
      <c r="AN78" s="71"/>
      <c r="AO78" s="71"/>
      <c r="AP78" s="71"/>
      <c r="AQ78" s="71"/>
      <c r="AR78" s="71"/>
      <c r="AS78" s="71"/>
      <c r="AT78" s="71"/>
      <c r="AU78" s="71">
        <v>44363</v>
      </c>
      <c r="AV78" s="71"/>
      <c r="AW78" s="71"/>
      <c r="AX78" s="71">
        <v>44357</v>
      </c>
      <c r="AY78" s="71">
        <v>44362</v>
      </c>
      <c r="AZ78" s="71">
        <v>44350</v>
      </c>
      <c r="BA78" s="71"/>
      <c r="BB78" s="71">
        <v>44351</v>
      </c>
      <c r="BC78" s="71">
        <v>44337</v>
      </c>
      <c r="BD78" s="71">
        <v>44375</v>
      </c>
      <c r="BE78" s="71"/>
      <c r="BF78" s="71"/>
      <c r="BG78" s="71"/>
      <c r="BH78" s="71"/>
      <c r="BI78" s="71"/>
      <c r="BJ78" s="71"/>
      <c r="BK78" s="70"/>
      <c r="BL78" s="70"/>
      <c r="BM78" s="70"/>
      <c r="BN78" s="70"/>
      <c r="BO78" s="70"/>
    </row>
    <row r="79" spans="1:67" x14ac:dyDescent="0.4">
      <c r="A79" s="86">
        <v>3670000</v>
      </c>
      <c r="B79" s="74" t="s">
        <v>73</v>
      </c>
      <c r="C79" s="71">
        <v>44426</v>
      </c>
      <c r="D79" s="71">
        <v>44425</v>
      </c>
      <c r="E79" s="71">
        <v>44426</v>
      </c>
      <c r="F79" s="71">
        <v>44496</v>
      </c>
      <c r="G79" s="71">
        <v>44496</v>
      </c>
      <c r="H79" s="71">
        <v>44411</v>
      </c>
      <c r="I79" s="71">
        <v>44411</v>
      </c>
      <c r="J79" s="71">
        <v>44421</v>
      </c>
      <c r="K79" s="71"/>
      <c r="L79" s="71"/>
      <c r="M79" s="71">
        <v>44496</v>
      </c>
      <c r="N79" s="71"/>
      <c r="O79" s="71"/>
      <c r="P79" s="71"/>
      <c r="Q79" s="71"/>
      <c r="R79" s="71"/>
      <c r="S79" s="71"/>
      <c r="T79" s="71"/>
      <c r="U79" s="71">
        <v>44426</v>
      </c>
      <c r="V79" s="71">
        <v>44425</v>
      </c>
      <c r="W79" s="71"/>
      <c r="X79" s="71">
        <v>44426</v>
      </c>
      <c r="Y79" s="71"/>
      <c r="Z79" s="71"/>
      <c r="AA79" s="71"/>
      <c r="AB79" s="71"/>
      <c r="AC79" s="71"/>
      <c r="AD79" s="71">
        <v>44425</v>
      </c>
      <c r="AE79" s="71"/>
      <c r="AF79" s="71"/>
      <c r="AG79" s="71">
        <v>44421</v>
      </c>
      <c r="AH79" s="71"/>
      <c r="AI79" s="71">
        <v>44414</v>
      </c>
      <c r="AJ79" s="71">
        <v>44414</v>
      </c>
      <c r="AK79" s="71"/>
      <c r="AL79" s="71"/>
      <c r="AM79" s="71"/>
      <c r="AN79" s="71"/>
      <c r="AO79" s="71"/>
      <c r="AP79" s="71"/>
      <c r="AQ79" s="71"/>
      <c r="AR79" s="71">
        <v>44428</v>
      </c>
      <c r="AS79" s="71"/>
      <c r="AT79" s="71"/>
      <c r="AU79" s="71">
        <v>44425</v>
      </c>
      <c r="AV79" s="71"/>
      <c r="AW79" s="71"/>
      <c r="AX79" s="71"/>
      <c r="AY79" s="71">
        <v>44428</v>
      </c>
      <c r="AZ79" s="71"/>
      <c r="BA79" s="71">
        <v>44426</v>
      </c>
      <c r="BB79" s="71"/>
      <c r="BC79" s="71">
        <v>44425</v>
      </c>
      <c r="BD79" s="71">
        <v>44425</v>
      </c>
      <c r="BE79" s="71"/>
      <c r="BF79" s="71"/>
      <c r="BG79" s="71"/>
      <c r="BH79" s="71"/>
      <c r="BI79" s="71"/>
      <c r="BJ79" s="71"/>
      <c r="BK79" s="70"/>
      <c r="BL79" s="70"/>
      <c r="BM79" s="70"/>
      <c r="BN79" s="70"/>
      <c r="BO79" s="70"/>
    </row>
    <row r="80" spans="1:67" x14ac:dyDescent="0.4">
      <c r="A80" s="86">
        <v>3680000</v>
      </c>
      <c r="B80" s="74" t="s">
        <v>74</v>
      </c>
      <c r="C80" s="71">
        <v>44367</v>
      </c>
      <c r="D80" s="71">
        <v>44377</v>
      </c>
      <c r="E80" s="71">
        <v>44405</v>
      </c>
      <c r="F80" s="71">
        <v>44469</v>
      </c>
      <c r="G80" s="71">
        <v>44469</v>
      </c>
      <c r="H80" s="71">
        <v>44371</v>
      </c>
      <c r="I80" s="71">
        <v>44286</v>
      </c>
      <c r="J80" s="71">
        <v>44469</v>
      </c>
      <c r="K80" s="71"/>
      <c r="L80" s="71"/>
      <c r="M80" s="71">
        <v>44469</v>
      </c>
      <c r="N80" s="71">
        <v>44377</v>
      </c>
      <c r="O80" s="71"/>
      <c r="P80" s="71">
        <v>44469</v>
      </c>
      <c r="Q80" s="71"/>
      <c r="R80" s="71">
        <v>44469</v>
      </c>
      <c r="S80" s="71"/>
      <c r="T80" s="71"/>
      <c r="U80" s="71">
        <v>44351</v>
      </c>
      <c r="V80" s="72">
        <v>44133</v>
      </c>
      <c r="W80" s="71"/>
      <c r="X80" s="71"/>
      <c r="Y80" s="71"/>
      <c r="Z80" s="71"/>
      <c r="AA80" s="71">
        <v>44376</v>
      </c>
      <c r="AB80" s="71">
        <v>44376</v>
      </c>
      <c r="AC80" s="71"/>
      <c r="AD80" s="71">
        <v>44377</v>
      </c>
      <c r="AE80" s="71"/>
      <c r="AF80" s="71">
        <v>44469</v>
      </c>
      <c r="AG80" s="71">
        <v>44469</v>
      </c>
      <c r="AH80" s="71"/>
      <c r="AI80" s="71">
        <v>44354</v>
      </c>
      <c r="AJ80" s="71">
        <v>44371</v>
      </c>
      <c r="AK80" s="71"/>
      <c r="AL80" s="71"/>
      <c r="AM80" s="71"/>
      <c r="AN80" s="71"/>
      <c r="AO80" s="71"/>
      <c r="AP80" s="71"/>
      <c r="AQ80" s="71"/>
      <c r="AR80" s="71">
        <v>44469</v>
      </c>
      <c r="AS80" s="71"/>
      <c r="AT80" s="71"/>
      <c r="AU80" s="71">
        <v>44469</v>
      </c>
      <c r="AV80" s="71"/>
      <c r="AW80" s="71"/>
      <c r="AX80" s="71">
        <v>44469</v>
      </c>
      <c r="AY80" s="71">
        <v>44375</v>
      </c>
      <c r="AZ80" s="71">
        <v>44405</v>
      </c>
      <c r="BA80" s="71">
        <v>44367</v>
      </c>
      <c r="BB80" s="71">
        <v>44372</v>
      </c>
      <c r="BC80" s="71"/>
      <c r="BD80" s="71">
        <v>44375</v>
      </c>
      <c r="BE80" s="71"/>
      <c r="BF80" s="71"/>
      <c r="BG80" s="71"/>
      <c r="BH80" s="71"/>
      <c r="BI80" s="71"/>
      <c r="BJ80" s="71"/>
      <c r="BK80" s="70"/>
      <c r="BL80" s="70"/>
      <c r="BM80" s="70"/>
      <c r="BN80" s="70"/>
      <c r="BO80" s="70"/>
    </row>
    <row r="81" spans="1:67" x14ac:dyDescent="0.4">
      <c r="A81" s="86">
        <v>6310000</v>
      </c>
      <c r="B81" s="74" t="s">
        <v>76</v>
      </c>
      <c r="C81" s="71">
        <v>44467</v>
      </c>
      <c r="D81" s="71">
        <v>44466</v>
      </c>
      <c r="E81" s="71">
        <v>44467</v>
      </c>
      <c r="F81" s="71">
        <v>44467</v>
      </c>
      <c r="G81" s="71">
        <v>44467</v>
      </c>
      <c r="H81" s="71">
        <v>44466</v>
      </c>
      <c r="I81" s="71">
        <v>44440</v>
      </c>
      <c r="J81" s="71">
        <v>44467</v>
      </c>
      <c r="K81" s="71"/>
      <c r="L81" s="71">
        <v>44305</v>
      </c>
      <c r="M81" s="71">
        <v>44470</v>
      </c>
      <c r="N81" s="71">
        <v>44468</v>
      </c>
      <c r="O81" s="71"/>
      <c r="P81" s="71">
        <v>44474</v>
      </c>
      <c r="Q81" s="71">
        <v>44466</v>
      </c>
      <c r="R81" s="71">
        <v>44466</v>
      </c>
      <c r="S81" s="71">
        <v>44467</v>
      </c>
      <c r="T81" s="71">
        <v>44466</v>
      </c>
      <c r="U81" s="71">
        <v>44467</v>
      </c>
      <c r="V81" s="71">
        <v>44320</v>
      </c>
      <c r="W81" s="71">
        <v>44468</v>
      </c>
      <c r="X81" s="71"/>
      <c r="Y81" s="71"/>
      <c r="Z81" s="71">
        <v>44466</v>
      </c>
      <c r="AA81" s="71">
        <v>44466</v>
      </c>
      <c r="AB81" s="71">
        <v>44469</v>
      </c>
      <c r="AC81" s="71"/>
      <c r="AD81" s="72">
        <v>44120</v>
      </c>
      <c r="AE81" s="71">
        <v>44467</v>
      </c>
      <c r="AF81" s="71"/>
      <c r="AG81" s="71">
        <v>44467</v>
      </c>
      <c r="AH81" s="71">
        <v>44463</v>
      </c>
      <c r="AI81" s="71"/>
      <c r="AJ81" s="71"/>
      <c r="AK81" s="71"/>
      <c r="AL81" s="71"/>
      <c r="AM81" s="71">
        <v>44453</v>
      </c>
      <c r="AN81" s="71"/>
      <c r="AO81" s="71">
        <v>44466</v>
      </c>
      <c r="AP81" s="71"/>
      <c r="AQ81" s="71"/>
      <c r="AR81" s="71"/>
      <c r="AS81" s="71"/>
      <c r="AT81" s="71"/>
      <c r="AU81" s="72">
        <v>44305</v>
      </c>
      <c r="AV81" s="71"/>
      <c r="AW81" s="71"/>
      <c r="AX81" s="71"/>
      <c r="AY81" s="72">
        <v>44302</v>
      </c>
      <c r="AZ81" s="71"/>
      <c r="BA81" s="71"/>
      <c r="BB81" s="71"/>
      <c r="BC81" s="72">
        <v>44305</v>
      </c>
      <c r="BD81" s="71"/>
      <c r="BE81" s="71"/>
      <c r="BF81" s="71"/>
      <c r="BG81" s="71"/>
      <c r="BH81" s="71"/>
      <c r="BI81" s="71">
        <v>44218</v>
      </c>
      <c r="BJ81" s="71">
        <v>44470</v>
      </c>
      <c r="BK81" s="70"/>
      <c r="BL81" s="70"/>
      <c r="BM81" s="70"/>
      <c r="BN81" s="70"/>
      <c r="BO81" s="70"/>
    </row>
    <row r="82" spans="1:67" x14ac:dyDescent="0.4">
      <c r="A82" s="86">
        <v>3690000</v>
      </c>
      <c r="B82" s="74" t="s">
        <v>77</v>
      </c>
      <c r="C82" s="71"/>
      <c r="D82" s="71">
        <v>44445</v>
      </c>
      <c r="E82" s="71">
        <v>44403</v>
      </c>
      <c r="F82" s="72">
        <v>44249</v>
      </c>
      <c r="G82" s="71">
        <v>44468</v>
      </c>
      <c r="H82" s="71">
        <v>44203</v>
      </c>
      <c r="I82" s="71">
        <v>44467</v>
      </c>
      <c r="J82" s="71">
        <v>44463</v>
      </c>
      <c r="K82" s="71">
        <v>44467</v>
      </c>
      <c r="L82" s="71">
        <v>44498</v>
      </c>
      <c r="M82" s="71">
        <v>44498</v>
      </c>
      <c r="N82" s="71">
        <v>44203</v>
      </c>
      <c r="O82" s="71">
        <v>44467</v>
      </c>
      <c r="P82" s="71">
        <v>44280</v>
      </c>
      <c r="Q82" s="71">
        <v>44445</v>
      </c>
      <c r="R82" s="71">
        <v>44455</v>
      </c>
      <c r="S82" s="71">
        <v>44463</v>
      </c>
      <c r="T82" s="71"/>
      <c r="U82" s="71">
        <v>44445</v>
      </c>
      <c r="V82" s="71">
        <v>44455</v>
      </c>
      <c r="W82" s="71"/>
      <c r="X82" s="71"/>
      <c r="Y82" s="71"/>
      <c r="Z82" s="71"/>
      <c r="AA82" s="71">
        <v>44455</v>
      </c>
      <c r="AB82" s="71">
        <v>44455</v>
      </c>
      <c r="AC82" s="71"/>
      <c r="AD82" s="71"/>
      <c r="AE82" s="71"/>
      <c r="AF82" s="71"/>
      <c r="AG82" s="71"/>
      <c r="AH82" s="71"/>
      <c r="AI82" s="71">
        <v>44203</v>
      </c>
      <c r="AJ82" s="71">
        <v>44467</v>
      </c>
      <c r="AK82" s="71"/>
      <c r="AL82" s="71"/>
      <c r="AM82" s="71"/>
      <c r="AN82" s="71"/>
      <c r="AO82" s="71"/>
      <c r="AP82" s="71"/>
      <c r="AQ82" s="71"/>
      <c r="AR82" s="71"/>
      <c r="AS82" s="71"/>
      <c r="AT82" s="71"/>
      <c r="AU82" s="71">
        <v>44439</v>
      </c>
      <c r="AV82" s="71"/>
      <c r="AW82" s="71"/>
      <c r="AX82" s="71"/>
      <c r="AY82" s="71">
        <v>44445</v>
      </c>
      <c r="AZ82" s="71"/>
      <c r="BA82" s="71">
        <v>44467</v>
      </c>
      <c r="BB82" s="71">
        <v>44456</v>
      </c>
      <c r="BC82" s="71"/>
      <c r="BD82" s="71"/>
      <c r="BE82" s="71"/>
      <c r="BF82" s="71"/>
      <c r="BG82" s="71"/>
      <c r="BH82" s="71"/>
      <c r="BI82" s="71"/>
      <c r="BJ82" s="71"/>
      <c r="BK82" s="70"/>
      <c r="BL82" s="70"/>
      <c r="BM82" s="70"/>
      <c r="BN82" s="70"/>
      <c r="BO82" s="70"/>
    </row>
    <row r="83" spans="1:67" x14ac:dyDescent="0.4">
      <c r="A83" s="86">
        <v>3700000</v>
      </c>
      <c r="B83" s="74" t="s">
        <v>78</v>
      </c>
      <c r="C83" s="71">
        <v>44464</v>
      </c>
      <c r="D83" s="71">
        <v>44334</v>
      </c>
      <c r="E83" s="71">
        <v>44464</v>
      </c>
      <c r="F83" s="71">
        <v>44464</v>
      </c>
      <c r="G83" s="71">
        <v>44464</v>
      </c>
      <c r="H83" s="71">
        <v>44316</v>
      </c>
      <c r="I83" s="71">
        <v>44399</v>
      </c>
      <c r="J83" s="71">
        <v>44455</v>
      </c>
      <c r="K83" s="71"/>
      <c r="L83" s="71">
        <v>44341</v>
      </c>
      <c r="M83" s="71">
        <v>44440</v>
      </c>
      <c r="N83" s="71">
        <v>44497</v>
      </c>
      <c r="O83" s="71"/>
      <c r="P83" s="71">
        <v>44341</v>
      </c>
      <c r="Q83" s="71">
        <v>44334</v>
      </c>
      <c r="R83" s="71">
        <v>44497</v>
      </c>
      <c r="S83" s="71">
        <v>44336</v>
      </c>
      <c r="T83" s="71"/>
      <c r="U83" s="71">
        <v>44340</v>
      </c>
      <c r="V83" s="71">
        <v>44497</v>
      </c>
      <c r="W83" s="71">
        <v>44497</v>
      </c>
      <c r="X83" s="71">
        <v>44336</v>
      </c>
      <c r="Y83" s="71"/>
      <c r="Z83" s="71"/>
      <c r="AA83" s="71">
        <v>44316</v>
      </c>
      <c r="AB83" s="71">
        <v>44316</v>
      </c>
      <c r="AC83" s="71"/>
      <c r="AD83" s="71"/>
      <c r="AE83" s="71">
        <v>44334</v>
      </c>
      <c r="AF83" s="71"/>
      <c r="AG83" s="71">
        <v>44464</v>
      </c>
      <c r="AH83" s="71"/>
      <c r="AI83" s="71">
        <v>44334</v>
      </c>
      <c r="AJ83" s="71">
        <v>44334</v>
      </c>
      <c r="AK83" s="71">
        <v>44313</v>
      </c>
      <c r="AL83" s="71"/>
      <c r="AM83" s="71"/>
      <c r="AN83" s="71"/>
      <c r="AO83" s="71"/>
      <c r="AP83" s="71"/>
      <c r="AQ83" s="71"/>
      <c r="AR83" s="71"/>
      <c r="AS83" s="71"/>
      <c r="AT83" s="71"/>
      <c r="AU83" s="71">
        <v>44497</v>
      </c>
      <c r="AV83" s="71"/>
      <c r="AW83" s="71"/>
      <c r="AX83" s="71"/>
      <c r="AY83" s="71">
        <v>44333</v>
      </c>
      <c r="AZ83" s="71"/>
      <c r="BA83" s="71"/>
      <c r="BB83" s="71">
        <v>44497</v>
      </c>
      <c r="BC83" s="71">
        <v>44342</v>
      </c>
      <c r="BD83" s="71"/>
      <c r="BE83" s="71"/>
      <c r="BF83" s="71"/>
      <c r="BG83" s="71"/>
      <c r="BH83" s="71"/>
      <c r="BI83" s="71"/>
      <c r="BJ83" s="71"/>
      <c r="BK83" s="70"/>
      <c r="BL83" s="70"/>
      <c r="BM83" s="70"/>
      <c r="BN83" s="70"/>
      <c r="BO83" s="70"/>
    </row>
    <row r="84" spans="1:67" x14ac:dyDescent="0.4">
      <c r="A84" s="86">
        <v>3710000</v>
      </c>
      <c r="B84" s="74" t="s">
        <v>81</v>
      </c>
      <c r="C84" s="71">
        <v>44448</v>
      </c>
      <c r="D84" s="71">
        <v>44299</v>
      </c>
      <c r="E84" s="71">
        <v>44448</v>
      </c>
      <c r="F84" s="71">
        <v>44463</v>
      </c>
      <c r="G84" s="71">
        <v>44463</v>
      </c>
      <c r="H84" s="71">
        <v>44448</v>
      </c>
      <c r="I84" s="71">
        <v>44319</v>
      </c>
      <c r="J84" s="71">
        <v>44467</v>
      </c>
      <c r="K84" s="71"/>
      <c r="L84" s="71">
        <v>44314</v>
      </c>
      <c r="M84" s="71">
        <v>44463</v>
      </c>
      <c r="N84" s="71">
        <v>44168</v>
      </c>
      <c r="O84" s="71"/>
      <c r="P84" s="71">
        <v>44447</v>
      </c>
      <c r="Q84" s="71">
        <v>44447</v>
      </c>
      <c r="R84" s="71">
        <v>44447</v>
      </c>
      <c r="S84" s="71"/>
      <c r="T84" s="71"/>
      <c r="U84" s="71">
        <v>44501</v>
      </c>
      <c r="V84" s="71">
        <v>44463</v>
      </c>
      <c r="W84" s="71"/>
      <c r="X84" s="71"/>
      <c r="Y84" s="71"/>
      <c r="Z84" s="71"/>
      <c r="AA84" s="71">
        <v>44495</v>
      </c>
      <c r="AB84" s="71">
        <v>44501</v>
      </c>
      <c r="AC84" s="71"/>
      <c r="AD84" s="71"/>
      <c r="AE84" s="71">
        <v>44501</v>
      </c>
      <c r="AF84" s="71"/>
      <c r="AG84" s="71"/>
      <c r="AH84" s="71"/>
      <c r="AI84" s="71">
        <v>44463</v>
      </c>
      <c r="AJ84" s="71">
        <v>44463</v>
      </c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>
        <v>44448</v>
      </c>
      <c r="AV84" s="71"/>
      <c r="AW84" s="71"/>
      <c r="AX84" s="71"/>
      <c r="AY84" s="71"/>
      <c r="AZ84" s="72">
        <v>44271</v>
      </c>
      <c r="BA84" s="72">
        <v>44133</v>
      </c>
      <c r="BB84" s="71">
        <v>44470</v>
      </c>
      <c r="BC84" s="71"/>
      <c r="BD84" s="71"/>
      <c r="BE84" s="71"/>
      <c r="BF84" s="71"/>
      <c r="BG84" s="71"/>
      <c r="BH84" s="71"/>
      <c r="BI84" s="71"/>
      <c r="BJ84" s="71"/>
      <c r="BK84" s="70"/>
      <c r="BL84" s="70"/>
      <c r="BM84" s="70"/>
      <c r="BN84" s="70"/>
      <c r="BO84" s="70"/>
    </row>
    <row r="85" spans="1:67" x14ac:dyDescent="0.4">
      <c r="A85" s="86">
        <v>3720000</v>
      </c>
      <c r="B85" s="74" t="s">
        <v>79</v>
      </c>
      <c r="C85" s="71">
        <v>44375</v>
      </c>
      <c r="D85" s="71">
        <v>44376</v>
      </c>
      <c r="E85" s="71">
        <v>44375</v>
      </c>
      <c r="F85" s="71">
        <v>44455</v>
      </c>
      <c r="G85" s="71">
        <v>44474</v>
      </c>
      <c r="H85" s="71">
        <v>44378</v>
      </c>
      <c r="I85" s="71">
        <v>44363</v>
      </c>
      <c r="J85" s="71">
        <v>44466</v>
      </c>
      <c r="K85" s="71"/>
      <c r="L85" s="71"/>
      <c r="M85" s="71"/>
      <c r="N85" s="71">
        <v>44378</v>
      </c>
      <c r="O85" s="71"/>
      <c r="P85" s="71">
        <v>44387</v>
      </c>
      <c r="Q85" s="71">
        <v>44370</v>
      </c>
      <c r="R85" s="71"/>
      <c r="S85" s="71"/>
      <c r="T85" s="71"/>
      <c r="U85" s="71">
        <v>44378</v>
      </c>
      <c r="V85" s="71">
        <v>44368</v>
      </c>
      <c r="W85" s="71"/>
      <c r="X85" s="71"/>
      <c r="Y85" s="71"/>
      <c r="Z85" s="71">
        <v>44379</v>
      </c>
      <c r="AA85" s="71">
        <v>44376</v>
      </c>
      <c r="AB85" s="71">
        <v>44378</v>
      </c>
      <c r="AC85" s="71"/>
      <c r="AD85" s="71">
        <v>44411</v>
      </c>
      <c r="AE85" s="71">
        <v>44379</v>
      </c>
      <c r="AF85" s="71">
        <v>44411</v>
      </c>
      <c r="AG85" s="71"/>
      <c r="AH85" s="71"/>
      <c r="AI85" s="71">
        <v>44377</v>
      </c>
      <c r="AJ85" s="71">
        <v>44377</v>
      </c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>
        <v>44375</v>
      </c>
      <c r="AV85" s="71"/>
      <c r="AW85" s="71"/>
      <c r="AX85" s="71"/>
      <c r="AY85" s="71"/>
      <c r="AZ85" s="71"/>
      <c r="BA85" s="71"/>
      <c r="BB85" s="71">
        <v>44375</v>
      </c>
      <c r="BC85" s="71"/>
      <c r="BD85" s="71"/>
      <c r="BE85" s="71"/>
      <c r="BF85" s="71"/>
      <c r="BG85" s="71"/>
      <c r="BH85" s="71"/>
      <c r="BI85" s="71"/>
      <c r="BJ85" s="71"/>
      <c r="BK85" s="70"/>
      <c r="BL85" s="70"/>
      <c r="BM85" s="70"/>
      <c r="BN85" s="70"/>
      <c r="BO85" s="70"/>
    </row>
    <row r="86" spans="1:67" x14ac:dyDescent="0.4">
      <c r="A86" s="86">
        <v>3730000</v>
      </c>
      <c r="B86" s="74" t="s">
        <v>80</v>
      </c>
      <c r="C86" s="71">
        <v>44488</v>
      </c>
      <c r="D86" s="71">
        <v>44431</v>
      </c>
      <c r="E86" s="71">
        <v>44383</v>
      </c>
      <c r="F86" s="71">
        <v>44494</v>
      </c>
      <c r="G86" s="71">
        <v>44441</v>
      </c>
      <c r="H86" s="71">
        <v>44426</v>
      </c>
      <c r="I86" s="71">
        <v>44328</v>
      </c>
      <c r="J86" s="71">
        <v>44488</v>
      </c>
      <c r="K86" s="71">
        <v>44431</v>
      </c>
      <c r="L86" s="71"/>
      <c r="M86" s="71">
        <v>44495</v>
      </c>
      <c r="N86" s="71">
        <v>44428</v>
      </c>
      <c r="O86" s="71"/>
      <c r="P86" s="71">
        <v>44439</v>
      </c>
      <c r="Q86" s="71">
        <v>44434</v>
      </c>
      <c r="R86" s="71">
        <v>44503</v>
      </c>
      <c r="S86" s="71">
        <v>44494</v>
      </c>
      <c r="T86" s="71"/>
      <c r="U86" s="71">
        <v>44431</v>
      </c>
      <c r="V86" s="71">
        <v>44488</v>
      </c>
      <c r="W86" s="71"/>
      <c r="X86" s="71"/>
      <c r="Y86" s="71"/>
      <c r="Z86" s="71">
        <v>44463</v>
      </c>
      <c r="AA86" s="71">
        <v>44428</v>
      </c>
      <c r="AB86" s="71">
        <v>44428</v>
      </c>
      <c r="AC86" s="71">
        <v>44439</v>
      </c>
      <c r="AD86" s="71"/>
      <c r="AE86" s="71">
        <v>44489</v>
      </c>
      <c r="AF86" s="71"/>
      <c r="AG86" s="71"/>
      <c r="AH86" s="71"/>
      <c r="AI86" s="71">
        <v>44412</v>
      </c>
      <c r="AJ86" s="71">
        <v>44411</v>
      </c>
      <c r="AK86" s="71"/>
      <c r="AL86" s="71"/>
      <c r="AM86" s="71"/>
      <c r="AN86" s="71"/>
      <c r="AO86" s="71"/>
      <c r="AP86" s="71"/>
      <c r="AQ86" s="71"/>
      <c r="AR86" s="71">
        <v>44489</v>
      </c>
      <c r="AS86" s="71"/>
      <c r="AT86" s="71"/>
      <c r="AU86" s="71">
        <v>44489</v>
      </c>
      <c r="AV86" s="71"/>
      <c r="AW86" s="71"/>
      <c r="AX86" s="71"/>
      <c r="AY86" s="71">
        <v>44489</v>
      </c>
      <c r="AZ86" s="71"/>
      <c r="BA86" s="71">
        <v>44488</v>
      </c>
      <c r="BB86" s="71">
        <v>44488</v>
      </c>
      <c r="BC86" s="71"/>
      <c r="BD86" s="71"/>
      <c r="BE86" s="71"/>
      <c r="BF86" s="71"/>
      <c r="BG86" s="71">
        <v>44488</v>
      </c>
      <c r="BH86" s="71"/>
      <c r="BI86" s="71"/>
      <c r="BJ86" s="71"/>
      <c r="BK86" s="70"/>
      <c r="BL86" s="70"/>
      <c r="BM86" s="70"/>
      <c r="BN86" s="70"/>
      <c r="BO86" s="70"/>
    </row>
    <row r="87" spans="1:67" x14ac:dyDescent="0.4">
      <c r="A87" s="86">
        <v>5690000</v>
      </c>
      <c r="B87" s="74" t="s">
        <v>82</v>
      </c>
      <c r="C87" s="71">
        <v>44491</v>
      </c>
      <c r="D87" s="71">
        <v>44494</v>
      </c>
      <c r="E87" s="71">
        <v>44489</v>
      </c>
      <c r="F87" s="71">
        <v>44488</v>
      </c>
      <c r="G87" s="71">
        <v>44487</v>
      </c>
      <c r="H87" s="71">
        <v>44484</v>
      </c>
      <c r="I87" s="71">
        <v>44488</v>
      </c>
      <c r="J87" s="71">
        <v>44487</v>
      </c>
      <c r="K87" s="71"/>
      <c r="L87" s="71"/>
      <c r="M87" s="71">
        <v>44488</v>
      </c>
      <c r="N87" s="71">
        <v>44488</v>
      </c>
      <c r="O87" s="71">
        <v>44488</v>
      </c>
      <c r="P87" s="71">
        <v>44484</v>
      </c>
      <c r="Q87" s="71">
        <v>44487</v>
      </c>
      <c r="R87" s="71"/>
      <c r="S87" s="71">
        <v>44488</v>
      </c>
      <c r="T87" s="71">
        <v>44496</v>
      </c>
      <c r="U87" s="71">
        <v>44488</v>
      </c>
      <c r="V87" s="71">
        <v>44497</v>
      </c>
      <c r="W87" s="71"/>
      <c r="X87" s="71"/>
      <c r="Y87" s="71"/>
      <c r="Z87" s="71"/>
      <c r="AA87" s="71">
        <v>44488</v>
      </c>
      <c r="AB87" s="71">
        <v>44487</v>
      </c>
      <c r="AC87" s="71"/>
      <c r="AD87" s="71"/>
      <c r="AE87" s="71">
        <v>44488</v>
      </c>
      <c r="AF87" s="71"/>
      <c r="AG87" s="71"/>
      <c r="AH87" s="71">
        <v>44487</v>
      </c>
      <c r="AI87" s="71">
        <v>44484</v>
      </c>
      <c r="AJ87" s="71">
        <v>44484</v>
      </c>
      <c r="AK87" s="71"/>
      <c r="AL87" s="71"/>
      <c r="AM87" s="71">
        <v>44489</v>
      </c>
      <c r="AN87" s="71">
        <v>44490</v>
      </c>
      <c r="AO87" s="71">
        <v>44491</v>
      </c>
      <c r="AP87" s="71">
        <v>44484</v>
      </c>
      <c r="AQ87" s="71"/>
      <c r="AR87" s="71"/>
      <c r="AS87" s="71">
        <v>44490</v>
      </c>
      <c r="AT87" s="71"/>
      <c r="AU87" s="71">
        <v>44487</v>
      </c>
      <c r="AV87" s="71"/>
      <c r="AW87" s="71">
        <v>44484</v>
      </c>
      <c r="AX87" s="71"/>
      <c r="AY87" s="71">
        <v>44489</v>
      </c>
      <c r="AZ87" s="71"/>
      <c r="BA87" s="71">
        <v>44484</v>
      </c>
      <c r="BB87" s="71">
        <v>44497</v>
      </c>
      <c r="BC87" s="71"/>
      <c r="BD87" s="71"/>
      <c r="BE87" s="71">
        <v>44484</v>
      </c>
      <c r="BF87" s="71">
        <v>44487</v>
      </c>
      <c r="BG87" s="71"/>
      <c r="BH87" s="71"/>
      <c r="BI87" s="71">
        <v>44488</v>
      </c>
      <c r="BJ87" s="71">
        <v>44488</v>
      </c>
      <c r="BK87" s="70"/>
      <c r="BL87" s="70"/>
      <c r="BM87" s="70"/>
      <c r="BN87" s="70"/>
      <c r="BO87" s="70"/>
    </row>
    <row r="88" spans="1:67" x14ac:dyDescent="0.4">
      <c r="A88" s="86">
        <v>6410000</v>
      </c>
      <c r="B88" s="74" t="s">
        <v>83</v>
      </c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  <c r="AV88" s="71"/>
      <c r="AW88" s="71"/>
      <c r="AX88" s="71"/>
      <c r="AY88" s="71"/>
      <c r="AZ88" s="71"/>
      <c r="BA88" s="71"/>
      <c r="BB88" s="71"/>
      <c r="BC88" s="71"/>
      <c r="BD88" s="71"/>
      <c r="BE88" s="71"/>
      <c r="BF88" s="71"/>
      <c r="BG88" s="71"/>
      <c r="BH88" s="71"/>
      <c r="BI88" s="71">
        <v>44224</v>
      </c>
      <c r="BJ88" s="72">
        <v>44299</v>
      </c>
      <c r="BK88" s="70"/>
      <c r="BL88" s="70"/>
      <c r="BM88" s="70"/>
      <c r="BN88" s="70"/>
      <c r="BO88" s="70"/>
    </row>
    <row r="89" spans="1:67" x14ac:dyDescent="0.4">
      <c r="A89" s="86">
        <v>3740000</v>
      </c>
      <c r="B89" s="74" t="s">
        <v>84</v>
      </c>
      <c r="C89" s="72">
        <v>44103</v>
      </c>
      <c r="D89" s="71">
        <v>44357</v>
      </c>
      <c r="E89" s="71">
        <v>44449</v>
      </c>
      <c r="F89" s="71">
        <v>44445</v>
      </c>
      <c r="G89" s="71">
        <v>44448</v>
      </c>
      <c r="H89" s="71">
        <v>44326</v>
      </c>
      <c r="I89" s="71">
        <v>44349</v>
      </c>
      <c r="J89" s="71">
        <v>44469</v>
      </c>
      <c r="K89" s="71"/>
      <c r="L89" s="71">
        <v>44369</v>
      </c>
      <c r="M89" s="71">
        <v>44490</v>
      </c>
      <c r="N89" s="71">
        <v>44343</v>
      </c>
      <c r="O89" s="71">
        <v>44467</v>
      </c>
      <c r="P89" s="71">
        <v>44337</v>
      </c>
      <c r="Q89" s="71">
        <v>44209</v>
      </c>
      <c r="R89" s="71"/>
      <c r="S89" s="71">
        <v>44330</v>
      </c>
      <c r="T89" s="71">
        <v>44328</v>
      </c>
      <c r="U89" s="71">
        <v>44337</v>
      </c>
      <c r="V89" s="71">
        <v>44314</v>
      </c>
      <c r="W89" s="72">
        <v>44103</v>
      </c>
      <c r="X89" s="71">
        <v>44368</v>
      </c>
      <c r="Y89" s="71"/>
      <c r="Z89" s="71">
        <v>44348</v>
      </c>
      <c r="AA89" s="71">
        <v>44323</v>
      </c>
      <c r="AB89" s="71">
        <v>44342</v>
      </c>
      <c r="AC89" s="71"/>
      <c r="AD89" s="71">
        <v>44337</v>
      </c>
      <c r="AE89" s="71">
        <v>44322</v>
      </c>
      <c r="AF89" s="71">
        <v>44469</v>
      </c>
      <c r="AG89" s="71">
        <v>44469</v>
      </c>
      <c r="AH89" s="71">
        <v>44354</v>
      </c>
      <c r="AI89" s="71">
        <v>44293</v>
      </c>
      <c r="AJ89" s="71">
        <v>44175</v>
      </c>
      <c r="AK89" s="71"/>
      <c r="AL89" s="71">
        <v>44432</v>
      </c>
      <c r="AM89" s="71">
        <v>44404</v>
      </c>
      <c r="AN89" s="71">
        <v>44326</v>
      </c>
      <c r="AO89" s="71">
        <v>44355</v>
      </c>
      <c r="AP89" s="71">
        <v>44327</v>
      </c>
      <c r="AQ89" s="71">
        <v>44357</v>
      </c>
      <c r="AR89" s="71">
        <v>44400</v>
      </c>
      <c r="AS89" s="71">
        <v>44319</v>
      </c>
      <c r="AT89" s="71"/>
      <c r="AU89" s="71">
        <v>44463</v>
      </c>
      <c r="AV89" s="71"/>
      <c r="AW89" s="71">
        <v>44349</v>
      </c>
      <c r="AX89" s="71"/>
      <c r="AY89" s="71">
        <v>44322</v>
      </c>
      <c r="AZ89" s="71">
        <v>44342</v>
      </c>
      <c r="BA89" s="72">
        <v>44316</v>
      </c>
      <c r="BB89" s="71">
        <v>44363</v>
      </c>
      <c r="BC89" s="71">
        <v>44330</v>
      </c>
      <c r="BD89" s="71"/>
      <c r="BE89" s="71">
        <v>44357</v>
      </c>
      <c r="BF89" s="71">
        <v>44453</v>
      </c>
      <c r="BG89" s="71">
        <v>44453</v>
      </c>
      <c r="BH89" s="71"/>
      <c r="BI89" s="71"/>
      <c r="BJ89" s="71"/>
      <c r="BK89" s="70"/>
      <c r="BL89" s="70"/>
      <c r="BM89" s="70"/>
      <c r="BN89" s="70"/>
      <c r="BO89" s="70"/>
    </row>
    <row r="90" spans="1:67" x14ac:dyDescent="0.4">
      <c r="A90" s="86">
        <v>3940000</v>
      </c>
      <c r="B90" s="74" t="s">
        <v>111</v>
      </c>
      <c r="C90" s="71">
        <v>44446</v>
      </c>
      <c r="D90" s="71">
        <v>44453</v>
      </c>
      <c r="E90" s="71">
        <v>44378</v>
      </c>
      <c r="F90" s="71">
        <v>44469</v>
      </c>
      <c r="G90" s="71"/>
      <c r="H90" s="71">
        <v>44349</v>
      </c>
      <c r="I90" s="71">
        <v>44279</v>
      </c>
      <c r="J90" s="71"/>
      <c r="K90" s="71"/>
      <c r="L90" s="71"/>
      <c r="M90" s="71">
        <v>44488</v>
      </c>
      <c r="N90" s="71">
        <v>44488</v>
      </c>
      <c r="O90" s="71"/>
      <c r="P90" s="71">
        <v>44469</v>
      </c>
      <c r="Q90" s="71">
        <v>44169</v>
      </c>
      <c r="R90" s="71">
        <v>44179</v>
      </c>
      <c r="S90" s="71">
        <v>44361</v>
      </c>
      <c r="T90" s="71">
        <v>44362</v>
      </c>
      <c r="U90" s="71">
        <v>44301</v>
      </c>
      <c r="V90" s="71"/>
      <c r="W90" s="71"/>
      <c r="X90" s="71">
        <v>44377</v>
      </c>
      <c r="Y90" s="71"/>
      <c r="Z90" s="71"/>
      <c r="AA90" s="71">
        <v>44420</v>
      </c>
      <c r="AB90" s="71">
        <v>44407</v>
      </c>
      <c r="AC90" s="71"/>
      <c r="AD90" s="71">
        <v>44354</v>
      </c>
      <c r="AE90" s="71">
        <v>44469</v>
      </c>
      <c r="AF90" s="71"/>
      <c r="AG90" s="71">
        <v>44406</v>
      </c>
      <c r="AH90" s="71">
        <v>44362</v>
      </c>
      <c r="AI90" s="71">
        <v>44278</v>
      </c>
      <c r="AJ90" s="71">
        <v>44278</v>
      </c>
      <c r="AK90" s="71"/>
      <c r="AL90" s="71">
        <v>44469</v>
      </c>
      <c r="AM90" s="71">
        <v>44469</v>
      </c>
      <c r="AN90" s="71"/>
      <c r="AO90" s="72">
        <v>44131</v>
      </c>
      <c r="AP90" s="71"/>
      <c r="AQ90" s="71"/>
      <c r="AR90" s="71">
        <v>44350</v>
      </c>
      <c r="AS90" s="71"/>
      <c r="AT90" s="71"/>
      <c r="AU90" s="71">
        <v>44488</v>
      </c>
      <c r="AV90" s="71"/>
      <c r="AW90" s="71">
        <v>44468</v>
      </c>
      <c r="AX90" s="71"/>
      <c r="AY90" s="71">
        <v>44468</v>
      </c>
      <c r="AZ90" s="71"/>
      <c r="BA90" s="71">
        <v>44378</v>
      </c>
      <c r="BB90" s="71">
        <v>44390</v>
      </c>
      <c r="BC90" s="71">
        <v>44469</v>
      </c>
      <c r="BD90" s="71"/>
      <c r="BE90" s="71">
        <v>44378</v>
      </c>
      <c r="BF90" s="71"/>
      <c r="BG90" s="71">
        <v>44469</v>
      </c>
      <c r="BH90" s="71"/>
      <c r="BI90" s="71"/>
      <c r="BJ90" s="71"/>
      <c r="BK90" s="70"/>
      <c r="BL90" s="70"/>
      <c r="BM90" s="70"/>
      <c r="BN90" s="70"/>
      <c r="BO90" s="70"/>
    </row>
    <row r="91" spans="1:67" x14ac:dyDescent="0.4">
      <c r="A91" s="86">
        <v>3780000</v>
      </c>
      <c r="B91" s="74" t="s">
        <v>85</v>
      </c>
      <c r="C91" s="71">
        <v>44491</v>
      </c>
      <c r="D91" s="71">
        <v>44491</v>
      </c>
      <c r="E91" s="71">
        <v>44491</v>
      </c>
      <c r="F91" s="71">
        <v>44489</v>
      </c>
      <c r="G91" s="71">
        <v>44491</v>
      </c>
      <c r="H91" s="71">
        <v>44489</v>
      </c>
      <c r="I91" s="71">
        <v>44450</v>
      </c>
      <c r="J91" s="71">
        <v>44491</v>
      </c>
      <c r="K91" s="71"/>
      <c r="L91" s="71"/>
      <c r="M91" s="71">
        <v>44496</v>
      </c>
      <c r="N91" s="71">
        <v>44363</v>
      </c>
      <c r="O91" s="71"/>
      <c r="P91" s="71">
        <v>44450</v>
      </c>
      <c r="Q91" s="71">
        <v>44491</v>
      </c>
      <c r="R91" s="71">
        <v>44355</v>
      </c>
      <c r="S91" s="71">
        <v>44356</v>
      </c>
      <c r="T91" s="71"/>
      <c r="U91" s="71">
        <v>44495</v>
      </c>
      <c r="V91" s="71">
        <v>44372</v>
      </c>
      <c r="W91" s="71">
        <v>44491</v>
      </c>
      <c r="X91" s="71">
        <v>44491</v>
      </c>
      <c r="Y91" s="71">
        <v>44491</v>
      </c>
      <c r="Z91" s="71">
        <v>44440</v>
      </c>
      <c r="AA91" s="71">
        <v>44372</v>
      </c>
      <c r="AB91" s="71">
        <v>44369</v>
      </c>
      <c r="AC91" s="71"/>
      <c r="AD91" s="71">
        <v>44244</v>
      </c>
      <c r="AE91" s="71">
        <v>44356</v>
      </c>
      <c r="AF91" s="71">
        <v>44494</v>
      </c>
      <c r="AG91" s="71">
        <v>44495</v>
      </c>
      <c r="AH91" s="71">
        <v>44450</v>
      </c>
      <c r="AI91" s="71">
        <v>44495</v>
      </c>
      <c r="AJ91" s="71">
        <v>44440</v>
      </c>
      <c r="AK91" s="71"/>
      <c r="AL91" s="71"/>
      <c r="AM91" s="71">
        <v>44491</v>
      </c>
      <c r="AN91" s="71">
        <v>44497</v>
      </c>
      <c r="AO91" s="71">
        <v>44450</v>
      </c>
      <c r="AP91" s="71">
        <v>44497</v>
      </c>
      <c r="AQ91" s="71"/>
      <c r="AR91" s="71">
        <v>44495</v>
      </c>
      <c r="AS91" s="71">
        <v>44495</v>
      </c>
      <c r="AT91" s="71"/>
      <c r="AU91" s="71">
        <v>44494</v>
      </c>
      <c r="AV91" s="71"/>
      <c r="AW91" s="71">
        <v>44495</v>
      </c>
      <c r="AX91" s="71">
        <v>44494</v>
      </c>
      <c r="AY91" s="71"/>
      <c r="AZ91" s="71"/>
      <c r="BA91" s="71">
        <v>44494</v>
      </c>
      <c r="BB91" s="71">
        <v>44494</v>
      </c>
      <c r="BC91" s="71">
        <v>44494</v>
      </c>
      <c r="BD91" s="71"/>
      <c r="BE91" s="71">
        <v>44495</v>
      </c>
      <c r="BF91" s="71"/>
      <c r="BG91" s="71">
        <v>44495</v>
      </c>
      <c r="BH91" s="71"/>
      <c r="BI91" s="71"/>
      <c r="BJ91" s="71"/>
      <c r="BK91" s="70"/>
      <c r="BL91" s="70"/>
      <c r="BM91" s="70"/>
      <c r="BN91" s="70"/>
      <c r="BO91" s="70"/>
    </row>
    <row r="92" spans="1:67" x14ac:dyDescent="0.4">
      <c r="A92" s="86">
        <v>4050000</v>
      </c>
      <c r="B92" s="74" t="s">
        <v>86</v>
      </c>
      <c r="C92" s="71">
        <v>44495</v>
      </c>
      <c r="D92" s="71">
        <v>44495</v>
      </c>
      <c r="E92" s="72">
        <v>43819</v>
      </c>
      <c r="F92" s="71">
        <v>44495</v>
      </c>
      <c r="G92" s="72">
        <v>43809</v>
      </c>
      <c r="H92" s="72">
        <v>43574</v>
      </c>
      <c r="I92" s="71">
        <v>44495</v>
      </c>
      <c r="J92" s="71">
        <v>44495</v>
      </c>
      <c r="K92" s="71">
        <v>44495</v>
      </c>
      <c r="L92" s="71">
        <v>44495</v>
      </c>
      <c r="M92" s="71">
        <v>44495</v>
      </c>
      <c r="N92" s="72">
        <v>43661</v>
      </c>
      <c r="O92" s="71"/>
      <c r="P92" s="71">
        <v>44495</v>
      </c>
      <c r="Q92" s="71">
        <v>44495</v>
      </c>
      <c r="R92" s="71">
        <v>44495</v>
      </c>
      <c r="S92" s="71">
        <v>44496</v>
      </c>
      <c r="T92" s="71">
        <v>44496</v>
      </c>
      <c r="U92" s="71">
        <v>44496</v>
      </c>
      <c r="V92" s="72">
        <v>43571</v>
      </c>
      <c r="W92" s="71"/>
      <c r="X92" s="71">
        <v>44496</v>
      </c>
      <c r="Y92" s="71"/>
      <c r="Z92" s="71">
        <v>44496</v>
      </c>
      <c r="AA92" s="71">
        <v>44496</v>
      </c>
      <c r="AB92" s="71">
        <v>44496</v>
      </c>
      <c r="AC92" s="71"/>
      <c r="AD92" s="71"/>
      <c r="AE92" s="71">
        <v>44496</v>
      </c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2">
        <v>43752</v>
      </c>
      <c r="AV92" s="71"/>
      <c r="AW92" s="71">
        <v>44496</v>
      </c>
      <c r="AX92" s="71"/>
      <c r="AY92" s="71">
        <v>44496</v>
      </c>
      <c r="AZ92" s="71"/>
      <c r="BA92" s="71">
        <v>44496</v>
      </c>
      <c r="BB92" s="71"/>
      <c r="BC92" s="71"/>
      <c r="BD92" s="71"/>
      <c r="BE92" s="71"/>
      <c r="BF92" s="71"/>
      <c r="BG92" s="71"/>
      <c r="BH92" s="71">
        <v>44496</v>
      </c>
      <c r="BI92" s="71"/>
      <c r="BJ92" s="71">
        <v>44496</v>
      </c>
      <c r="BK92" s="70"/>
      <c r="BL92" s="70"/>
      <c r="BM92" s="70"/>
      <c r="BN92" s="70"/>
      <c r="BO92" s="70"/>
    </row>
    <row r="93" spans="1:67" x14ac:dyDescent="0.4">
      <c r="A93" s="86">
        <v>3860000</v>
      </c>
      <c r="B93" s="74" t="s">
        <v>87</v>
      </c>
      <c r="C93" s="71">
        <v>44413</v>
      </c>
      <c r="D93" s="71">
        <v>44425</v>
      </c>
      <c r="E93" s="71">
        <v>44403</v>
      </c>
      <c r="F93" s="71">
        <v>44498</v>
      </c>
      <c r="G93" s="71">
        <v>44501</v>
      </c>
      <c r="H93" s="71">
        <v>44413</v>
      </c>
      <c r="I93" s="71">
        <v>44406</v>
      </c>
      <c r="J93" s="71">
        <v>44501</v>
      </c>
      <c r="K93" s="71"/>
      <c r="L93" s="71"/>
      <c r="M93" s="71">
        <v>44497</v>
      </c>
      <c r="N93" s="71">
        <v>44413</v>
      </c>
      <c r="O93" s="71">
        <v>44419</v>
      </c>
      <c r="P93" s="71">
        <v>44467</v>
      </c>
      <c r="Q93" s="71">
        <v>44414</v>
      </c>
      <c r="R93" s="71"/>
      <c r="S93" s="71">
        <v>44412</v>
      </c>
      <c r="T93" s="71"/>
      <c r="U93" s="71">
        <v>44403</v>
      </c>
      <c r="V93" s="71">
        <v>44411</v>
      </c>
      <c r="W93" s="71">
        <v>44419</v>
      </c>
      <c r="X93" s="71">
        <v>44403</v>
      </c>
      <c r="Y93" s="71">
        <v>44501</v>
      </c>
      <c r="Z93" s="71"/>
      <c r="AA93" s="71">
        <v>44498</v>
      </c>
      <c r="AB93" s="71">
        <v>44407</v>
      </c>
      <c r="AC93" s="71"/>
      <c r="AD93" s="71">
        <v>44414</v>
      </c>
      <c r="AE93" s="71">
        <v>44400</v>
      </c>
      <c r="AF93" s="71"/>
      <c r="AG93" s="71">
        <v>44495</v>
      </c>
      <c r="AH93" s="71">
        <v>44412</v>
      </c>
      <c r="AI93" s="71"/>
      <c r="AJ93" s="71">
        <v>44417</v>
      </c>
      <c r="AK93" s="71"/>
      <c r="AL93" s="71"/>
      <c r="AM93" s="71">
        <v>44411</v>
      </c>
      <c r="AN93" s="71"/>
      <c r="AO93" s="71">
        <v>44412</v>
      </c>
      <c r="AP93" s="71"/>
      <c r="AQ93" s="71"/>
      <c r="AR93" s="71">
        <v>44403</v>
      </c>
      <c r="AS93" s="71"/>
      <c r="AT93" s="71"/>
      <c r="AU93" s="71">
        <v>44502</v>
      </c>
      <c r="AV93" s="71"/>
      <c r="AW93" s="71">
        <v>44501</v>
      </c>
      <c r="AX93" s="71">
        <v>44405</v>
      </c>
      <c r="AY93" s="71">
        <v>44431</v>
      </c>
      <c r="AZ93" s="71"/>
      <c r="BA93" s="71">
        <v>44413</v>
      </c>
      <c r="BB93" s="71">
        <v>44412</v>
      </c>
      <c r="BC93" s="71">
        <v>44418</v>
      </c>
      <c r="BD93" s="71"/>
      <c r="BE93" s="71">
        <v>44420</v>
      </c>
      <c r="BF93" s="71">
        <v>44419</v>
      </c>
      <c r="BG93" s="71">
        <v>44410</v>
      </c>
      <c r="BH93" s="71"/>
      <c r="BI93" s="71"/>
      <c r="BJ93" s="71"/>
      <c r="BK93" s="70"/>
      <c r="BL93" s="70"/>
      <c r="BM93" s="70"/>
      <c r="BN93" s="70"/>
      <c r="BO93" s="70"/>
    </row>
    <row r="94" spans="1:67" x14ac:dyDescent="0.4">
      <c r="A94" s="86">
        <v>3930000</v>
      </c>
      <c r="B94" s="74" t="s">
        <v>88</v>
      </c>
      <c r="C94" s="71">
        <v>44455</v>
      </c>
      <c r="D94" s="71">
        <v>44456</v>
      </c>
      <c r="E94" s="71">
        <v>44456</v>
      </c>
      <c r="F94" s="71">
        <v>44469</v>
      </c>
      <c r="G94" s="71">
        <v>44462</v>
      </c>
      <c r="H94" s="71">
        <v>44455</v>
      </c>
      <c r="I94" s="71">
        <v>44456</v>
      </c>
      <c r="J94" s="71">
        <v>44456</v>
      </c>
      <c r="K94" s="71"/>
      <c r="L94" s="71">
        <v>44462</v>
      </c>
      <c r="M94" s="71">
        <v>44456</v>
      </c>
      <c r="N94" s="71">
        <v>44462</v>
      </c>
      <c r="O94" s="71">
        <v>44455</v>
      </c>
      <c r="P94" s="71">
        <v>44462</v>
      </c>
      <c r="Q94" s="71">
        <v>44462</v>
      </c>
      <c r="R94" s="71">
        <v>44462</v>
      </c>
      <c r="S94" s="71">
        <v>44456</v>
      </c>
      <c r="T94" s="71"/>
      <c r="U94" s="71">
        <v>44456</v>
      </c>
      <c r="V94" s="71">
        <v>44455</v>
      </c>
      <c r="W94" s="71">
        <v>44455</v>
      </c>
      <c r="X94" s="71">
        <v>44455</v>
      </c>
      <c r="Y94" s="71"/>
      <c r="Z94" s="71">
        <v>44455</v>
      </c>
      <c r="AA94" s="71">
        <v>44455</v>
      </c>
      <c r="AB94" s="71">
        <v>44455</v>
      </c>
      <c r="AC94" s="71"/>
      <c r="AD94" s="71"/>
      <c r="AE94" s="71">
        <v>44468</v>
      </c>
      <c r="AF94" s="71"/>
      <c r="AG94" s="71">
        <v>44462</v>
      </c>
      <c r="AH94" s="71">
        <v>44455</v>
      </c>
      <c r="AI94" s="71">
        <v>44456</v>
      </c>
      <c r="AJ94" s="71">
        <v>44456</v>
      </c>
      <c r="AK94" s="71"/>
      <c r="AL94" s="71">
        <v>44456</v>
      </c>
      <c r="AM94" s="71">
        <v>44455</v>
      </c>
      <c r="AN94" s="71"/>
      <c r="AO94" s="71"/>
      <c r="AP94" s="71">
        <v>44456</v>
      </c>
      <c r="AQ94" s="71">
        <v>44487</v>
      </c>
      <c r="AR94" s="71">
        <v>44456</v>
      </c>
      <c r="AS94" s="71"/>
      <c r="AT94" s="71"/>
      <c r="AU94" s="71">
        <v>44462</v>
      </c>
      <c r="AV94" s="71"/>
      <c r="AW94" s="71">
        <v>44456</v>
      </c>
      <c r="AX94" s="71">
        <v>44455</v>
      </c>
      <c r="AY94" s="71">
        <v>44455</v>
      </c>
      <c r="AZ94" s="71"/>
      <c r="BA94" s="71">
        <v>44455</v>
      </c>
      <c r="BB94" s="71">
        <v>44455</v>
      </c>
      <c r="BC94" s="71">
        <v>44456</v>
      </c>
      <c r="BD94" s="71"/>
      <c r="BE94" s="71">
        <v>44455</v>
      </c>
      <c r="BF94" s="71">
        <v>44455</v>
      </c>
      <c r="BG94" s="71">
        <v>44455</v>
      </c>
      <c r="BH94" s="71"/>
      <c r="BI94" s="71"/>
      <c r="BJ94" s="71"/>
      <c r="BK94" s="70"/>
      <c r="BL94" s="70"/>
      <c r="BM94" s="70"/>
      <c r="BN94" s="70"/>
      <c r="BO94" s="70"/>
    </row>
    <row r="95" spans="1:67" x14ac:dyDescent="0.4">
      <c r="A95" s="86">
        <v>3990000</v>
      </c>
      <c r="B95" s="74" t="s">
        <v>89</v>
      </c>
      <c r="C95" s="71">
        <v>44448</v>
      </c>
      <c r="D95" s="71">
        <v>44454</v>
      </c>
      <c r="E95" s="71">
        <v>44453</v>
      </c>
      <c r="F95" s="71">
        <v>44454</v>
      </c>
      <c r="G95" s="71">
        <v>44455</v>
      </c>
      <c r="H95" s="71">
        <v>44455</v>
      </c>
      <c r="I95" s="71">
        <v>44448</v>
      </c>
      <c r="J95" s="71">
        <v>44455</v>
      </c>
      <c r="K95" s="71"/>
      <c r="L95" s="71"/>
      <c r="M95" s="71">
        <v>44454</v>
      </c>
      <c r="N95" s="71">
        <v>44481</v>
      </c>
      <c r="O95" s="71"/>
      <c r="P95" s="71">
        <v>44455</v>
      </c>
      <c r="Q95" s="71">
        <v>44454</v>
      </c>
      <c r="R95" s="71">
        <v>44488</v>
      </c>
      <c r="S95" s="71">
        <v>44481</v>
      </c>
      <c r="T95" s="71">
        <v>44453</v>
      </c>
      <c r="U95" s="71">
        <v>44455</v>
      </c>
      <c r="V95" s="71">
        <v>44482</v>
      </c>
      <c r="W95" s="71"/>
      <c r="X95" s="71">
        <v>44446</v>
      </c>
      <c r="Y95" s="71"/>
      <c r="Z95" s="71"/>
      <c r="AA95" s="71">
        <v>44454</v>
      </c>
      <c r="AB95" s="71">
        <v>44448</v>
      </c>
      <c r="AC95" s="71">
        <v>44454</v>
      </c>
      <c r="AD95" s="71">
        <v>44454</v>
      </c>
      <c r="AE95" s="71">
        <v>44482</v>
      </c>
      <c r="AF95" s="71">
        <v>44481</v>
      </c>
      <c r="AG95" s="71">
        <v>44455</v>
      </c>
      <c r="AH95" s="71">
        <v>44482</v>
      </c>
      <c r="AI95" s="71">
        <v>44453</v>
      </c>
      <c r="AJ95" s="71">
        <v>44453</v>
      </c>
      <c r="AK95" s="71"/>
      <c r="AL95" s="71"/>
      <c r="AM95" s="71">
        <v>44454</v>
      </c>
      <c r="AN95" s="71"/>
      <c r="AO95" s="71">
        <v>44453</v>
      </c>
      <c r="AP95" s="71"/>
      <c r="AQ95" s="71"/>
      <c r="AR95" s="71">
        <v>44488</v>
      </c>
      <c r="AS95" s="71"/>
      <c r="AT95" s="71"/>
      <c r="AU95" s="71">
        <v>44482</v>
      </c>
      <c r="AV95" s="71"/>
      <c r="AW95" s="71">
        <v>44453</v>
      </c>
      <c r="AX95" s="71">
        <v>44455</v>
      </c>
      <c r="AY95" s="71">
        <v>44454</v>
      </c>
      <c r="AZ95" s="71"/>
      <c r="BA95" s="71">
        <v>44453</v>
      </c>
      <c r="BB95" s="71">
        <v>44448</v>
      </c>
      <c r="BC95" s="71"/>
      <c r="BD95" s="71"/>
      <c r="BE95" s="71">
        <v>44489</v>
      </c>
      <c r="BF95" s="71"/>
      <c r="BG95" s="71">
        <v>44481</v>
      </c>
      <c r="BH95" s="71"/>
      <c r="BI95" s="71"/>
      <c r="BJ95" s="71"/>
      <c r="BK95" s="70"/>
      <c r="BL95" s="70"/>
      <c r="BM95" s="70"/>
      <c r="BN95" s="70"/>
      <c r="BO95" s="70"/>
    </row>
    <row r="96" spans="1:67" x14ac:dyDescent="0.4">
      <c r="A96" s="86">
        <v>3830000</v>
      </c>
      <c r="B96" s="74" t="s">
        <v>112</v>
      </c>
      <c r="C96" s="71">
        <v>44421</v>
      </c>
      <c r="D96" s="71">
        <v>44432</v>
      </c>
      <c r="E96" s="71">
        <v>44427</v>
      </c>
      <c r="F96" s="71">
        <v>44414</v>
      </c>
      <c r="G96" s="71">
        <v>44418</v>
      </c>
      <c r="H96" s="71">
        <v>44410</v>
      </c>
      <c r="I96" s="71">
        <v>44418</v>
      </c>
      <c r="J96" s="71">
        <v>44434</v>
      </c>
      <c r="K96" s="71"/>
      <c r="L96" s="71"/>
      <c r="M96" s="71">
        <v>44418</v>
      </c>
      <c r="N96" s="71">
        <v>44412</v>
      </c>
      <c r="O96" s="71"/>
      <c r="P96" s="71"/>
      <c r="Q96" s="71">
        <v>44414</v>
      </c>
      <c r="R96" s="71">
        <v>44414</v>
      </c>
      <c r="S96" s="71">
        <v>44426</v>
      </c>
      <c r="T96" s="71"/>
      <c r="U96" s="71">
        <v>44410</v>
      </c>
      <c r="V96" s="71">
        <v>44434</v>
      </c>
      <c r="W96" s="71"/>
      <c r="X96" s="71">
        <v>44411</v>
      </c>
      <c r="Y96" s="71"/>
      <c r="Z96" s="71"/>
      <c r="AA96" s="71"/>
      <c r="AB96" s="71">
        <v>44427</v>
      </c>
      <c r="AC96" s="71"/>
      <c r="AD96" s="71"/>
      <c r="AE96" s="71">
        <v>44414</v>
      </c>
      <c r="AF96" s="71"/>
      <c r="AG96" s="71">
        <v>44410</v>
      </c>
      <c r="AH96" s="71">
        <v>44411</v>
      </c>
      <c r="AI96" s="71"/>
      <c r="AJ96" s="71">
        <v>44427</v>
      </c>
      <c r="AK96" s="71"/>
      <c r="AL96" s="71"/>
      <c r="AM96" s="71"/>
      <c r="AN96" s="71"/>
      <c r="AO96" s="71"/>
      <c r="AP96" s="71"/>
      <c r="AQ96" s="71"/>
      <c r="AR96" s="71"/>
      <c r="AS96" s="71"/>
      <c r="AT96" s="71"/>
      <c r="AU96" s="71">
        <v>44411</v>
      </c>
      <c r="AV96" s="71"/>
      <c r="AW96" s="71">
        <v>44489</v>
      </c>
      <c r="AX96" s="71">
        <v>44413</v>
      </c>
      <c r="AY96" s="71"/>
      <c r="AZ96" s="71"/>
      <c r="BA96" s="71"/>
      <c r="BB96" s="71"/>
      <c r="BC96" s="71"/>
      <c r="BD96" s="71"/>
      <c r="BE96" s="71"/>
      <c r="BF96" s="71"/>
      <c r="BG96" s="71"/>
      <c r="BH96" s="71"/>
      <c r="BI96" s="71"/>
      <c r="BJ96" s="71"/>
      <c r="BK96" s="70"/>
      <c r="BL96" s="70"/>
      <c r="BM96" s="70"/>
      <c r="BN96" s="70"/>
      <c r="BO96" s="70"/>
    </row>
    <row r="97" spans="1:67" x14ac:dyDescent="0.4">
      <c r="A97" s="86">
        <v>5530000</v>
      </c>
      <c r="B97" s="74" t="s">
        <v>90</v>
      </c>
      <c r="C97" s="71">
        <v>44490</v>
      </c>
      <c r="D97" s="72">
        <v>44021</v>
      </c>
      <c r="E97" s="72">
        <v>44134</v>
      </c>
      <c r="F97" s="71">
        <v>44490</v>
      </c>
      <c r="G97" s="71">
        <v>44495</v>
      </c>
      <c r="H97" s="71">
        <v>44489</v>
      </c>
      <c r="I97" s="71">
        <v>44495</v>
      </c>
      <c r="J97" s="71">
        <v>44494</v>
      </c>
      <c r="K97" s="71">
        <v>44489</v>
      </c>
      <c r="L97" s="72">
        <v>44134</v>
      </c>
      <c r="M97" s="72">
        <v>44021</v>
      </c>
      <c r="N97" s="71">
        <v>44496</v>
      </c>
      <c r="O97" s="71"/>
      <c r="P97" s="72">
        <v>43593</v>
      </c>
      <c r="Q97" s="72">
        <v>44134</v>
      </c>
      <c r="R97" s="71"/>
      <c r="S97" s="71">
        <v>44495</v>
      </c>
      <c r="T97" s="71">
        <v>44490</v>
      </c>
      <c r="U97" s="71">
        <v>44489</v>
      </c>
      <c r="V97" s="71">
        <v>44495</v>
      </c>
      <c r="W97" s="71"/>
      <c r="X97" s="72">
        <v>44134</v>
      </c>
      <c r="Y97" s="71"/>
      <c r="Z97" s="71">
        <v>44489</v>
      </c>
      <c r="AA97" s="72">
        <v>44134</v>
      </c>
      <c r="AB97" s="72">
        <v>44134</v>
      </c>
      <c r="AC97" s="71"/>
      <c r="AD97" s="72">
        <v>43593</v>
      </c>
      <c r="AE97" s="71">
        <v>44494</v>
      </c>
      <c r="AF97" s="71"/>
      <c r="AG97" s="71">
        <v>44495</v>
      </c>
      <c r="AH97" s="72">
        <v>44021</v>
      </c>
      <c r="AI97" s="72">
        <v>43593</v>
      </c>
      <c r="AJ97" s="71">
        <v>44494</v>
      </c>
      <c r="AK97" s="71"/>
      <c r="AL97" s="71"/>
      <c r="AM97" s="71">
        <v>44489</v>
      </c>
      <c r="AN97" s="71"/>
      <c r="AO97" s="71"/>
      <c r="AP97" s="71"/>
      <c r="AQ97" s="71"/>
      <c r="AR97" s="71"/>
      <c r="AS97" s="71"/>
      <c r="AT97" s="71"/>
      <c r="AU97" s="71"/>
      <c r="AV97" s="71"/>
      <c r="AW97" s="71">
        <v>44490</v>
      </c>
      <c r="AX97" s="72">
        <v>44111</v>
      </c>
      <c r="AY97" s="71"/>
      <c r="AZ97" s="71"/>
      <c r="BA97" s="71">
        <v>44489</v>
      </c>
      <c r="BB97" s="72">
        <v>44110</v>
      </c>
      <c r="BC97" s="71">
        <v>44489</v>
      </c>
      <c r="BD97" s="71"/>
      <c r="BE97" s="72">
        <v>44134</v>
      </c>
      <c r="BF97" s="71"/>
      <c r="BG97" s="71">
        <v>44494</v>
      </c>
      <c r="BH97" s="71"/>
      <c r="BI97" s="71"/>
      <c r="BJ97" s="71"/>
      <c r="BK97" s="70"/>
      <c r="BL97" s="70"/>
      <c r="BM97" s="70"/>
      <c r="BN97" s="70"/>
      <c r="BO97" s="70"/>
    </row>
    <row r="98" spans="1:67" x14ac:dyDescent="0.4">
      <c r="A98" s="86">
        <v>3910000</v>
      </c>
      <c r="B98" s="74" t="s">
        <v>91</v>
      </c>
      <c r="C98" s="71">
        <v>44447</v>
      </c>
      <c r="D98" s="71">
        <v>44421</v>
      </c>
      <c r="E98" s="71">
        <v>44447</v>
      </c>
      <c r="F98" s="71">
        <v>44447</v>
      </c>
      <c r="G98" s="71">
        <v>44452</v>
      </c>
      <c r="H98" s="71">
        <v>44449</v>
      </c>
      <c r="I98" s="71">
        <v>44404</v>
      </c>
      <c r="J98" s="71">
        <v>44421</v>
      </c>
      <c r="K98" s="71"/>
      <c r="L98" s="71">
        <v>44447</v>
      </c>
      <c r="M98" s="71">
        <v>44462</v>
      </c>
      <c r="N98" s="71">
        <v>44428</v>
      </c>
      <c r="O98" s="71">
        <v>44389</v>
      </c>
      <c r="P98" s="71">
        <v>44455</v>
      </c>
      <c r="Q98" s="71">
        <v>44452</v>
      </c>
      <c r="R98" s="71">
        <v>44452</v>
      </c>
      <c r="S98" s="71"/>
      <c r="T98" s="71">
        <v>44418</v>
      </c>
      <c r="U98" s="71">
        <v>44389</v>
      </c>
      <c r="V98" s="71">
        <v>44425</v>
      </c>
      <c r="W98" s="71"/>
      <c r="X98" s="71">
        <v>44452</v>
      </c>
      <c r="Y98" s="71"/>
      <c r="Z98" s="71">
        <v>44447</v>
      </c>
      <c r="AA98" s="71">
        <v>44418</v>
      </c>
      <c r="AB98" s="71">
        <v>44418</v>
      </c>
      <c r="AC98" s="71">
        <v>44466</v>
      </c>
      <c r="AD98" s="71">
        <v>44447</v>
      </c>
      <c r="AE98" s="71">
        <v>44447</v>
      </c>
      <c r="AF98" s="71">
        <v>44455</v>
      </c>
      <c r="AG98" s="71">
        <v>44453</v>
      </c>
      <c r="AH98" s="71">
        <v>44375</v>
      </c>
      <c r="AI98" s="71"/>
      <c r="AJ98" s="71">
        <v>44447</v>
      </c>
      <c r="AK98" s="71"/>
      <c r="AL98" s="71"/>
      <c r="AM98" s="71">
        <v>44462</v>
      </c>
      <c r="AN98" s="71"/>
      <c r="AO98" s="71"/>
      <c r="AP98" s="71"/>
      <c r="AQ98" s="71"/>
      <c r="AR98" s="71">
        <v>44447</v>
      </c>
      <c r="AS98" s="71"/>
      <c r="AT98" s="71"/>
      <c r="AU98" s="71">
        <v>44448</v>
      </c>
      <c r="AV98" s="71"/>
      <c r="AW98" s="71">
        <v>44389</v>
      </c>
      <c r="AX98" s="71">
        <v>44475</v>
      </c>
      <c r="AY98" s="71">
        <v>44426</v>
      </c>
      <c r="AZ98" s="71"/>
      <c r="BA98" s="71">
        <v>44447</v>
      </c>
      <c r="BB98" s="71">
        <v>44446</v>
      </c>
      <c r="BC98" s="71">
        <v>44404</v>
      </c>
      <c r="BD98" s="71"/>
      <c r="BE98" s="71">
        <v>44425</v>
      </c>
      <c r="BF98" s="71"/>
      <c r="BG98" s="71">
        <v>44466</v>
      </c>
      <c r="BH98" s="71"/>
      <c r="BI98" s="71"/>
      <c r="BJ98" s="71"/>
      <c r="BK98" s="70"/>
      <c r="BL98" s="70"/>
      <c r="BM98" s="70"/>
      <c r="BN98" s="70"/>
      <c r="BO98" s="70"/>
    </row>
    <row r="99" spans="1:67" x14ac:dyDescent="0.4">
      <c r="A99" s="86">
        <v>3820000</v>
      </c>
      <c r="B99" s="74" t="s">
        <v>92</v>
      </c>
      <c r="C99" s="71">
        <v>44372</v>
      </c>
      <c r="D99" s="71">
        <v>44453</v>
      </c>
      <c r="E99" s="71">
        <v>44371</v>
      </c>
      <c r="F99" s="71">
        <v>44425</v>
      </c>
      <c r="G99" s="71">
        <v>44481</v>
      </c>
      <c r="H99" s="71">
        <v>44390</v>
      </c>
      <c r="I99" s="71">
        <v>44370</v>
      </c>
      <c r="J99" s="71">
        <v>44434</v>
      </c>
      <c r="K99" s="71"/>
      <c r="L99" s="71">
        <v>44351</v>
      </c>
      <c r="M99" s="71">
        <v>44417</v>
      </c>
      <c r="N99" s="71">
        <v>44350</v>
      </c>
      <c r="O99" s="71"/>
      <c r="P99" s="71">
        <v>44474</v>
      </c>
      <c r="Q99" s="71">
        <v>44354</v>
      </c>
      <c r="R99" s="71">
        <v>44390</v>
      </c>
      <c r="S99" s="71">
        <v>44453</v>
      </c>
      <c r="T99" s="71"/>
      <c r="U99" s="71">
        <v>44351</v>
      </c>
      <c r="V99" s="71">
        <v>44453</v>
      </c>
      <c r="W99" s="71">
        <v>44337</v>
      </c>
      <c r="X99" s="71">
        <v>44453</v>
      </c>
      <c r="Y99" s="71">
        <v>44484</v>
      </c>
      <c r="Z99" s="71">
        <v>44453</v>
      </c>
      <c r="AA99" s="71">
        <v>44349</v>
      </c>
      <c r="AB99" s="71">
        <v>44453</v>
      </c>
      <c r="AC99" s="71"/>
      <c r="AD99" s="71">
        <v>44354</v>
      </c>
      <c r="AE99" s="71">
        <v>44397</v>
      </c>
      <c r="AF99" s="71"/>
      <c r="AG99" s="71">
        <v>44367</v>
      </c>
      <c r="AH99" s="71">
        <v>44351</v>
      </c>
      <c r="AI99" s="71">
        <v>44351</v>
      </c>
      <c r="AJ99" s="71">
        <v>44351</v>
      </c>
      <c r="AK99" s="71">
        <v>44391</v>
      </c>
      <c r="AL99" s="71"/>
      <c r="AM99" s="71"/>
      <c r="AN99" s="71"/>
      <c r="AO99" s="71">
        <v>44349</v>
      </c>
      <c r="AP99" s="71"/>
      <c r="AQ99" s="71">
        <v>44453</v>
      </c>
      <c r="AR99" s="71">
        <v>44329</v>
      </c>
      <c r="AS99" s="71"/>
      <c r="AT99" s="71"/>
      <c r="AU99" s="71">
        <v>44328</v>
      </c>
      <c r="AV99" s="71"/>
      <c r="AW99" s="71">
        <v>44349</v>
      </c>
      <c r="AX99" s="71">
        <v>44391</v>
      </c>
      <c r="AY99" s="71">
        <v>44328</v>
      </c>
      <c r="AZ99" s="71"/>
      <c r="BA99" s="71">
        <v>44349</v>
      </c>
      <c r="BB99" s="71">
        <v>44454</v>
      </c>
      <c r="BC99" s="71">
        <v>44369</v>
      </c>
      <c r="BD99" s="71"/>
      <c r="BE99" s="71">
        <v>44369</v>
      </c>
      <c r="BF99" s="71"/>
      <c r="BG99" s="71">
        <v>44351</v>
      </c>
      <c r="BH99" s="71"/>
      <c r="BI99" s="71"/>
      <c r="BJ99" s="71"/>
      <c r="BK99" s="70"/>
      <c r="BL99" s="70"/>
      <c r="BM99" s="70"/>
      <c r="BN99" s="70"/>
      <c r="BO99" s="70"/>
    </row>
    <row r="100" spans="1:67" x14ac:dyDescent="0.4">
      <c r="A100" s="86">
        <v>4010000</v>
      </c>
      <c r="B100" s="74" t="s">
        <v>93</v>
      </c>
      <c r="C100" s="71">
        <v>44368</v>
      </c>
      <c r="D100" s="71">
        <v>44456</v>
      </c>
      <c r="E100" s="71">
        <v>44356</v>
      </c>
      <c r="F100" s="71">
        <v>44453</v>
      </c>
      <c r="G100" s="71">
        <v>44482</v>
      </c>
      <c r="H100" s="71">
        <v>44353</v>
      </c>
      <c r="I100" s="71">
        <v>44354</v>
      </c>
      <c r="J100" s="71">
        <v>44453</v>
      </c>
      <c r="K100" s="71"/>
      <c r="L100" s="71"/>
      <c r="M100" s="71">
        <v>44456</v>
      </c>
      <c r="N100" s="71">
        <v>44453</v>
      </c>
      <c r="O100" s="71">
        <v>44353</v>
      </c>
      <c r="P100" s="71">
        <v>44355</v>
      </c>
      <c r="Q100" s="71">
        <v>44391</v>
      </c>
      <c r="R100" s="71">
        <v>44354</v>
      </c>
      <c r="S100" s="71">
        <v>44354</v>
      </c>
      <c r="T100" s="71"/>
      <c r="U100" s="71">
        <v>44186</v>
      </c>
      <c r="V100" s="71">
        <v>44186</v>
      </c>
      <c r="W100" s="71"/>
      <c r="X100" s="71">
        <v>44186</v>
      </c>
      <c r="Y100" s="71"/>
      <c r="Z100" s="71"/>
      <c r="AA100" s="71">
        <v>44186</v>
      </c>
      <c r="AB100" s="71">
        <v>44354</v>
      </c>
      <c r="AC100" s="71"/>
      <c r="AD100" s="71"/>
      <c r="AE100" s="71">
        <v>44353</v>
      </c>
      <c r="AF100" s="71"/>
      <c r="AG100" s="71">
        <v>44349</v>
      </c>
      <c r="AH100" s="71">
        <v>44453</v>
      </c>
      <c r="AI100" s="71">
        <v>44353</v>
      </c>
      <c r="AJ100" s="71">
        <v>44353</v>
      </c>
      <c r="AK100" s="71"/>
      <c r="AL100" s="71"/>
      <c r="AM100" s="71">
        <v>44357</v>
      </c>
      <c r="AN100" s="71"/>
      <c r="AO100" s="71"/>
      <c r="AP100" s="71"/>
      <c r="AQ100" s="71"/>
      <c r="AR100" s="71"/>
      <c r="AS100" s="71"/>
      <c r="AT100" s="71"/>
      <c r="AU100" s="71">
        <v>44349</v>
      </c>
      <c r="AV100" s="71"/>
      <c r="AW100" s="71">
        <v>44349</v>
      </c>
      <c r="AX100" s="71"/>
      <c r="AY100" s="71"/>
      <c r="AZ100" s="71"/>
      <c r="BA100" s="71">
        <v>44455</v>
      </c>
      <c r="BB100" s="71">
        <v>44353</v>
      </c>
      <c r="BC100" s="71"/>
      <c r="BD100" s="71"/>
      <c r="BE100" s="71">
        <v>44453</v>
      </c>
      <c r="BF100" s="71"/>
      <c r="BG100" s="71"/>
      <c r="BH100" s="71"/>
      <c r="BI100" s="71"/>
      <c r="BJ100" s="71"/>
      <c r="BK100" s="70"/>
      <c r="BL100" s="70"/>
      <c r="BM100" s="70"/>
      <c r="BN100" s="70"/>
      <c r="BO100" s="70"/>
    </row>
    <row r="101" spans="1:67" x14ac:dyDescent="0.4">
      <c r="A101" s="86">
        <v>4060000</v>
      </c>
      <c r="B101" s="74" t="s">
        <v>94</v>
      </c>
      <c r="C101" s="71">
        <v>44463</v>
      </c>
      <c r="D101" s="71">
        <v>44308</v>
      </c>
      <c r="E101" s="71">
        <v>44370</v>
      </c>
      <c r="F101" s="71">
        <v>44467</v>
      </c>
      <c r="G101" s="71">
        <v>44467</v>
      </c>
      <c r="H101" s="71">
        <v>44308</v>
      </c>
      <c r="I101" s="71">
        <v>44456</v>
      </c>
      <c r="J101" s="71">
        <v>44450</v>
      </c>
      <c r="K101" s="71"/>
      <c r="L101" s="71">
        <v>44308</v>
      </c>
      <c r="M101" s="71">
        <v>44456</v>
      </c>
      <c r="N101" s="71">
        <v>44467</v>
      </c>
      <c r="O101" s="71"/>
      <c r="P101" s="71">
        <v>44300</v>
      </c>
      <c r="Q101" s="71">
        <v>44308</v>
      </c>
      <c r="R101" s="71">
        <v>44301</v>
      </c>
      <c r="S101" s="71">
        <v>44308</v>
      </c>
      <c r="T101" s="71">
        <v>44308</v>
      </c>
      <c r="U101" s="71">
        <v>44300</v>
      </c>
      <c r="V101" s="71">
        <v>44487</v>
      </c>
      <c r="W101" s="71"/>
      <c r="X101" s="71">
        <v>44308</v>
      </c>
      <c r="Y101" s="71">
        <v>44487</v>
      </c>
      <c r="Z101" s="71"/>
      <c r="AA101" s="71">
        <v>44308</v>
      </c>
      <c r="AB101" s="71">
        <v>44308</v>
      </c>
      <c r="AC101" s="71">
        <v>44300</v>
      </c>
      <c r="AD101" s="71">
        <v>44300</v>
      </c>
      <c r="AE101" s="71">
        <v>44308</v>
      </c>
      <c r="AF101" s="71">
        <v>44487</v>
      </c>
      <c r="AG101" s="71">
        <v>44467</v>
      </c>
      <c r="AH101" s="71">
        <v>44370</v>
      </c>
      <c r="AI101" s="71">
        <v>44481</v>
      </c>
      <c r="AJ101" s="71">
        <v>44300</v>
      </c>
      <c r="AK101" s="71"/>
      <c r="AL101" s="71"/>
      <c r="AM101" s="71">
        <v>44483</v>
      </c>
      <c r="AN101" s="71">
        <v>44483</v>
      </c>
      <c r="AO101" s="71"/>
      <c r="AP101" s="71">
        <v>44488</v>
      </c>
      <c r="AQ101" s="71">
        <v>44448</v>
      </c>
      <c r="AR101" s="71">
        <v>44456</v>
      </c>
      <c r="AS101" s="71">
        <v>44483</v>
      </c>
      <c r="AT101" s="71"/>
      <c r="AU101" s="71">
        <v>44467</v>
      </c>
      <c r="AV101" s="71"/>
      <c r="AW101" s="71">
        <v>44308</v>
      </c>
      <c r="AX101" s="71"/>
      <c r="AY101" s="71">
        <v>44456</v>
      </c>
      <c r="AZ101" s="71"/>
      <c r="BA101" s="71">
        <v>44456</v>
      </c>
      <c r="BB101" s="71">
        <v>44456</v>
      </c>
      <c r="BC101" s="71">
        <v>44456</v>
      </c>
      <c r="BD101" s="71"/>
      <c r="BE101" s="71">
        <v>44483</v>
      </c>
      <c r="BF101" s="71"/>
      <c r="BG101" s="71"/>
      <c r="BH101" s="71"/>
      <c r="BI101" s="71"/>
      <c r="BJ101" s="71"/>
      <c r="BK101" s="70"/>
      <c r="BL101" s="70"/>
      <c r="BM101" s="70"/>
      <c r="BN101" s="70"/>
      <c r="BO101" s="70"/>
    </row>
    <row r="102" spans="1:67" x14ac:dyDescent="0.4">
      <c r="A102" s="86">
        <v>4090000</v>
      </c>
      <c r="B102" s="74" t="s">
        <v>95</v>
      </c>
      <c r="C102" s="71">
        <v>44434</v>
      </c>
      <c r="D102" s="71">
        <v>44469</v>
      </c>
      <c r="E102" s="71">
        <v>44337</v>
      </c>
      <c r="F102" s="71">
        <v>44434</v>
      </c>
      <c r="G102" s="71">
        <v>44481</v>
      </c>
      <c r="H102" s="71">
        <v>44337</v>
      </c>
      <c r="I102" s="71">
        <v>44292</v>
      </c>
      <c r="J102" s="71">
        <v>44468</v>
      </c>
      <c r="K102" s="71">
        <v>44376</v>
      </c>
      <c r="L102" s="71">
        <v>44158</v>
      </c>
      <c r="M102" s="71">
        <v>44440</v>
      </c>
      <c r="N102" s="71">
        <v>44475</v>
      </c>
      <c r="O102" s="71">
        <v>44468</v>
      </c>
      <c r="P102" s="71">
        <v>44469</v>
      </c>
      <c r="Q102" s="71">
        <v>44337</v>
      </c>
      <c r="R102" s="71"/>
      <c r="S102" s="71">
        <v>44469</v>
      </c>
      <c r="T102" s="71">
        <v>44337</v>
      </c>
      <c r="U102" s="71">
        <v>44468</v>
      </c>
      <c r="V102" s="71">
        <v>44469</v>
      </c>
      <c r="W102" s="71"/>
      <c r="X102" s="71"/>
      <c r="Y102" s="71"/>
      <c r="Z102" s="71">
        <v>44469</v>
      </c>
      <c r="AA102" s="71">
        <v>44470</v>
      </c>
      <c r="AB102" s="71">
        <v>44468</v>
      </c>
      <c r="AC102" s="71">
        <v>44468</v>
      </c>
      <c r="AD102" s="71"/>
      <c r="AE102" s="71">
        <v>44343</v>
      </c>
      <c r="AF102" s="71"/>
      <c r="AG102" s="71">
        <v>44433</v>
      </c>
      <c r="AH102" s="71">
        <v>44337</v>
      </c>
      <c r="AI102" s="71">
        <v>44222</v>
      </c>
      <c r="AJ102" s="71">
        <v>44222</v>
      </c>
      <c r="AK102" s="71"/>
      <c r="AL102" s="71"/>
      <c r="AM102" s="71"/>
      <c r="AN102" s="71"/>
      <c r="AO102" s="71">
        <v>44337</v>
      </c>
      <c r="AP102" s="71"/>
      <c r="AQ102" s="71"/>
      <c r="AR102" s="71"/>
      <c r="AS102" s="71"/>
      <c r="AT102" s="71"/>
      <c r="AU102" s="71">
        <v>44434</v>
      </c>
      <c r="AV102" s="71"/>
      <c r="AW102" s="71">
        <v>44470</v>
      </c>
      <c r="AX102" s="71">
        <v>44337</v>
      </c>
      <c r="AY102" s="71">
        <v>44487</v>
      </c>
      <c r="AZ102" s="71"/>
      <c r="BA102" s="71">
        <v>44337</v>
      </c>
      <c r="BB102" s="71">
        <v>44495</v>
      </c>
      <c r="BC102" s="71"/>
      <c r="BD102" s="71">
        <v>44467</v>
      </c>
      <c r="BE102" s="71">
        <v>44494</v>
      </c>
      <c r="BF102" s="71"/>
      <c r="BG102" s="71">
        <v>44343</v>
      </c>
      <c r="BH102" s="71"/>
      <c r="BI102" s="71"/>
      <c r="BJ102" s="71"/>
      <c r="BK102" s="70"/>
      <c r="BL102" s="70"/>
      <c r="BM102" s="70"/>
      <c r="BN102" s="70"/>
      <c r="BO102" s="70"/>
    </row>
    <row r="103" spans="1:67" x14ac:dyDescent="0.4">
      <c r="A103" s="86">
        <v>3900000</v>
      </c>
      <c r="B103" s="74" t="s">
        <v>96</v>
      </c>
      <c r="C103" s="71">
        <v>44466</v>
      </c>
      <c r="D103" s="71">
        <v>44186</v>
      </c>
      <c r="E103" s="71">
        <v>44466</v>
      </c>
      <c r="F103" s="71">
        <v>44466</v>
      </c>
      <c r="G103" s="71">
        <v>44466</v>
      </c>
      <c r="H103" s="71">
        <v>44186</v>
      </c>
      <c r="I103" s="71">
        <v>44466</v>
      </c>
      <c r="J103" s="71">
        <v>44466</v>
      </c>
      <c r="K103" s="71">
        <v>44466</v>
      </c>
      <c r="L103" s="71">
        <v>44186</v>
      </c>
      <c r="M103" s="71">
        <v>44466</v>
      </c>
      <c r="N103" s="71">
        <v>44181</v>
      </c>
      <c r="O103" s="71">
        <v>44174</v>
      </c>
      <c r="P103" s="71">
        <v>44181</v>
      </c>
      <c r="Q103" s="71">
        <v>44466</v>
      </c>
      <c r="R103" s="71">
        <v>44174</v>
      </c>
      <c r="S103" s="71">
        <v>44174</v>
      </c>
      <c r="T103" s="71"/>
      <c r="U103" s="71">
        <v>44181</v>
      </c>
      <c r="V103" s="71"/>
      <c r="W103" s="71"/>
      <c r="X103" s="71">
        <v>44174</v>
      </c>
      <c r="Y103" s="71"/>
      <c r="Z103" s="71">
        <v>44174</v>
      </c>
      <c r="AA103" s="71">
        <v>44174</v>
      </c>
      <c r="AB103" s="71">
        <v>44174</v>
      </c>
      <c r="AC103" s="71">
        <v>44186</v>
      </c>
      <c r="AD103" s="71">
        <v>44466</v>
      </c>
      <c r="AE103" s="71">
        <v>44174</v>
      </c>
      <c r="AF103" s="71"/>
      <c r="AG103" s="71">
        <v>44466</v>
      </c>
      <c r="AH103" s="72">
        <v>44174</v>
      </c>
      <c r="AI103" s="71"/>
      <c r="AJ103" s="71">
        <v>44466</v>
      </c>
      <c r="AK103" s="71"/>
      <c r="AL103" s="71"/>
      <c r="AM103" s="71"/>
      <c r="AN103" s="72">
        <v>44174</v>
      </c>
      <c r="AO103" s="72">
        <v>44127</v>
      </c>
      <c r="AP103" s="71">
        <v>44466</v>
      </c>
      <c r="AQ103" s="72">
        <v>44127</v>
      </c>
      <c r="AR103" s="71">
        <v>44466</v>
      </c>
      <c r="AS103" s="71">
        <v>44466</v>
      </c>
      <c r="AT103" s="71"/>
      <c r="AU103" s="71">
        <v>44466</v>
      </c>
      <c r="AV103" s="71"/>
      <c r="AW103" s="71">
        <v>44174</v>
      </c>
      <c r="AX103" s="71">
        <v>44174</v>
      </c>
      <c r="AY103" s="71">
        <v>44466</v>
      </c>
      <c r="AZ103" s="71">
        <v>44466</v>
      </c>
      <c r="BA103" s="71">
        <v>44466</v>
      </c>
      <c r="BB103" s="71">
        <v>44466</v>
      </c>
      <c r="BC103" s="71">
        <v>44466</v>
      </c>
      <c r="BD103" s="71"/>
      <c r="BE103" s="71">
        <v>44466</v>
      </c>
      <c r="BF103" s="71"/>
      <c r="BG103" s="71">
        <v>44466</v>
      </c>
      <c r="BH103" s="71"/>
      <c r="BI103" s="71"/>
      <c r="BJ103" s="71"/>
      <c r="BK103" s="70"/>
      <c r="BL103" s="70"/>
      <c r="BM103" s="70"/>
      <c r="BN103" s="70"/>
      <c r="BO103" s="70"/>
    </row>
    <row r="104" spans="1:67" x14ac:dyDescent="0.4">
      <c r="A104" s="86">
        <v>5540000</v>
      </c>
      <c r="B104" s="74" t="s">
        <v>97</v>
      </c>
      <c r="C104" s="71">
        <v>44477</v>
      </c>
      <c r="D104" s="71">
        <v>44477</v>
      </c>
      <c r="E104" s="71">
        <v>44451</v>
      </c>
      <c r="F104" s="71">
        <v>44484</v>
      </c>
      <c r="G104" s="71">
        <v>44482</v>
      </c>
      <c r="H104" s="71">
        <v>44477</v>
      </c>
      <c r="I104" s="71">
        <v>44477</v>
      </c>
      <c r="J104" s="71">
        <v>44477</v>
      </c>
      <c r="K104" s="71"/>
      <c r="L104" s="71">
        <v>44482</v>
      </c>
      <c r="M104" s="71">
        <v>44477</v>
      </c>
      <c r="N104" s="71">
        <v>44482</v>
      </c>
      <c r="O104" s="71"/>
      <c r="P104" s="71">
        <v>44456</v>
      </c>
      <c r="Q104" s="71">
        <v>44477</v>
      </c>
      <c r="R104" s="71">
        <v>44477</v>
      </c>
      <c r="S104" s="71">
        <v>44477</v>
      </c>
      <c r="T104" s="71">
        <v>44477</v>
      </c>
      <c r="U104" s="71">
        <v>44477</v>
      </c>
      <c r="V104" s="71">
        <v>44477</v>
      </c>
      <c r="W104" s="71">
        <v>44477</v>
      </c>
      <c r="X104" s="71">
        <v>44453</v>
      </c>
      <c r="Y104" s="71"/>
      <c r="Z104" s="71"/>
      <c r="AA104" s="71">
        <v>44477</v>
      </c>
      <c r="AB104" s="71">
        <v>44477</v>
      </c>
      <c r="AC104" s="71">
        <v>44477</v>
      </c>
      <c r="AD104" s="71">
        <v>44477</v>
      </c>
      <c r="AE104" s="71">
        <v>44477</v>
      </c>
      <c r="AF104" s="71"/>
      <c r="AG104" s="71">
        <v>44453</v>
      </c>
      <c r="AH104" s="71">
        <v>44477</v>
      </c>
      <c r="AI104" s="71">
        <v>44477</v>
      </c>
      <c r="AJ104" s="71">
        <v>44477</v>
      </c>
      <c r="AK104" s="71">
        <v>44477</v>
      </c>
      <c r="AL104" s="71"/>
      <c r="AM104" s="71">
        <v>44452</v>
      </c>
      <c r="AN104" s="71"/>
      <c r="AO104" s="71"/>
      <c r="AP104" s="71"/>
      <c r="AQ104" s="71"/>
      <c r="AR104" s="71">
        <v>44457</v>
      </c>
      <c r="AS104" s="71"/>
      <c r="AT104" s="71"/>
      <c r="AU104" s="71">
        <v>44482</v>
      </c>
      <c r="AV104" s="71"/>
      <c r="AW104" s="71">
        <v>44477</v>
      </c>
      <c r="AX104" s="71">
        <v>44454</v>
      </c>
      <c r="AY104" s="71"/>
      <c r="AZ104" s="71"/>
      <c r="BA104" s="71">
        <v>44451</v>
      </c>
      <c r="BB104" s="71">
        <v>44477</v>
      </c>
      <c r="BC104" s="71"/>
      <c r="BD104" s="71"/>
      <c r="BE104" s="71">
        <v>44477</v>
      </c>
      <c r="BF104" s="71"/>
      <c r="BG104" s="71">
        <v>44477</v>
      </c>
      <c r="BH104" s="71">
        <v>44457</v>
      </c>
      <c r="BI104" s="71"/>
      <c r="BJ104" s="71"/>
      <c r="BK104" s="70"/>
      <c r="BL104" s="70"/>
      <c r="BM104" s="70"/>
      <c r="BN104" s="70"/>
      <c r="BO104" s="70"/>
    </row>
    <row r="105" spans="1:67" x14ac:dyDescent="0.4">
      <c r="A105" s="86">
        <v>4020000</v>
      </c>
      <c r="B105" s="74" t="s">
        <v>98</v>
      </c>
      <c r="C105" s="71">
        <v>44502</v>
      </c>
      <c r="D105" s="71">
        <v>44307</v>
      </c>
      <c r="E105" s="71">
        <v>44494</v>
      </c>
      <c r="F105" s="71">
        <v>44456</v>
      </c>
      <c r="G105" s="71">
        <v>44456</v>
      </c>
      <c r="H105" s="71">
        <v>44491</v>
      </c>
      <c r="I105" s="71">
        <v>44308</v>
      </c>
      <c r="J105" s="71">
        <v>44462</v>
      </c>
      <c r="K105" s="71"/>
      <c r="L105" s="71">
        <v>44328</v>
      </c>
      <c r="M105" s="71">
        <v>44447</v>
      </c>
      <c r="N105" s="71">
        <v>44484</v>
      </c>
      <c r="O105" s="71">
        <v>44299</v>
      </c>
      <c r="P105" s="71">
        <v>44341</v>
      </c>
      <c r="Q105" s="71">
        <v>44333</v>
      </c>
      <c r="R105" s="71"/>
      <c r="S105" s="71"/>
      <c r="T105" s="71"/>
      <c r="U105" s="71">
        <v>44307</v>
      </c>
      <c r="V105" s="71">
        <v>44475</v>
      </c>
      <c r="W105" s="71"/>
      <c r="X105" s="71">
        <v>44314</v>
      </c>
      <c r="Y105" s="71">
        <v>44502</v>
      </c>
      <c r="Z105" s="71">
        <v>44488</v>
      </c>
      <c r="AA105" s="71">
        <v>44488</v>
      </c>
      <c r="AB105" s="71">
        <v>44488</v>
      </c>
      <c r="AC105" s="71">
        <v>44328</v>
      </c>
      <c r="AD105" s="71"/>
      <c r="AE105" s="71">
        <v>44327</v>
      </c>
      <c r="AF105" s="71"/>
      <c r="AG105" s="72">
        <v>44315</v>
      </c>
      <c r="AH105" s="71">
        <v>44494</v>
      </c>
      <c r="AI105" s="71">
        <v>44487</v>
      </c>
      <c r="AJ105" s="71">
        <v>44329</v>
      </c>
      <c r="AK105" s="71"/>
      <c r="AL105" s="71"/>
      <c r="AM105" s="71">
        <v>44337</v>
      </c>
      <c r="AN105" s="71"/>
      <c r="AO105" s="71"/>
      <c r="AP105" s="71"/>
      <c r="AQ105" s="71"/>
      <c r="AR105" s="71">
        <v>44498</v>
      </c>
      <c r="AS105" s="71"/>
      <c r="AT105" s="71"/>
      <c r="AU105" s="71">
        <v>44494</v>
      </c>
      <c r="AV105" s="71">
        <v>44345</v>
      </c>
      <c r="AW105" s="71">
        <v>44477</v>
      </c>
      <c r="AX105" s="71">
        <v>44487</v>
      </c>
      <c r="AY105" s="72">
        <v>44305</v>
      </c>
      <c r="AZ105" s="71"/>
      <c r="BA105" s="71">
        <v>44494</v>
      </c>
      <c r="BB105" s="71">
        <v>44491</v>
      </c>
      <c r="BC105" s="71"/>
      <c r="BD105" s="71"/>
      <c r="BE105" s="71">
        <v>44481</v>
      </c>
      <c r="BF105" s="71"/>
      <c r="BG105" s="71">
        <v>44498</v>
      </c>
      <c r="BH105" s="71"/>
      <c r="BI105" s="71"/>
      <c r="BJ105" s="71"/>
      <c r="BK105" s="70"/>
      <c r="BL105" s="70"/>
      <c r="BM105" s="70"/>
      <c r="BN105" s="70"/>
      <c r="BO105" s="70"/>
    </row>
    <row r="106" spans="1:67" x14ac:dyDescent="0.4">
      <c r="A106" s="86">
        <v>4000000</v>
      </c>
      <c r="B106" s="74" t="s">
        <v>99</v>
      </c>
      <c r="C106" s="71">
        <v>44340</v>
      </c>
      <c r="D106" s="71">
        <v>44340</v>
      </c>
      <c r="E106" s="71">
        <v>44455</v>
      </c>
      <c r="F106" s="71">
        <v>44440</v>
      </c>
      <c r="G106" s="71"/>
      <c r="H106" s="71">
        <v>44439</v>
      </c>
      <c r="I106" s="71">
        <v>44474</v>
      </c>
      <c r="J106" s="71">
        <v>44439</v>
      </c>
      <c r="K106" s="71"/>
      <c r="L106" s="71">
        <v>44333</v>
      </c>
      <c r="M106" s="71">
        <v>44439</v>
      </c>
      <c r="N106" s="71">
        <v>44418</v>
      </c>
      <c r="O106" s="71">
        <v>44462</v>
      </c>
      <c r="P106" s="71">
        <v>44418</v>
      </c>
      <c r="Q106" s="71">
        <v>44328</v>
      </c>
      <c r="R106" s="71">
        <v>44397</v>
      </c>
      <c r="S106" s="71">
        <v>44387</v>
      </c>
      <c r="T106" s="71"/>
      <c r="U106" s="71">
        <v>44449</v>
      </c>
      <c r="V106" s="71">
        <v>44412</v>
      </c>
      <c r="W106" s="71"/>
      <c r="X106" s="71">
        <v>44378</v>
      </c>
      <c r="Y106" s="71"/>
      <c r="Z106" s="71">
        <v>44462</v>
      </c>
      <c r="AA106" s="71">
        <v>44440</v>
      </c>
      <c r="AB106" s="71">
        <v>44383</v>
      </c>
      <c r="AC106" s="71"/>
      <c r="AD106" s="71"/>
      <c r="AE106" s="71">
        <v>44208</v>
      </c>
      <c r="AF106" s="71">
        <v>44397</v>
      </c>
      <c r="AG106" s="71">
        <v>44452</v>
      </c>
      <c r="AH106" s="71">
        <v>44452</v>
      </c>
      <c r="AI106" s="71"/>
      <c r="AJ106" s="71">
        <v>44412</v>
      </c>
      <c r="AK106" s="71"/>
      <c r="AL106" s="71"/>
      <c r="AM106" s="71">
        <v>44377</v>
      </c>
      <c r="AN106" s="71"/>
      <c r="AO106" s="71"/>
      <c r="AP106" s="71">
        <v>44494</v>
      </c>
      <c r="AQ106" s="71">
        <v>44348</v>
      </c>
      <c r="AR106" s="71"/>
      <c r="AS106" s="71">
        <v>44481</v>
      </c>
      <c r="AT106" s="71"/>
      <c r="AU106" s="71">
        <v>44364</v>
      </c>
      <c r="AV106" s="71"/>
      <c r="AW106" s="71">
        <v>44378</v>
      </c>
      <c r="AX106" s="71"/>
      <c r="AY106" s="71"/>
      <c r="AZ106" s="71"/>
      <c r="BA106" s="71">
        <v>44343</v>
      </c>
      <c r="BB106" s="71">
        <v>44455</v>
      </c>
      <c r="BC106" s="71"/>
      <c r="BD106" s="71"/>
      <c r="BE106" s="71">
        <v>44474</v>
      </c>
      <c r="BF106" s="71">
        <v>44343</v>
      </c>
      <c r="BG106" s="71"/>
      <c r="BH106" s="71"/>
      <c r="BI106" s="71"/>
      <c r="BJ106" s="71"/>
      <c r="BK106" s="70"/>
      <c r="BL106" s="70"/>
      <c r="BM106" s="70"/>
      <c r="BN106" s="70"/>
      <c r="BO106" s="70"/>
    </row>
    <row r="107" spans="1:67" x14ac:dyDescent="0.4">
      <c r="A107" s="86">
        <v>4070000</v>
      </c>
      <c r="B107" s="74" t="s">
        <v>100</v>
      </c>
      <c r="C107" s="71">
        <v>44445</v>
      </c>
      <c r="D107" s="71">
        <v>44258</v>
      </c>
      <c r="E107" s="71">
        <v>44389</v>
      </c>
      <c r="F107" s="71">
        <v>44494</v>
      </c>
      <c r="G107" s="71">
        <v>44495</v>
      </c>
      <c r="H107" s="71">
        <v>44386</v>
      </c>
      <c r="I107" s="71">
        <v>44384</v>
      </c>
      <c r="J107" s="71">
        <v>44495</v>
      </c>
      <c r="K107" s="71"/>
      <c r="L107" s="71">
        <v>44207</v>
      </c>
      <c r="M107" s="71">
        <v>44448</v>
      </c>
      <c r="N107" s="71">
        <v>44389</v>
      </c>
      <c r="O107" s="71">
        <v>44176</v>
      </c>
      <c r="P107" s="71">
        <v>44181</v>
      </c>
      <c r="Q107" s="71">
        <v>44182</v>
      </c>
      <c r="R107" s="71"/>
      <c r="S107" s="71">
        <v>44176</v>
      </c>
      <c r="T107" s="71">
        <v>44386</v>
      </c>
      <c r="U107" s="71">
        <v>44257</v>
      </c>
      <c r="V107" s="71">
        <v>44179</v>
      </c>
      <c r="W107" s="71"/>
      <c r="X107" s="71">
        <v>44179</v>
      </c>
      <c r="Y107" s="71"/>
      <c r="Z107" s="71"/>
      <c r="AA107" s="71">
        <v>44386</v>
      </c>
      <c r="AB107" s="71">
        <v>44236</v>
      </c>
      <c r="AC107" s="71"/>
      <c r="AD107" s="71"/>
      <c r="AE107" s="71">
        <v>44386</v>
      </c>
      <c r="AF107" s="71"/>
      <c r="AG107" s="71">
        <v>44463</v>
      </c>
      <c r="AH107" s="71">
        <v>44364</v>
      </c>
      <c r="AI107" s="71">
        <v>44236</v>
      </c>
      <c r="AJ107" s="71">
        <v>44236</v>
      </c>
      <c r="AK107" s="71"/>
      <c r="AL107" s="71"/>
      <c r="AM107" s="71">
        <v>44361</v>
      </c>
      <c r="AN107" s="71">
        <v>44488</v>
      </c>
      <c r="AO107" s="71"/>
      <c r="AP107" s="71">
        <v>44495</v>
      </c>
      <c r="AQ107" s="71">
        <v>44391</v>
      </c>
      <c r="AR107" s="71">
        <v>44445</v>
      </c>
      <c r="AS107" s="71">
        <v>44495</v>
      </c>
      <c r="AT107" s="71"/>
      <c r="AU107" s="71">
        <v>44369</v>
      </c>
      <c r="AV107" s="71"/>
      <c r="AW107" s="71"/>
      <c r="AX107" s="71">
        <v>44280</v>
      </c>
      <c r="AY107" s="71"/>
      <c r="AZ107" s="71"/>
      <c r="BA107" s="71">
        <v>44389</v>
      </c>
      <c r="BB107" s="71">
        <v>44341</v>
      </c>
      <c r="BC107" s="71"/>
      <c r="BD107" s="71"/>
      <c r="BE107" s="71"/>
      <c r="BF107" s="71"/>
      <c r="BG107" s="71">
        <v>44364</v>
      </c>
      <c r="BH107" s="71"/>
      <c r="BI107" s="71"/>
      <c r="BJ107" s="71"/>
      <c r="BK107" s="70"/>
      <c r="BL107" s="70"/>
      <c r="BM107" s="70"/>
      <c r="BN107" s="70"/>
      <c r="BO107" s="70"/>
    </row>
    <row r="108" spans="1:67" x14ac:dyDescent="0.4">
      <c r="A108" s="86">
        <v>5590000</v>
      </c>
      <c r="B108" s="74" t="s">
        <v>101</v>
      </c>
      <c r="C108" s="71">
        <v>44445</v>
      </c>
      <c r="D108" s="71">
        <v>44327</v>
      </c>
      <c r="E108" s="71">
        <v>44438</v>
      </c>
      <c r="F108" s="71">
        <v>44421</v>
      </c>
      <c r="G108" s="71">
        <v>44421</v>
      </c>
      <c r="H108" s="71">
        <v>44326</v>
      </c>
      <c r="I108" s="71">
        <v>44274</v>
      </c>
      <c r="J108" s="71">
        <v>44431</v>
      </c>
      <c r="K108" s="71">
        <v>44357</v>
      </c>
      <c r="L108" s="71">
        <v>44274</v>
      </c>
      <c r="M108" s="71">
        <v>44466</v>
      </c>
      <c r="N108" s="71">
        <v>44438</v>
      </c>
      <c r="O108" s="71"/>
      <c r="P108" s="71">
        <v>44334</v>
      </c>
      <c r="Q108" s="71"/>
      <c r="R108" s="71"/>
      <c r="S108" s="71">
        <v>44327</v>
      </c>
      <c r="T108" s="71">
        <v>44357</v>
      </c>
      <c r="U108" s="71">
        <v>44327</v>
      </c>
      <c r="V108" s="71">
        <v>44329</v>
      </c>
      <c r="W108" s="71"/>
      <c r="X108" s="71"/>
      <c r="Y108" s="71">
        <v>44492</v>
      </c>
      <c r="Z108" s="71">
        <v>44355</v>
      </c>
      <c r="AA108" s="71">
        <v>44327</v>
      </c>
      <c r="AB108" s="71">
        <v>44355</v>
      </c>
      <c r="AC108" s="71">
        <v>44327</v>
      </c>
      <c r="AD108" s="71">
        <v>44426</v>
      </c>
      <c r="AE108" s="71">
        <v>44370</v>
      </c>
      <c r="AF108" s="71">
        <v>44434</v>
      </c>
      <c r="AG108" s="71"/>
      <c r="AH108" s="71">
        <v>44445</v>
      </c>
      <c r="AI108" s="71">
        <v>44355</v>
      </c>
      <c r="AJ108" s="71">
        <v>44355</v>
      </c>
      <c r="AK108" s="71">
        <v>44327</v>
      </c>
      <c r="AL108" s="71"/>
      <c r="AM108" s="71">
        <v>44434</v>
      </c>
      <c r="AN108" s="71"/>
      <c r="AO108" s="71"/>
      <c r="AP108" s="71">
        <v>44434</v>
      </c>
      <c r="AQ108" s="71">
        <v>44438</v>
      </c>
      <c r="AR108" s="71">
        <v>44397</v>
      </c>
      <c r="AS108" s="71"/>
      <c r="AT108" s="71"/>
      <c r="AU108" s="71">
        <v>44370</v>
      </c>
      <c r="AV108" s="71"/>
      <c r="AW108" s="71">
        <v>44333</v>
      </c>
      <c r="AX108" s="71">
        <v>44354</v>
      </c>
      <c r="AY108" s="71">
        <v>44434</v>
      </c>
      <c r="AZ108" s="71"/>
      <c r="BA108" s="71">
        <v>44434</v>
      </c>
      <c r="BB108" s="71">
        <v>44434</v>
      </c>
      <c r="BC108" s="71">
        <v>44434</v>
      </c>
      <c r="BD108" s="71">
        <v>44434</v>
      </c>
      <c r="BE108" s="71"/>
      <c r="BF108" s="71"/>
      <c r="BG108" s="71">
        <v>44434</v>
      </c>
      <c r="BH108" s="71"/>
      <c r="BI108" s="71"/>
      <c r="BJ108" s="71"/>
      <c r="BK108" s="70"/>
      <c r="BL108" s="70"/>
      <c r="BM108" s="70"/>
      <c r="BN108" s="70"/>
      <c r="BO108" s="70"/>
    </row>
    <row r="109" spans="1:67" x14ac:dyDescent="0.4">
      <c r="A109" s="86">
        <v>4080000</v>
      </c>
      <c r="B109" s="74" t="s">
        <v>110</v>
      </c>
      <c r="C109" s="72">
        <v>44271</v>
      </c>
      <c r="D109" s="71">
        <v>44271</v>
      </c>
      <c r="E109" s="72">
        <v>44271</v>
      </c>
      <c r="F109" s="72">
        <v>44369</v>
      </c>
      <c r="G109" s="72">
        <v>44369</v>
      </c>
      <c r="H109" s="71">
        <v>44271</v>
      </c>
      <c r="I109" s="71">
        <v>44280</v>
      </c>
      <c r="J109" s="72">
        <v>44369</v>
      </c>
      <c r="K109" s="72">
        <v>44271</v>
      </c>
      <c r="L109" s="71">
        <v>44280</v>
      </c>
      <c r="M109" s="72">
        <v>44369</v>
      </c>
      <c r="N109" s="71">
        <v>44271</v>
      </c>
      <c r="O109" s="71"/>
      <c r="P109" s="71">
        <v>44271</v>
      </c>
      <c r="Q109" s="71"/>
      <c r="R109" s="71">
        <v>44271</v>
      </c>
      <c r="S109" s="71">
        <v>44280</v>
      </c>
      <c r="T109" s="71">
        <v>44271</v>
      </c>
      <c r="U109" s="71">
        <v>44271</v>
      </c>
      <c r="V109" s="71">
        <v>44271</v>
      </c>
      <c r="W109" s="71"/>
      <c r="X109" s="71">
        <v>44271</v>
      </c>
      <c r="Y109" s="71"/>
      <c r="Z109" s="71"/>
      <c r="AA109" s="71">
        <v>44271</v>
      </c>
      <c r="AB109" s="71">
        <v>44271</v>
      </c>
      <c r="AC109" s="71"/>
      <c r="AD109" s="71">
        <v>44271</v>
      </c>
      <c r="AE109" s="71">
        <v>44271</v>
      </c>
      <c r="AF109" s="72">
        <v>44271</v>
      </c>
      <c r="AG109" s="72">
        <v>44271</v>
      </c>
      <c r="AH109" s="72">
        <v>44271</v>
      </c>
      <c r="AI109" s="71"/>
      <c r="AJ109" s="71">
        <v>44271</v>
      </c>
      <c r="AK109" s="71">
        <v>44271</v>
      </c>
      <c r="AL109" s="71"/>
      <c r="AM109" s="72">
        <v>44271</v>
      </c>
      <c r="AN109" s="71"/>
      <c r="AO109" s="71">
        <v>44271</v>
      </c>
      <c r="AP109" s="71"/>
      <c r="AQ109" s="71"/>
      <c r="AR109" s="72">
        <v>44271</v>
      </c>
      <c r="AS109" s="71"/>
      <c r="AT109" s="71"/>
      <c r="AU109" s="71"/>
      <c r="AV109" s="71"/>
      <c r="AW109" s="71">
        <v>44271</v>
      </c>
      <c r="AX109" s="71">
        <v>44271</v>
      </c>
      <c r="AY109" s="71"/>
      <c r="AZ109" s="71"/>
      <c r="BA109" s="72">
        <v>44271</v>
      </c>
      <c r="BB109" s="72">
        <v>44271</v>
      </c>
      <c r="BC109" s="71"/>
      <c r="BD109" s="72">
        <v>44271</v>
      </c>
      <c r="BE109" s="71"/>
      <c r="BF109" s="71"/>
      <c r="BG109" s="72">
        <v>44271</v>
      </c>
      <c r="BH109" s="71"/>
      <c r="BI109" s="71"/>
      <c r="BJ109" s="71"/>
      <c r="BK109" s="70"/>
      <c r="BL109" s="70"/>
      <c r="BM109" s="70"/>
      <c r="BN109" s="70"/>
      <c r="BO109" s="70"/>
    </row>
    <row r="110" spans="1:67" x14ac:dyDescent="0.4">
      <c r="A110" s="86">
        <v>3980000</v>
      </c>
      <c r="B110" s="74" t="s">
        <v>102</v>
      </c>
      <c r="C110" s="71">
        <v>44403</v>
      </c>
      <c r="D110" s="71">
        <v>44399</v>
      </c>
      <c r="E110" s="71">
        <v>44399</v>
      </c>
      <c r="F110" s="71">
        <v>44495</v>
      </c>
      <c r="G110" s="71">
        <v>44501</v>
      </c>
      <c r="H110" s="71">
        <v>44403</v>
      </c>
      <c r="I110" s="71">
        <v>44399</v>
      </c>
      <c r="J110" s="71">
        <v>44495</v>
      </c>
      <c r="K110" s="71"/>
      <c r="L110" s="71"/>
      <c r="M110" s="71">
        <v>44501</v>
      </c>
      <c r="N110" s="71">
        <v>44403</v>
      </c>
      <c r="O110" s="71"/>
      <c r="P110" s="71">
        <v>44375</v>
      </c>
      <c r="Q110" s="71">
        <v>44399</v>
      </c>
      <c r="R110" s="71"/>
      <c r="S110" s="71">
        <v>44400</v>
      </c>
      <c r="T110" s="71"/>
      <c r="U110" s="71">
        <v>44399</v>
      </c>
      <c r="V110" s="71">
        <v>44399</v>
      </c>
      <c r="W110" s="71"/>
      <c r="X110" s="71">
        <v>44400</v>
      </c>
      <c r="Y110" s="71"/>
      <c r="Z110" s="71"/>
      <c r="AA110" s="71">
        <v>44400</v>
      </c>
      <c r="AB110" s="71">
        <v>44403</v>
      </c>
      <c r="AC110" s="71">
        <v>44400</v>
      </c>
      <c r="AD110" s="71">
        <v>44399</v>
      </c>
      <c r="AE110" s="71"/>
      <c r="AF110" s="71"/>
      <c r="AG110" s="71">
        <v>44375</v>
      </c>
      <c r="AH110" s="71">
        <v>44495</v>
      </c>
      <c r="AI110" s="71">
        <v>44400</v>
      </c>
      <c r="AJ110" s="71">
        <v>44400</v>
      </c>
      <c r="AK110" s="71">
        <v>44400</v>
      </c>
      <c r="AL110" s="71"/>
      <c r="AM110" s="71"/>
      <c r="AN110" s="71"/>
      <c r="AO110" s="71"/>
      <c r="AP110" s="71"/>
      <c r="AQ110" s="71"/>
      <c r="AR110" s="71">
        <v>44399</v>
      </c>
      <c r="AS110" s="71"/>
      <c r="AT110" s="71"/>
      <c r="AU110" s="71">
        <v>44403</v>
      </c>
      <c r="AV110" s="71"/>
      <c r="AW110" s="71">
        <v>44400</v>
      </c>
      <c r="AX110" s="71"/>
      <c r="AY110" s="71">
        <v>44403</v>
      </c>
      <c r="AZ110" s="71"/>
      <c r="BA110" s="71">
        <v>44400</v>
      </c>
      <c r="BB110" s="71">
        <v>44403</v>
      </c>
      <c r="BC110" s="71">
        <v>44400</v>
      </c>
      <c r="BD110" s="71"/>
      <c r="BE110" s="71">
        <v>44403</v>
      </c>
      <c r="BF110" s="71"/>
      <c r="BG110" s="71">
        <v>44399</v>
      </c>
      <c r="BH110" s="71"/>
      <c r="BI110" s="71"/>
      <c r="BJ110" s="71">
        <v>44372</v>
      </c>
      <c r="BK110" s="70"/>
      <c r="BL110" s="70"/>
      <c r="BM110" s="70"/>
      <c r="BN110" s="70"/>
      <c r="BO110" s="70"/>
    </row>
    <row r="111" spans="1:67" x14ac:dyDescent="0.4">
      <c r="A111" s="86">
        <v>5600000</v>
      </c>
      <c r="B111" s="74" t="s">
        <v>103</v>
      </c>
      <c r="C111" s="71">
        <v>44476</v>
      </c>
      <c r="D111" s="71">
        <v>44476</v>
      </c>
      <c r="E111" s="71">
        <v>44484</v>
      </c>
      <c r="F111" s="71">
        <v>44476</v>
      </c>
      <c r="G111" s="71">
        <v>44410</v>
      </c>
      <c r="H111" s="71">
        <v>44475</v>
      </c>
      <c r="I111" s="71">
        <v>44477</v>
      </c>
      <c r="J111" s="71">
        <v>44410</v>
      </c>
      <c r="K111" s="71">
        <v>44484</v>
      </c>
      <c r="L111" s="71">
        <v>44477</v>
      </c>
      <c r="M111" s="71">
        <v>44488</v>
      </c>
      <c r="N111" s="71">
        <v>44490</v>
      </c>
      <c r="O111" s="71"/>
      <c r="P111" s="71">
        <v>44470</v>
      </c>
      <c r="Q111" s="71">
        <v>44487</v>
      </c>
      <c r="R111" s="71"/>
      <c r="S111" s="71">
        <v>44470</v>
      </c>
      <c r="T111" s="71">
        <v>44470</v>
      </c>
      <c r="U111" s="71">
        <v>44484</v>
      </c>
      <c r="V111" s="71">
        <v>44410</v>
      </c>
      <c r="W111" s="71"/>
      <c r="X111" s="71"/>
      <c r="Y111" s="71"/>
      <c r="Z111" s="71">
        <v>44475</v>
      </c>
      <c r="AA111" s="71">
        <v>44475</v>
      </c>
      <c r="AB111" s="71">
        <v>44470</v>
      </c>
      <c r="AC111" s="71">
        <v>44475</v>
      </c>
      <c r="AD111" s="71"/>
      <c r="AE111" s="71">
        <v>44475</v>
      </c>
      <c r="AF111" s="71"/>
      <c r="AG111" s="71"/>
      <c r="AH111" s="71">
        <v>44487</v>
      </c>
      <c r="AI111" s="71">
        <v>44475</v>
      </c>
      <c r="AJ111" s="71">
        <v>44475</v>
      </c>
      <c r="AK111" s="72">
        <v>43714</v>
      </c>
      <c r="AL111" s="71"/>
      <c r="AM111" s="71"/>
      <c r="AN111" s="71"/>
      <c r="AO111" s="71"/>
      <c r="AP111" s="71"/>
      <c r="AQ111" s="71">
        <v>44488</v>
      </c>
      <c r="AR111" s="71">
        <v>44484</v>
      </c>
      <c r="AS111" s="71"/>
      <c r="AT111" s="71"/>
      <c r="AU111" s="71">
        <v>44487</v>
      </c>
      <c r="AV111" s="71"/>
      <c r="AW111" s="71">
        <v>44475</v>
      </c>
      <c r="AX111" s="71">
        <v>44476</v>
      </c>
      <c r="AY111" s="71"/>
      <c r="AZ111" s="71"/>
      <c r="BA111" s="71">
        <v>44487</v>
      </c>
      <c r="BB111" s="71">
        <v>44487</v>
      </c>
      <c r="BC111" s="71"/>
      <c r="BD111" s="71"/>
      <c r="BE111" s="71">
        <v>44484</v>
      </c>
      <c r="BF111" s="71"/>
      <c r="BG111" s="71">
        <v>44484</v>
      </c>
      <c r="BH111" s="71">
        <v>44487</v>
      </c>
      <c r="BI111" s="71"/>
      <c r="BJ111" s="71"/>
      <c r="BK111" s="70"/>
      <c r="BL111" s="70"/>
      <c r="BM111" s="70"/>
      <c r="BN111" s="70"/>
      <c r="BO111" s="70"/>
    </row>
    <row r="112" spans="1:67" x14ac:dyDescent="0.4">
      <c r="A112" s="86">
        <v>4030000</v>
      </c>
      <c r="B112" s="74" t="s">
        <v>104</v>
      </c>
      <c r="C112" s="71">
        <v>44403</v>
      </c>
      <c r="D112" s="71">
        <v>44403</v>
      </c>
      <c r="E112" s="71">
        <v>44403</v>
      </c>
      <c r="F112" s="71">
        <v>44501</v>
      </c>
      <c r="G112" s="71">
        <v>44502</v>
      </c>
      <c r="H112" s="71">
        <v>44403</v>
      </c>
      <c r="I112" s="71">
        <v>44403</v>
      </c>
      <c r="J112" s="71">
        <v>44502</v>
      </c>
      <c r="K112" s="71">
        <v>44403</v>
      </c>
      <c r="L112" s="71"/>
      <c r="M112" s="71">
        <v>44502</v>
      </c>
      <c r="N112" s="71">
        <v>44420</v>
      </c>
      <c r="O112" s="71"/>
      <c r="P112" s="71">
        <v>44420</v>
      </c>
      <c r="Q112" s="71">
        <v>44403</v>
      </c>
      <c r="R112" s="71"/>
      <c r="S112" s="71">
        <v>44420</v>
      </c>
      <c r="T112" s="71"/>
      <c r="U112" s="71">
        <v>44403</v>
      </c>
      <c r="V112" s="71">
        <v>44421</v>
      </c>
      <c r="W112" s="71"/>
      <c r="X112" s="71">
        <v>44403</v>
      </c>
      <c r="Y112" s="71"/>
      <c r="Z112" s="71">
        <v>44403</v>
      </c>
      <c r="AA112" s="71">
        <v>44403</v>
      </c>
      <c r="AB112" s="71">
        <v>44403</v>
      </c>
      <c r="AC112" s="71"/>
      <c r="AD112" s="71">
        <v>44403</v>
      </c>
      <c r="AE112" s="71">
        <v>44403</v>
      </c>
      <c r="AF112" s="71"/>
      <c r="AG112" s="71">
        <v>44403</v>
      </c>
      <c r="AH112" s="71">
        <v>44403</v>
      </c>
      <c r="AI112" s="71"/>
      <c r="AJ112" s="71">
        <v>44403</v>
      </c>
      <c r="AK112" s="71">
        <v>44403</v>
      </c>
      <c r="AL112" s="71"/>
      <c r="AM112" s="71"/>
      <c r="AN112" s="71">
        <v>44501</v>
      </c>
      <c r="AO112" s="71"/>
      <c r="AP112" s="71">
        <v>44403</v>
      </c>
      <c r="AQ112" s="71">
        <v>44420</v>
      </c>
      <c r="AR112" s="71"/>
      <c r="AS112" s="71">
        <v>44420</v>
      </c>
      <c r="AT112" s="71"/>
      <c r="AU112" s="71">
        <v>44403</v>
      </c>
      <c r="AV112" s="71"/>
      <c r="AW112" s="71">
        <v>44403</v>
      </c>
      <c r="AX112" s="71">
        <v>44403</v>
      </c>
      <c r="AY112" s="71">
        <v>44456</v>
      </c>
      <c r="AZ112" s="71"/>
      <c r="BA112" s="71">
        <v>44420</v>
      </c>
      <c r="BB112" s="71">
        <v>44420</v>
      </c>
      <c r="BC112" s="71">
        <v>44420</v>
      </c>
      <c r="BD112" s="71"/>
      <c r="BE112" s="71"/>
      <c r="BF112" s="71"/>
      <c r="BG112" s="71">
        <v>44420</v>
      </c>
      <c r="BH112" s="71"/>
      <c r="BI112" s="71">
        <v>44455</v>
      </c>
      <c r="BJ112" s="71">
        <v>44455</v>
      </c>
      <c r="BK112" s="70"/>
      <c r="BL112" s="70"/>
      <c r="BM112" s="70"/>
      <c r="BN112" s="70"/>
      <c r="BO112" s="70"/>
    </row>
    <row r="113" spans="1:67" x14ac:dyDescent="0.4">
      <c r="A113" s="86">
        <v>4040000</v>
      </c>
      <c r="B113" s="74" t="s">
        <v>105</v>
      </c>
      <c r="C113" s="71">
        <v>44491</v>
      </c>
      <c r="D113" s="71">
        <v>44490</v>
      </c>
      <c r="E113" s="71">
        <v>44491</v>
      </c>
      <c r="F113" s="71">
        <v>44495</v>
      </c>
      <c r="G113" s="71">
        <v>44496</v>
      </c>
      <c r="H113" s="71"/>
      <c r="I113" s="71">
        <v>44489</v>
      </c>
      <c r="J113" s="71">
        <v>44497</v>
      </c>
      <c r="K113" s="71"/>
      <c r="L113" s="71">
        <v>44496</v>
      </c>
      <c r="M113" s="71">
        <v>44495</v>
      </c>
      <c r="N113" s="71">
        <v>44488</v>
      </c>
      <c r="O113" s="71"/>
      <c r="P113" s="71">
        <v>44491</v>
      </c>
      <c r="Q113" s="71">
        <v>44490</v>
      </c>
      <c r="R113" s="71">
        <v>44495</v>
      </c>
      <c r="S113" s="71">
        <v>44495</v>
      </c>
      <c r="T113" s="71"/>
      <c r="U113" s="71">
        <v>44490</v>
      </c>
      <c r="V113" s="71">
        <v>44494</v>
      </c>
      <c r="W113" s="71">
        <v>44491</v>
      </c>
      <c r="X113" s="71"/>
      <c r="Y113" s="71">
        <v>44494</v>
      </c>
      <c r="Z113" s="71"/>
      <c r="AA113" s="71">
        <v>44495</v>
      </c>
      <c r="AB113" s="71">
        <v>44494</v>
      </c>
      <c r="AC113" s="71">
        <v>44496</v>
      </c>
      <c r="AD113" s="71">
        <v>44490</v>
      </c>
      <c r="AE113" s="71">
        <v>44495</v>
      </c>
      <c r="AF113" s="71">
        <v>44491</v>
      </c>
      <c r="AG113" s="71">
        <v>44491</v>
      </c>
      <c r="AH113" s="71">
        <v>44491</v>
      </c>
      <c r="AI113" s="71">
        <v>44490</v>
      </c>
      <c r="AJ113" s="71">
        <v>44490</v>
      </c>
      <c r="AK113" s="71">
        <v>44490</v>
      </c>
      <c r="AL113" s="71"/>
      <c r="AM113" s="71"/>
      <c r="AN113" s="71"/>
      <c r="AO113" s="71">
        <v>44495</v>
      </c>
      <c r="AP113" s="71">
        <v>44489</v>
      </c>
      <c r="AQ113" s="71">
        <v>44491</v>
      </c>
      <c r="AR113" s="71"/>
      <c r="AS113" s="71"/>
      <c r="AT113" s="71"/>
      <c r="AU113" s="71">
        <v>44491</v>
      </c>
      <c r="AV113" s="71"/>
      <c r="AW113" s="71">
        <v>44491</v>
      </c>
      <c r="AX113" s="71"/>
      <c r="AY113" s="71"/>
      <c r="AZ113" s="71"/>
      <c r="BA113" s="71">
        <v>44491</v>
      </c>
      <c r="BB113" s="71">
        <v>44487</v>
      </c>
      <c r="BC113" s="71"/>
      <c r="BD113" s="71"/>
      <c r="BE113" s="71"/>
      <c r="BF113" s="71">
        <v>44495</v>
      </c>
      <c r="BG113" s="71">
        <v>44491</v>
      </c>
      <c r="BH113" s="71"/>
      <c r="BI113" s="71"/>
      <c r="BJ113" s="71"/>
      <c r="BK113" s="70"/>
      <c r="BL113" s="70"/>
      <c r="BM113" s="70"/>
      <c r="BN113" s="70"/>
      <c r="BO113" s="70"/>
    </row>
    <row r="114" spans="1:67" x14ac:dyDescent="0.4">
      <c r="A114" s="86">
        <v>5700000</v>
      </c>
      <c r="B114" s="74" t="s">
        <v>113</v>
      </c>
      <c r="C114" s="71">
        <v>44400</v>
      </c>
      <c r="D114" s="71">
        <v>44463</v>
      </c>
      <c r="E114" s="71">
        <v>44407</v>
      </c>
      <c r="F114" s="71">
        <v>44462</v>
      </c>
      <c r="G114" s="71">
        <v>44462</v>
      </c>
      <c r="H114" s="71">
        <v>44463</v>
      </c>
      <c r="I114" s="71">
        <v>44466</v>
      </c>
      <c r="J114" s="71">
        <v>44464</v>
      </c>
      <c r="K114" s="71"/>
      <c r="L114" s="71">
        <v>44448</v>
      </c>
      <c r="M114" s="71">
        <v>44466</v>
      </c>
      <c r="N114" s="71">
        <v>44469</v>
      </c>
      <c r="O114" s="71"/>
      <c r="P114" s="71">
        <v>44420</v>
      </c>
      <c r="Q114" s="71">
        <v>44463</v>
      </c>
      <c r="R114" s="71">
        <v>44448</v>
      </c>
      <c r="S114" s="71">
        <v>44466</v>
      </c>
      <c r="T114" s="71">
        <v>44407</v>
      </c>
      <c r="U114" s="71">
        <v>44147</v>
      </c>
      <c r="V114" s="71">
        <v>44462</v>
      </c>
      <c r="W114" s="71"/>
      <c r="X114" s="71">
        <v>44448</v>
      </c>
      <c r="Y114" s="71"/>
      <c r="Z114" s="71"/>
      <c r="AA114" s="71">
        <v>44462</v>
      </c>
      <c r="AB114" s="71">
        <v>44448</v>
      </c>
      <c r="AC114" s="71">
        <v>44466</v>
      </c>
      <c r="AD114" s="71">
        <v>44462</v>
      </c>
      <c r="AE114" s="71">
        <v>44462</v>
      </c>
      <c r="AF114" s="71"/>
      <c r="AG114" s="71">
        <v>44414</v>
      </c>
      <c r="AH114" s="71">
        <v>44420</v>
      </c>
      <c r="AI114" s="71">
        <v>44407</v>
      </c>
      <c r="AJ114" s="71">
        <v>44407</v>
      </c>
      <c r="AK114" s="71"/>
      <c r="AL114" s="71"/>
      <c r="AM114" s="71">
        <v>44407</v>
      </c>
      <c r="AN114" s="71"/>
      <c r="AO114" s="71"/>
      <c r="AP114" s="71">
        <v>44466</v>
      </c>
      <c r="AQ114" s="71">
        <v>44465</v>
      </c>
      <c r="AR114" s="71">
        <v>44466</v>
      </c>
      <c r="AS114" s="71"/>
      <c r="AT114" s="71"/>
      <c r="AU114" s="71">
        <v>44420</v>
      </c>
      <c r="AV114" s="71"/>
      <c r="AW114" s="71">
        <v>44407</v>
      </c>
      <c r="AX114" s="71">
        <v>44463</v>
      </c>
      <c r="AY114" s="71">
        <v>44464</v>
      </c>
      <c r="AZ114" s="71"/>
      <c r="BA114" s="71">
        <v>44462</v>
      </c>
      <c r="BB114" s="71">
        <v>44463</v>
      </c>
      <c r="BC114" s="71"/>
      <c r="BD114" s="71">
        <v>44466</v>
      </c>
      <c r="BE114" s="71">
        <v>44463</v>
      </c>
      <c r="BF114" s="71"/>
      <c r="BG114" s="71">
        <v>44447</v>
      </c>
      <c r="BH114" s="71"/>
      <c r="BI114" s="71"/>
      <c r="BJ114" s="71"/>
      <c r="BK114" s="70"/>
      <c r="BL114" s="70"/>
      <c r="BM114" s="70"/>
      <c r="BN114" s="70"/>
      <c r="BO114" s="70"/>
    </row>
    <row r="115" spans="1:67" x14ac:dyDescent="0.4">
      <c r="A115" s="86">
        <v>4170000</v>
      </c>
      <c r="B115" s="74" t="s">
        <v>106</v>
      </c>
      <c r="C115" s="71">
        <v>44371</v>
      </c>
      <c r="D115" s="71">
        <v>44176</v>
      </c>
      <c r="E115" s="71">
        <v>44371</v>
      </c>
      <c r="F115" s="72">
        <v>44371</v>
      </c>
      <c r="G115" s="72">
        <v>44371</v>
      </c>
      <c r="H115" s="71"/>
      <c r="I115" s="71">
        <v>44179</v>
      </c>
      <c r="J115" s="72">
        <v>44377</v>
      </c>
      <c r="K115" s="71">
        <v>44377</v>
      </c>
      <c r="L115" s="71">
        <v>44187</v>
      </c>
      <c r="M115" s="72">
        <v>44371</v>
      </c>
      <c r="N115" s="71">
        <v>44176</v>
      </c>
      <c r="O115" s="71">
        <v>44187</v>
      </c>
      <c r="P115" s="71">
        <v>44187</v>
      </c>
      <c r="Q115" s="71">
        <v>44187</v>
      </c>
      <c r="R115" s="71"/>
      <c r="S115" s="71">
        <v>44176</v>
      </c>
      <c r="T115" s="71">
        <v>44187</v>
      </c>
      <c r="U115" s="71">
        <v>44187</v>
      </c>
      <c r="V115" s="71">
        <v>44175</v>
      </c>
      <c r="W115" s="71"/>
      <c r="X115" s="71">
        <v>44179</v>
      </c>
      <c r="Y115" s="71"/>
      <c r="Z115" s="71"/>
      <c r="AA115" s="71">
        <v>44176</v>
      </c>
      <c r="AB115" s="71">
        <v>44176</v>
      </c>
      <c r="AC115" s="71">
        <v>44180</v>
      </c>
      <c r="AD115" s="71">
        <v>44187</v>
      </c>
      <c r="AE115" s="71">
        <v>44176</v>
      </c>
      <c r="AF115" s="71"/>
      <c r="AG115" s="71">
        <v>44371</v>
      </c>
      <c r="AH115" s="71">
        <v>44371</v>
      </c>
      <c r="AI115" s="71"/>
      <c r="AJ115" s="71">
        <v>44187</v>
      </c>
      <c r="AK115" s="71">
        <v>44187</v>
      </c>
      <c r="AL115" s="71"/>
      <c r="AM115" s="71"/>
      <c r="AN115" s="71"/>
      <c r="AO115" s="71"/>
      <c r="AP115" s="71"/>
      <c r="AQ115" s="71">
        <v>44187</v>
      </c>
      <c r="AR115" s="71"/>
      <c r="AS115" s="71"/>
      <c r="AT115" s="71"/>
      <c r="AU115" s="71">
        <v>44371</v>
      </c>
      <c r="AV115" s="71"/>
      <c r="AW115" s="71">
        <v>44187</v>
      </c>
      <c r="AX115" s="71">
        <v>44187</v>
      </c>
      <c r="AY115" s="71"/>
      <c r="AZ115" s="71"/>
      <c r="BA115" s="71">
        <v>44371</v>
      </c>
      <c r="BB115" s="71">
        <v>44375</v>
      </c>
      <c r="BC115" s="71"/>
      <c r="BD115" s="71"/>
      <c r="BE115" s="71">
        <v>44371</v>
      </c>
      <c r="BF115" s="71"/>
      <c r="BG115" s="72">
        <v>44179</v>
      </c>
      <c r="BH115" s="71">
        <v>44187</v>
      </c>
      <c r="BI115" s="71">
        <v>44187</v>
      </c>
      <c r="BJ115" s="72">
        <v>44187</v>
      </c>
      <c r="BK115" s="70"/>
      <c r="BL115" s="70"/>
      <c r="BM115" s="70"/>
      <c r="BN115" s="70"/>
      <c r="BO115" s="70"/>
    </row>
    <row r="116" spans="1:67" x14ac:dyDescent="0.4">
      <c r="A116" s="86">
        <v>3920000</v>
      </c>
      <c r="B116" s="74" t="s">
        <v>107</v>
      </c>
      <c r="C116" s="71">
        <v>44390</v>
      </c>
      <c r="D116" s="71">
        <v>44440</v>
      </c>
      <c r="E116" s="71">
        <v>44432</v>
      </c>
      <c r="F116" s="71">
        <v>44432</v>
      </c>
      <c r="G116" s="71">
        <v>44434</v>
      </c>
      <c r="H116" s="71">
        <v>44440</v>
      </c>
      <c r="I116" s="71">
        <v>44377</v>
      </c>
      <c r="J116" s="71">
        <v>44420</v>
      </c>
      <c r="K116" s="71">
        <v>44349</v>
      </c>
      <c r="L116" s="71">
        <v>44377</v>
      </c>
      <c r="M116" s="71">
        <v>44432</v>
      </c>
      <c r="N116" s="71">
        <v>44440</v>
      </c>
      <c r="O116" s="71"/>
      <c r="P116" s="71">
        <v>44440</v>
      </c>
      <c r="Q116" s="71"/>
      <c r="R116" s="71">
        <v>44440</v>
      </c>
      <c r="S116" s="71">
        <v>44441</v>
      </c>
      <c r="T116" s="71"/>
      <c r="U116" s="71">
        <v>44257</v>
      </c>
      <c r="V116" s="71">
        <v>44251</v>
      </c>
      <c r="W116" s="71"/>
      <c r="X116" s="71"/>
      <c r="Y116" s="71"/>
      <c r="Z116" s="71">
        <v>44440</v>
      </c>
      <c r="AA116" s="71">
        <v>44399</v>
      </c>
      <c r="AB116" s="71">
        <v>44166</v>
      </c>
      <c r="AC116" s="71">
        <v>44440</v>
      </c>
      <c r="AD116" s="71">
        <v>44377</v>
      </c>
      <c r="AE116" s="71">
        <v>44441</v>
      </c>
      <c r="AF116" s="71">
        <v>44377</v>
      </c>
      <c r="AG116" s="71"/>
      <c r="AH116" s="71">
        <v>44434</v>
      </c>
      <c r="AI116" s="71"/>
      <c r="AJ116" s="71">
        <v>44377</v>
      </c>
      <c r="AK116" s="71"/>
      <c r="AL116" s="71"/>
      <c r="AM116" s="71"/>
      <c r="AN116" s="71"/>
      <c r="AO116" s="71"/>
      <c r="AP116" s="71">
        <v>44491</v>
      </c>
      <c r="AQ116" s="71">
        <v>44287</v>
      </c>
      <c r="AR116" s="71">
        <v>44432</v>
      </c>
      <c r="AS116" s="71">
        <v>44440</v>
      </c>
      <c r="AT116" s="71"/>
      <c r="AU116" s="71">
        <v>44440</v>
      </c>
      <c r="AV116" s="71"/>
      <c r="AW116" s="71">
        <v>44377</v>
      </c>
      <c r="AX116" s="71">
        <v>44377</v>
      </c>
      <c r="AY116" s="71">
        <v>44441</v>
      </c>
      <c r="AZ116" s="71"/>
      <c r="BA116" s="71">
        <v>44432</v>
      </c>
      <c r="BB116" s="71">
        <v>44432</v>
      </c>
      <c r="BC116" s="71"/>
      <c r="BD116" s="71"/>
      <c r="BE116" s="71">
        <v>44470</v>
      </c>
      <c r="BF116" s="71"/>
      <c r="BG116" s="71"/>
      <c r="BH116" s="71"/>
      <c r="BI116" s="71"/>
      <c r="BJ116" s="71"/>
      <c r="BK116" s="70"/>
      <c r="BL116" s="70"/>
      <c r="BM116" s="70"/>
      <c r="BN116" s="70"/>
      <c r="BO116" s="70"/>
    </row>
    <row r="117" spans="1:67" x14ac:dyDescent="0.4">
      <c r="A117" s="86">
        <v>3970000</v>
      </c>
      <c r="B117" s="74" t="s">
        <v>108</v>
      </c>
      <c r="C117" s="71">
        <v>44404</v>
      </c>
      <c r="D117" s="71">
        <v>44406</v>
      </c>
      <c r="E117" s="71">
        <v>44406</v>
      </c>
      <c r="F117" s="71">
        <v>44494</v>
      </c>
      <c r="G117" s="71">
        <v>44494</v>
      </c>
      <c r="H117" s="71">
        <v>44406</v>
      </c>
      <c r="I117" s="71">
        <v>44399</v>
      </c>
      <c r="J117" s="71">
        <v>44481</v>
      </c>
      <c r="K117" s="71"/>
      <c r="L117" s="71"/>
      <c r="M117" s="71">
        <v>44494</v>
      </c>
      <c r="N117" s="71">
        <v>44399</v>
      </c>
      <c r="O117" s="71">
        <v>44404</v>
      </c>
      <c r="P117" s="71">
        <v>44400</v>
      </c>
      <c r="Q117" s="71"/>
      <c r="R117" s="71"/>
      <c r="S117" s="71">
        <v>44406</v>
      </c>
      <c r="T117" s="71"/>
      <c r="U117" s="71">
        <v>44410</v>
      </c>
      <c r="V117" s="71">
        <v>44410</v>
      </c>
      <c r="W117" s="71">
        <v>44404</v>
      </c>
      <c r="X117" s="71">
        <v>44404</v>
      </c>
      <c r="Y117" s="71"/>
      <c r="Z117" s="71">
        <v>44406</v>
      </c>
      <c r="AA117" s="71"/>
      <c r="AB117" s="71">
        <v>44413</v>
      </c>
      <c r="AC117" s="71">
        <v>44413</v>
      </c>
      <c r="AD117" s="71"/>
      <c r="AE117" s="71">
        <v>44406</v>
      </c>
      <c r="AF117" s="71"/>
      <c r="AG117" s="71"/>
      <c r="AH117" s="71">
        <v>44404</v>
      </c>
      <c r="AI117" s="71"/>
      <c r="AJ117" s="71">
        <v>44406</v>
      </c>
      <c r="AK117" s="71"/>
      <c r="AL117" s="71"/>
      <c r="AM117" s="71"/>
      <c r="AN117" s="71"/>
      <c r="AO117" s="71">
        <v>44404</v>
      </c>
      <c r="AP117" s="71"/>
      <c r="AQ117" s="71"/>
      <c r="AR117" s="71">
        <v>44418</v>
      </c>
      <c r="AS117" s="71"/>
      <c r="AT117" s="71"/>
      <c r="AU117" s="71">
        <v>44406</v>
      </c>
      <c r="AV117" s="71"/>
      <c r="AW117" s="71">
        <v>44406</v>
      </c>
      <c r="AX117" s="71"/>
      <c r="AY117" s="71">
        <v>44417</v>
      </c>
      <c r="AZ117" s="71"/>
      <c r="BA117" s="71"/>
      <c r="BB117" s="71">
        <v>44410</v>
      </c>
      <c r="BC117" s="71">
        <v>44413</v>
      </c>
      <c r="BD117" s="71">
        <v>44406</v>
      </c>
      <c r="BE117" s="71">
        <v>44406</v>
      </c>
      <c r="BF117" s="71"/>
      <c r="BG117" s="71">
        <v>44404</v>
      </c>
      <c r="BH117" s="71"/>
      <c r="BI117" s="71"/>
      <c r="BJ117" s="71"/>
      <c r="BK117" s="70"/>
      <c r="BL117" s="70"/>
      <c r="BM117" s="70"/>
      <c r="BN117" s="70"/>
      <c r="BO117" s="70"/>
    </row>
    <row r="118" spans="1:67" x14ac:dyDescent="0.4">
      <c r="A118" s="86">
        <v>4160000</v>
      </c>
      <c r="B118" s="74" t="s">
        <v>109</v>
      </c>
      <c r="C118" s="71">
        <v>44445</v>
      </c>
      <c r="D118" s="71">
        <v>44467</v>
      </c>
      <c r="E118" s="71">
        <v>44445</v>
      </c>
      <c r="F118" s="71">
        <v>44445</v>
      </c>
      <c r="G118" s="71"/>
      <c r="H118" s="71">
        <v>44453</v>
      </c>
      <c r="I118" s="71">
        <v>44453</v>
      </c>
      <c r="J118" s="71">
        <v>44445</v>
      </c>
      <c r="K118" s="71">
        <v>44445</v>
      </c>
      <c r="L118" s="71">
        <v>44453</v>
      </c>
      <c r="M118" s="71">
        <v>44445</v>
      </c>
      <c r="N118" s="71">
        <v>44482</v>
      </c>
      <c r="O118" s="71"/>
      <c r="P118" s="71">
        <v>44453</v>
      </c>
      <c r="Q118" s="71">
        <v>44445</v>
      </c>
      <c r="R118" s="71"/>
      <c r="S118" s="71">
        <v>44453</v>
      </c>
      <c r="T118" s="71">
        <v>44445</v>
      </c>
      <c r="U118" s="71">
        <v>44445</v>
      </c>
      <c r="V118" s="71">
        <v>44488</v>
      </c>
      <c r="W118" s="71"/>
      <c r="X118" s="71"/>
      <c r="Y118" s="71"/>
      <c r="Z118" s="71">
        <v>44445</v>
      </c>
      <c r="AA118" s="71">
        <v>44445</v>
      </c>
      <c r="AB118" s="71">
        <v>44445</v>
      </c>
      <c r="AC118" s="71">
        <v>44445</v>
      </c>
      <c r="AD118" s="71"/>
      <c r="AE118" s="71">
        <v>44453</v>
      </c>
      <c r="AF118" s="71"/>
      <c r="AG118" s="71"/>
      <c r="AH118" s="71">
        <v>44445</v>
      </c>
      <c r="AI118" s="71">
        <v>44445</v>
      </c>
      <c r="AJ118" s="71">
        <v>44445</v>
      </c>
      <c r="AK118" s="71"/>
      <c r="AL118" s="71"/>
      <c r="AM118" s="71">
        <v>44445</v>
      </c>
      <c r="AN118" s="71"/>
      <c r="AO118" s="71"/>
      <c r="AP118" s="71"/>
      <c r="AQ118" s="71"/>
      <c r="AR118" s="71"/>
      <c r="AS118" s="71"/>
      <c r="AT118" s="71"/>
      <c r="AU118" s="71">
        <v>44445</v>
      </c>
      <c r="AV118" s="71">
        <v>44445</v>
      </c>
      <c r="AW118" s="71">
        <v>44445</v>
      </c>
      <c r="AX118" s="71"/>
      <c r="AY118" s="71"/>
      <c r="AZ118" s="71">
        <v>44445</v>
      </c>
      <c r="BA118" s="71">
        <v>44445</v>
      </c>
      <c r="BB118" s="71">
        <v>44445</v>
      </c>
      <c r="BC118" s="71"/>
      <c r="BD118" s="71"/>
      <c r="BE118" s="71"/>
      <c r="BF118" s="71"/>
      <c r="BG118" s="71">
        <v>44445</v>
      </c>
      <c r="BH118" s="71"/>
      <c r="BI118" s="71"/>
      <c r="BJ118" s="71"/>
      <c r="BK118" s="70"/>
      <c r="BL118" s="70"/>
      <c r="BM118" s="70"/>
      <c r="BN118" s="70"/>
      <c r="BO118" s="70"/>
    </row>
    <row r="119" spans="1:67" x14ac:dyDescent="0.4">
      <c r="A119" s="86">
        <v>4140000</v>
      </c>
      <c r="B119" s="74" t="s">
        <v>114</v>
      </c>
      <c r="C119" s="72">
        <v>44220</v>
      </c>
      <c r="D119" s="71">
        <v>44494</v>
      </c>
      <c r="E119" s="72">
        <v>44218</v>
      </c>
      <c r="F119" s="71">
        <v>44453</v>
      </c>
      <c r="G119" s="71">
        <v>44494</v>
      </c>
      <c r="H119" s="71"/>
      <c r="I119" s="71">
        <v>44494</v>
      </c>
      <c r="J119" s="71">
        <v>44494</v>
      </c>
      <c r="K119" s="71">
        <v>44494</v>
      </c>
      <c r="L119" s="71">
        <v>44504</v>
      </c>
      <c r="M119" s="72">
        <v>44218</v>
      </c>
      <c r="N119" s="71">
        <v>44497</v>
      </c>
      <c r="O119" s="71"/>
      <c r="P119" s="71">
        <v>44475</v>
      </c>
      <c r="Q119" s="71">
        <v>44468</v>
      </c>
      <c r="R119" s="71"/>
      <c r="S119" s="71"/>
      <c r="T119" s="71">
        <v>44441</v>
      </c>
      <c r="U119" s="71">
        <v>44467</v>
      </c>
      <c r="V119" s="71">
        <v>44468</v>
      </c>
      <c r="W119" s="71"/>
      <c r="X119" s="71"/>
      <c r="Y119" s="71"/>
      <c r="Z119" s="71">
        <v>44218</v>
      </c>
      <c r="AA119" s="71">
        <v>44497</v>
      </c>
      <c r="AB119" s="71">
        <v>44497</v>
      </c>
      <c r="AC119" s="71">
        <v>44504</v>
      </c>
      <c r="AD119" s="71">
        <v>44494</v>
      </c>
      <c r="AE119" s="71">
        <v>44445</v>
      </c>
      <c r="AF119" s="71"/>
      <c r="AG119" s="71"/>
      <c r="AH119" s="72">
        <v>44218</v>
      </c>
      <c r="AI119" s="71"/>
      <c r="AJ119" s="71">
        <v>44453</v>
      </c>
      <c r="AK119" s="71"/>
      <c r="AL119" s="71"/>
      <c r="AM119" s="71"/>
      <c r="AN119" s="71"/>
      <c r="AO119" s="71"/>
      <c r="AP119" s="71"/>
      <c r="AQ119" s="71">
        <v>44441</v>
      </c>
      <c r="AR119" s="72">
        <v>44218</v>
      </c>
      <c r="AS119" s="71"/>
      <c r="AT119" s="71"/>
      <c r="AU119" s="72">
        <v>44218</v>
      </c>
      <c r="AV119" s="71"/>
      <c r="AW119" s="71">
        <v>44441</v>
      </c>
      <c r="AX119" s="71">
        <v>44495</v>
      </c>
      <c r="AY119" s="71">
        <v>44494</v>
      </c>
      <c r="AZ119" s="71"/>
      <c r="BA119" s="71">
        <v>44494</v>
      </c>
      <c r="BB119" s="71">
        <v>44494</v>
      </c>
      <c r="BC119" s="71"/>
      <c r="BD119" s="71"/>
      <c r="BE119" s="71">
        <v>44453</v>
      </c>
      <c r="BF119" s="71">
        <v>44218</v>
      </c>
      <c r="BG119" s="71"/>
      <c r="BH119" s="71"/>
      <c r="BI119" s="71"/>
      <c r="BJ119" s="71"/>
      <c r="BK119" s="70"/>
      <c r="BL119" s="70"/>
      <c r="BM119" s="70"/>
      <c r="BN119" s="70"/>
      <c r="BO119" s="70"/>
    </row>
    <row r="120" spans="1:67" x14ac:dyDescent="0.4">
      <c r="A120" s="86">
        <v>6420000</v>
      </c>
      <c r="B120" s="74" t="s">
        <v>115</v>
      </c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71"/>
      <c r="AR120" s="71"/>
      <c r="AS120" s="71"/>
      <c r="AT120" s="71"/>
      <c r="AU120" s="71"/>
      <c r="AV120" s="71"/>
      <c r="AW120" s="71"/>
      <c r="AX120" s="71"/>
      <c r="AY120" s="71"/>
      <c r="AZ120" s="71"/>
      <c r="BA120" s="71"/>
      <c r="BB120" s="71"/>
      <c r="BC120" s="71"/>
      <c r="BD120" s="71"/>
      <c r="BE120" s="71"/>
      <c r="BF120" s="71"/>
      <c r="BG120" s="71"/>
      <c r="BH120" s="71"/>
      <c r="BI120" s="71"/>
      <c r="BJ120" s="71">
        <v>44462</v>
      </c>
      <c r="BK120" s="70"/>
      <c r="BL120" s="70"/>
      <c r="BM120" s="70"/>
      <c r="BN120" s="70"/>
      <c r="BO120" s="70"/>
    </row>
    <row r="121" spans="1:67" x14ac:dyDescent="0.4">
      <c r="A121" s="86">
        <v>4180000</v>
      </c>
      <c r="B121" s="74" t="s">
        <v>126</v>
      </c>
      <c r="C121" s="71">
        <v>44455</v>
      </c>
      <c r="D121" s="71">
        <v>44176</v>
      </c>
      <c r="E121" s="71">
        <v>44453</v>
      </c>
      <c r="F121" s="71">
        <v>44489</v>
      </c>
      <c r="G121" s="71">
        <v>44489</v>
      </c>
      <c r="H121" s="71">
        <v>44186</v>
      </c>
      <c r="I121" s="71">
        <v>44449</v>
      </c>
      <c r="J121" s="71">
        <v>44455</v>
      </c>
      <c r="K121" s="72">
        <v>44186</v>
      </c>
      <c r="L121" s="71">
        <v>44455</v>
      </c>
      <c r="M121" s="71">
        <v>44452</v>
      </c>
      <c r="N121" s="71">
        <v>44186</v>
      </c>
      <c r="O121" s="71"/>
      <c r="P121" s="71">
        <v>44487</v>
      </c>
      <c r="Q121" s="71">
        <v>44455</v>
      </c>
      <c r="R121" s="71"/>
      <c r="S121" s="71">
        <v>44182</v>
      </c>
      <c r="T121" s="71">
        <v>44183</v>
      </c>
      <c r="U121" s="71">
        <v>44182</v>
      </c>
      <c r="V121" s="71">
        <v>44182</v>
      </c>
      <c r="W121" s="71"/>
      <c r="X121" s="71">
        <v>44182</v>
      </c>
      <c r="Y121" s="71"/>
      <c r="Z121" s="72">
        <v>44020</v>
      </c>
      <c r="AA121" s="71">
        <v>44182</v>
      </c>
      <c r="AB121" s="71">
        <v>44176</v>
      </c>
      <c r="AC121" s="71">
        <v>44182</v>
      </c>
      <c r="AD121" s="71">
        <v>44181</v>
      </c>
      <c r="AE121" s="71">
        <v>44181</v>
      </c>
      <c r="AF121" s="71"/>
      <c r="AG121" s="71">
        <v>44489</v>
      </c>
      <c r="AH121" s="71">
        <v>44455</v>
      </c>
      <c r="AI121" s="71">
        <v>44179</v>
      </c>
      <c r="AJ121" s="71">
        <v>44179</v>
      </c>
      <c r="AK121" s="71">
        <v>44186</v>
      </c>
      <c r="AL121" s="71"/>
      <c r="AM121" s="71">
        <v>44455</v>
      </c>
      <c r="AN121" s="71"/>
      <c r="AO121" s="71"/>
      <c r="AP121" s="71"/>
      <c r="AQ121" s="71">
        <v>44462</v>
      </c>
      <c r="AR121" s="71"/>
      <c r="AS121" s="71"/>
      <c r="AT121" s="71"/>
      <c r="AU121" s="72">
        <v>44021</v>
      </c>
      <c r="AV121" s="71">
        <v>44182</v>
      </c>
      <c r="AW121" s="71">
        <v>44181</v>
      </c>
      <c r="AX121" s="71">
        <v>44452</v>
      </c>
      <c r="AY121" s="71">
        <v>44453</v>
      </c>
      <c r="AZ121" s="71"/>
      <c r="BA121" s="71">
        <v>44453</v>
      </c>
      <c r="BB121" s="71">
        <v>44455</v>
      </c>
      <c r="BC121" s="71"/>
      <c r="BD121" s="71"/>
      <c r="BE121" s="71">
        <v>44488</v>
      </c>
      <c r="BF121" s="71"/>
      <c r="BG121" s="72">
        <v>44021</v>
      </c>
      <c r="BH121" s="71">
        <v>44482</v>
      </c>
      <c r="BI121" s="71"/>
      <c r="BJ121" s="71"/>
      <c r="BK121" s="70"/>
      <c r="BL121" s="70"/>
      <c r="BM121" s="70"/>
      <c r="BN121" s="70"/>
      <c r="BO121" s="70"/>
    </row>
    <row r="122" spans="1:67" x14ac:dyDescent="0.4">
      <c r="A122" s="86">
        <v>4190000</v>
      </c>
      <c r="B122" s="74" t="s">
        <v>122</v>
      </c>
      <c r="C122" s="71">
        <v>44385</v>
      </c>
      <c r="D122" s="71">
        <v>44498</v>
      </c>
      <c r="E122" s="71">
        <v>44498</v>
      </c>
      <c r="F122" s="71">
        <v>44498</v>
      </c>
      <c r="G122" s="71">
        <v>44441</v>
      </c>
      <c r="H122" s="71">
        <v>44477</v>
      </c>
      <c r="I122" s="71">
        <v>44385</v>
      </c>
      <c r="J122" s="71">
        <v>44454</v>
      </c>
      <c r="K122" s="71">
        <v>44336</v>
      </c>
      <c r="L122" s="71">
        <v>44327</v>
      </c>
      <c r="M122" s="71">
        <v>44477</v>
      </c>
      <c r="N122" s="71">
        <v>44498</v>
      </c>
      <c r="O122" s="71"/>
      <c r="P122" s="71">
        <v>44475</v>
      </c>
      <c r="Q122" s="71">
        <v>44498</v>
      </c>
      <c r="R122" s="71">
        <v>44440</v>
      </c>
      <c r="S122" s="71">
        <v>44477</v>
      </c>
      <c r="T122" s="71">
        <v>44498</v>
      </c>
      <c r="U122" s="71">
        <v>44475</v>
      </c>
      <c r="V122" s="71"/>
      <c r="W122" s="71"/>
      <c r="X122" s="71">
        <v>44475</v>
      </c>
      <c r="Y122" s="71"/>
      <c r="Z122" s="71">
        <v>44439</v>
      </c>
      <c r="AA122" s="71">
        <v>44412</v>
      </c>
      <c r="AB122" s="71">
        <v>44498</v>
      </c>
      <c r="AC122" s="71">
        <v>44498</v>
      </c>
      <c r="AD122" s="71">
        <v>44498</v>
      </c>
      <c r="AE122" s="71">
        <v>44475</v>
      </c>
      <c r="AF122" s="71"/>
      <c r="AG122" s="71">
        <v>44502</v>
      </c>
      <c r="AH122" s="71">
        <v>44498</v>
      </c>
      <c r="AI122" s="71">
        <v>44380</v>
      </c>
      <c r="AJ122" s="71">
        <v>44380</v>
      </c>
      <c r="AK122" s="71">
        <v>44426</v>
      </c>
      <c r="AL122" s="71">
        <v>44498</v>
      </c>
      <c r="AM122" s="71">
        <v>44498</v>
      </c>
      <c r="AN122" s="71"/>
      <c r="AO122" s="71"/>
      <c r="AP122" s="71"/>
      <c r="AQ122" s="71"/>
      <c r="AR122" s="71"/>
      <c r="AS122" s="71"/>
      <c r="AT122" s="71"/>
      <c r="AU122" s="71">
        <v>44404</v>
      </c>
      <c r="AV122" s="71"/>
      <c r="AW122" s="71">
        <v>44475</v>
      </c>
      <c r="AX122" s="71">
        <v>44336</v>
      </c>
      <c r="AY122" s="71">
        <v>44498</v>
      </c>
      <c r="AZ122" s="71"/>
      <c r="BA122" s="71">
        <v>44385</v>
      </c>
      <c r="BB122" s="71">
        <v>44498</v>
      </c>
      <c r="BC122" s="71"/>
      <c r="BD122" s="71"/>
      <c r="BE122" s="71"/>
      <c r="BF122" s="71"/>
      <c r="BG122" s="71"/>
      <c r="BH122" s="71"/>
      <c r="BI122" s="71"/>
      <c r="BJ122" s="71"/>
      <c r="BK122" s="70"/>
      <c r="BL122" s="70"/>
      <c r="BM122" s="70"/>
      <c r="BN122" s="70"/>
      <c r="BO122" s="70"/>
    </row>
    <row r="123" spans="1:67" x14ac:dyDescent="0.4">
      <c r="A123" s="86">
        <v>4200000</v>
      </c>
      <c r="B123" s="74" t="s">
        <v>116</v>
      </c>
      <c r="C123" s="71">
        <v>44449</v>
      </c>
      <c r="D123" s="71">
        <v>44369</v>
      </c>
      <c r="E123" s="71">
        <v>44470</v>
      </c>
      <c r="F123" s="71">
        <v>44470</v>
      </c>
      <c r="G123" s="71">
        <v>44453</v>
      </c>
      <c r="H123" s="71">
        <v>44501</v>
      </c>
      <c r="I123" s="71">
        <v>44264</v>
      </c>
      <c r="J123" s="71">
        <v>44439</v>
      </c>
      <c r="K123" s="71">
        <v>44433</v>
      </c>
      <c r="L123" s="71">
        <v>44263</v>
      </c>
      <c r="M123" s="71">
        <v>44447</v>
      </c>
      <c r="N123" s="71">
        <v>44169</v>
      </c>
      <c r="O123" s="71">
        <v>44264</v>
      </c>
      <c r="P123" s="71">
        <v>44376</v>
      </c>
      <c r="Q123" s="71">
        <v>44362</v>
      </c>
      <c r="R123" s="71">
        <v>44264</v>
      </c>
      <c r="S123" s="71">
        <v>44264</v>
      </c>
      <c r="T123" s="71">
        <v>44309</v>
      </c>
      <c r="U123" s="71">
        <v>44502</v>
      </c>
      <c r="V123" s="71">
        <v>44354</v>
      </c>
      <c r="W123" s="71"/>
      <c r="X123" s="71"/>
      <c r="Y123" s="71"/>
      <c r="Z123" s="71">
        <v>44190</v>
      </c>
      <c r="AA123" s="71">
        <v>44263</v>
      </c>
      <c r="AB123" s="71">
        <v>44264</v>
      </c>
      <c r="AC123" s="71">
        <v>44265</v>
      </c>
      <c r="AD123" s="71">
        <v>44466</v>
      </c>
      <c r="AE123" s="71"/>
      <c r="AF123" s="71"/>
      <c r="AG123" s="71">
        <v>44504</v>
      </c>
      <c r="AH123" s="71">
        <v>44482</v>
      </c>
      <c r="AI123" s="71">
        <v>44190</v>
      </c>
      <c r="AJ123" s="71">
        <v>44190</v>
      </c>
      <c r="AK123" s="71"/>
      <c r="AL123" s="71"/>
      <c r="AM123" s="71"/>
      <c r="AN123" s="71"/>
      <c r="AO123" s="71"/>
      <c r="AP123" s="71">
        <v>44328</v>
      </c>
      <c r="AQ123" s="71"/>
      <c r="AR123" s="71">
        <v>44504</v>
      </c>
      <c r="AS123" s="71"/>
      <c r="AT123" s="71"/>
      <c r="AU123" s="71">
        <v>44502</v>
      </c>
      <c r="AV123" s="71">
        <v>44489</v>
      </c>
      <c r="AW123" s="71">
        <v>44502</v>
      </c>
      <c r="AX123" s="71"/>
      <c r="AY123" s="71">
        <v>44489</v>
      </c>
      <c r="AZ123" s="71"/>
      <c r="BA123" s="71">
        <v>44454</v>
      </c>
      <c r="BB123" s="71">
        <v>44441</v>
      </c>
      <c r="BC123" s="71"/>
      <c r="BD123" s="71"/>
      <c r="BE123" s="71"/>
      <c r="BF123" s="71"/>
      <c r="BG123" s="71">
        <v>44504</v>
      </c>
      <c r="BH123" s="71"/>
      <c r="BI123" s="71"/>
      <c r="BJ123" s="71"/>
      <c r="BK123" s="70"/>
      <c r="BL123" s="70"/>
      <c r="BM123" s="70"/>
      <c r="BN123" s="70"/>
      <c r="BO123" s="70"/>
    </row>
    <row r="124" spans="1:67" x14ac:dyDescent="0.4">
      <c r="A124" s="86">
        <v>4210000</v>
      </c>
      <c r="B124" s="74" t="s">
        <v>118</v>
      </c>
      <c r="C124" s="71">
        <v>44481</v>
      </c>
      <c r="D124" s="71">
        <v>44488</v>
      </c>
      <c r="E124" s="71">
        <v>44495</v>
      </c>
      <c r="F124" s="71">
        <v>44483</v>
      </c>
      <c r="G124" s="71">
        <v>44483</v>
      </c>
      <c r="H124" s="71">
        <v>44298</v>
      </c>
      <c r="I124" s="71">
        <v>44474</v>
      </c>
      <c r="J124" s="71">
        <v>44481</v>
      </c>
      <c r="K124" s="71"/>
      <c r="L124" s="71">
        <v>44490</v>
      </c>
      <c r="M124" s="71">
        <v>44483</v>
      </c>
      <c r="N124" s="71">
        <v>44299</v>
      </c>
      <c r="O124" s="71"/>
      <c r="P124" s="71">
        <v>44490</v>
      </c>
      <c r="Q124" s="71">
        <v>44490</v>
      </c>
      <c r="R124" s="71">
        <v>44490</v>
      </c>
      <c r="S124" s="71">
        <v>44483</v>
      </c>
      <c r="T124" s="71">
        <v>44487</v>
      </c>
      <c r="U124" s="71">
        <v>44300</v>
      </c>
      <c r="V124" s="71">
        <v>44300</v>
      </c>
      <c r="W124" s="71"/>
      <c r="X124" s="71"/>
      <c r="Y124" s="71">
        <v>44494</v>
      </c>
      <c r="Z124" s="71">
        <v>44482</v>
      </c>
      <c r="AA124" s="71">
        <v>44477</v>
      </c>
      <c r="AB124" s="71">
        <v>44481</v>
      </c>
      <c r="AC124" s="71">
        <v>44491</v>
      </c>
      <c r="AD124" s="71">
        <v>44193</v>
      </c>
      <c r="AE124" s="71">
        <v>44483</v>
      </c>
      <c r="AF124" s="71"/>
      <c r="AG124" s="71">
        <v>44495</v>
      </c>
      <c r="AH124" s="71">
        <v>44369</v>
      </c>
      <c r="AI124" s="71">
        <v>44482</v>
      </c>
      <c r="AJ124" s="71">
        <v>44482</v>
      </c>
      <c r="AK124" s="71"/>
      <c r="AL124" s="71"/>
      <c r="AM124" s="71"/>
      <c r="AN124" s="71"/>
      <c r="AO124" s="71"/>
      <c r="AP124" s="71">
        <v>44469</v>
      </c>
      <c r="AQ124" s="71"/>
      <c r="AR124" s="71">
        <v>44362</v>
      </c>
      <c r="AS124" s="71">
        <v>44362</v>
      </c>
      <c r="AT124" s="71"/>
      <c r="AU124" s="71">
        <v>44494</v>
      </c>
      <c r="AV124" s="71"/>
      <c r="AW124" s="71">
        <v>44495</v>
      </c>
      <c r="AX124" s="71">
        <v>44481</v>
      </c>
      <c r="AY124" s="71">
        <v>44362</v>
      </c>
      <c r="AZ124" s="71"/>
      <c r="BA124" s="71">
        <v>44495</v>
      </c>
      <c r="BB124" s="71">
        <v>44490</v>
      </c>
      <c r="BC124" s="71"/>
      <c r="BD124" s="71"/>
      <c r="BE124" s="71">
        <v>44362</v>
      </c>
      <c r="BF124" s="71"/>
      <c r="BG124" s="71">
        <v>44362</v>
      </c>
      <c r="BH124" s="71">
        <v>44193</v>
      </c>
      <c r="BI124" s="71">
        <v>44193</v>
      </c>
      <c r="BJ124" s="71"/>
      <c r="BK124" s="70"/>
      <c r="BL124" s="70"/>
      <c r="BM124" s="70"/>
      <c r="BN124" s="70"/>
      <c r="BO124" s="70"/>
    </row>
    <row r="125" spans="1:67" x14ac:dyDescent="0.4">
      <c r="A125" s="86">
        <v>4220000</v>
      </c>
      <c r="B125" s="74" t="s">
        <v>129</v>
      </c>
      <c r="C125" s="71">
        <v>44494</v>
      </c>
      <c r="D125" s="71">
        <v>44493</v>
      </c>
      <c r="E125" s="71">
        <v>44491</v>
      </c>
      <c r="F125" s="71">
        <v>44490</v>
      </c>
      <c r="G125" s="71">
        <v>44493</v>
      </c>
      <c r="H125" s="71">
        <v>44413</v>
      </c>
      <c r="I125" s="71">
        <v>44491</v>
      </c>
      <c r="J125" s="71">
        <v>44491</v>
      </c>
      <c r="K125" s="71">
        <v>44493</v>
      </c>
      <c r="L125" s="71">
        <v>44490</v>
      </c>
      <c r="M125" s="71"/>
      <c r="N125" s="71">
        <v>44412</v>
      </c>
      <c r="O125" s="71"/>
      <c r="P125" s="71">
        <v>44412</v>
      </c>
      <c r="Q125" s="71">
        <v>44490</v>
      </c>
      <c r="R125" s="71"/>
      <c r="S125" s="71">
        <v>44494</v>
      </c>
      <c r="T125" s="71">
        <v>44494</v>
      </c>
      <c r="U125" s="71">
        <v>44494</v>
      </c>
      <c r="V125" s="71">
        <v>44494</v>
      </c>
      <c r="W125" s="71"/>
      <c r="X125" s="71">
        <v>44494</v>
      </c>
      <c r="Y125" s="71">
        <v>44495</v>
      </c>
      <c r="Z125" s="71">
        <v>44494</v>
      </c>
      <c r="AA125" s="71">
        <v>44410</v>
      </c>
      <c r="AB125" s="71">
        <v>44407</v>
      </c>
      <c r="AC125" s="71">
        <v>44490</v>
      </c>
      <c r="AD125" s="71"/>
      <c r="AE125" s="71"/>
      <c r="AF125" s="71"/>
      <c r="AG125" s="71">
        <v>44491</v>
      </c>
      <c r="AH125" s="72">
        <v>44295</v>
      </c>
      <c r="AI125" s="71">
        <v>44494</v>
      </c>
      <c r="AJ125" s="71">
        <v>44494</v>
      </c>
      <c r="AK125" s="71"/>
      <c r="AL125" s="71"/>
      <c r="AM125" s="71">
        <v>44488</v>
      </c>
      <c r="AN125" s="71"/>
      <c r="AO125" s="71"/>
      <c r="AP125" s="71">
        <v>44494</v>
      </c>
      <c r="AQ125" s="71">
        <v>44406</v>
      </c>
      <c r="AR125" s="71">
        <v>44494</v>
      </c>
      <c r="AS125" s="71">
        <v>44494</v>
      </c>
      <c r="AT125" s="71"/>
      <c r="AU125" s="71">
        <v>44483</v>
      </c>
      <c r="AV125" s="71"/>
      <c r="AW125" s="71">
        <v>44405</v>
      </c>
      <c r="AX125" s="71"/>
      <c r="AY125" s="71"/>
      <c r="AZ125" s="71"/>
      <c r="BA125" s="71"/>
      <c r="BB125" s="71">
        <v>44490</v>
      </c>
      <c r="BC125" s="71"/>
      <c r="BD125" s="71"/>
      <c r="BE125" s="71"/>
      <c r="BF125" s="71"/>
      <c r="BG125" s="71">
        <v>44483</v>
      </c>
      <c r="BH125" s="71">
        <v>44495</v>
      </c>
      <c r="BI125" s="71"/>
      <c r="BJ125" s="71"/>
      <c r="BK125" s="70"/>
      <c r="BL125" s="70"/>
      <c r="BM125" s="70"/>
      <c r="BN125" s="70"/>
      <c r="BO125" s="70"/>
    </row>
    <row r="126" spans="1:67" x14ac:dyDescent="0.4">
      <c r="A126" s="86">
        <v>4230000</v>
      </c>
      <c r="B126" s="74" t="s">
        <v>130</v>
      </c>
      <c r="C126" s="72">
        <v>44027</v>
      </c>
      <c r="D126" s="72">
        <v>44027</v>
      </c>
      <c r="E126" s="72">
        <v>44174</v>
      </c>
      <c r="F126" s="71"/>
      <c r="G126" s="71"/>
      <c r="H126" s="71">
        <v>44139</v>
      </c>
      <c r="I126" s="72">
        <v>44027</v>
      </c>
      <c r="J126" s="71"/>
      <c r="K126" s="71"/>
      <c r="L126" s="72">
        <v>43984</v>
      </c>
      <c r="M126" s="71"/>
      <c r="N126" s="71">
        <v>44425</v>
      </c>
      <c r="O126" s="71"/>
      <c r="P126" s="72">
        <v>44134</v>
      </c>
      <c r="Q126" s="71"/>
      <c r="R126" s="71"/>
      <c r="S126" s="72">
        <v>44133</v>
      </c>
      <c r="T126" s="71"/>
      <c r="U126" s="71"/>
      <c r="V126" s="71">
        <v>44406</v>
      </c>
      <c r="W126" s="71"/>
      <c r="X126" s="71"/>
      <c r="Y126" s="71"/>
      <c r="Z126" s="71"/>
      <c r="AA126" s="71"/>
      <c r="AB126" s="72">
        <v>44127</v>
      </c>
      <c r="AC126" s="72">
        <v>44027</v>
      </c>
      <c r="AD126" s="71"/>
      <c r="AE126" s="71"/>
      <c r="AF126" s="71"/>
      <c r="AG126" s="71"/>
      <c r="AH126" s="71"/>
      <c r="AI126" s="71"/>
      <c r="AJ126" s="72">
        <v>44133</v>
      </c>
      <c r="AK126" s="71"/>
      <c r="AL126" s="71"/>
      <c r="AM126" s="71"/>
      <c r="AN126" s="71"/>
      <c r="AO126" s="71"/>
      <c r="AP126" s="71"/>
      <c r="AQ126" s="71"/>
      <c r="AR126" s="71"/>
      <c r="AS126" s="71"/>
      <c r="AT126" s="71"/>
      <c r="AU126" s="71"/>
      <c r="AV126" s="71"/>
      <c r="AW126" s="71"/>
      <c r="AX126" s="71"/>
      <c r="AY126" s="72">
        <v>43984</v>
      </c>
      <c r="AZ126" s="72">
        <v>44138</v>
      </c>
      <c r="BA126" s="72">
        <v>44125</v>
      </c>
      <c r="BB126" s="72">
        <v>44176</v>
      </c>
      <c r="BC126" s="72">
        <v>44137</v>
      </c>
      <c r="BD126" s="71"/>
      <c r="BE126" s="71"/>
      <c r="BF126" s="71"/>
      <c r="BG126" s="71"/>
      <c r="BH126" s="71"/>
      <c r="BI126" s="71"/>
      <c r="BJ126" s="71"/>
      <c r="BK126" s="70"/>
      <c r="BL126" s="70"/>
      <c r="BM126" s="70"/>
      <c r="BN126" s="70"/>
      <c r="BO126" s="70"/>
    </row>
    <row r="127" spans="1:67" x14ac:dyDescent="0.4">
      <c r="A127" s="86">
        <v>4240000</v>
      </c>
      <c r="B127" s="74" t="s">
        <v>119</v>
      </c>
      <c r="C127" s="71"/>
      <c r="D127" s="71">
        <v>44391</v>
      </c>
      <c r="E127" s="71">
        <v>44398</v>
      </c>
      <c r="F127" s="71">
        <v>44470</v>
      </c>
      <c r="G127" s="71">
        <v>44475</v>
      </c>
      <c r="H127" s="71">
        <v>44391</v>
      </c>
      <c r="I127" s="71">
        <v>44392</v>
      </c>
      <c r="J127" s="71">
        <v>44469</v>
      </c>
      <c r="K127" s="71">
        <v>44393</v>
      </c>
      <c r="L127" s="71">
        <v>44469</v>
      </c>
      <c r="M127" s="71">
        <v>44462</v>
      </c>
      <c r="N127" s="71">
        <v>44392</v>
      </c>
      <c r="O127" s="71">
        <v>44398</v>
      </c>
      <c r="P127" s="71">
        <v>44391</v>
      </c>
      <c r="Q127" s="71">
        <v>44363</v>
      </c>
      <c r="R127" s="71"/>
      <c r="S127" s="71">
        <v>44384</v>
      </c>
      <c r="T127" s="71">
        <v>44398</v>
      </c>
      <c r="U127" s="71">
        <v>44384</v>
      </c>
      <c r="V127" s="71">
        <v>44398</v>
      </c>
      <c r="W127" s="71"/>
      <c r="X127" s="71"/>
      <c r="Y127" s="71">
        <v>44399</v>
      </c>
      <c r="Z127" s="71"/>
      <c r="AA127" s="71">
        <v>44391</v>
      </c>
      <c r="AB127" s="71">
        <v>44391</v>
      </c>
      <c r="AC127" s="71">
        <v>44396</v>
      </c>
      <c r="AD127" s="71">
        <v>44393</v>
      </c>
      <c r="AE127" s="71"/>
      <c r="AF127" s="71"/>
      <c r="AG127" s="71">
        <v>44397</v>
      </c>
      <c r="AH127" s="71">
        <v>44391</v>
      </c>
      <c r="AI127" s="71"/>
      <c r="AJ127" s="71">
        <v>44391</v>
      </c>
      <c r="AK127" s="71"/>
      <c r="AL127" s="71"/>
      <c r="AM127" s="71">
        <v>44396</v>
      </c>
      <c r="AN127" s="71"/>
      <c r="AO127" s="71"/>
      <c r="AP127" s="71">
        <v>44391</v>
      </c>
      <c r="AQ127" s="71">
        <v>44391</v>
      </c>
      <c r="AR127" s="71"/>
      <c r="AS127" s="71"/>
      <c r="AT127" s="71"/>
      <c r="AU127" s="71">
        <v>44398</v>
      </c>
      <c r="AV127" s="71"/>
      <c r="AW127" s="71"/>
      <c r="AX127" s="71"/>
      <c r="AY127" s="71">
        <v>44391</v>
      </c>
      <c r="AZ127" s="71"/>
      <c r="BA127" s="71">
        <v>44398</v>
      </c>
      <c r="BB127" s="71">
        <v>44391</v>
      </c>
      <c r="BC127" s="71"/>
      <c r="BD127" s="71"/>
      <c r="BE127" s="71"/>
      <c r="BF127" s="71"/>
      <c r="BG127" s="71">
        <v>44391</v>
      </c>
      <c r="BH127" s="71"/>
      <c r="BI127" s="71"/>
      <c r="BJ127" s="71"/>
      <c r="BK127" s="70"/>
      <c r="BL127" s="70"/>
      <c r="BM127" s="70"/>
      <c r="BN127" s="70"/>
      <c r="BO127" s="70"/>
    </row>
    <row r="128" spans="1:67" x14ac:dyDescent="0.4">
      <c r="A128" s="86">
        <v>4250000</v>
      </c>
      <c r="B128" s="74" t="s">
        <v>131</v>
      </c>
      <c r="C128" s="72">
        <v>43805</v>
      </c>
      <c r="D128" s="71">
        <v>44175</v>
      </c>
      <c r="E128" s="72">
        <v>43350</v>
      </c>
      <c r="F128" s="72">
        <v>43370</v>
      </c>
      <c r="G128" s="72">
        <v>42885</v>
      </c>
      <c r="H128" s="72">
        <v>43346</v>
      </c>
      <c r="I128" s="71">
        <v>44175</v>
      </c>
      <c r="J128" s="72">
        <v>43070</v>
      </c>
      <c r="K128" s="72">
        <v>43790</v>
      </c>
      <c r="L128" s="72">
        <v>43375</v>
      </c>
      <c r="M128" s="72">
        <v>43346</v>
      </c>
      <c r="N128" s="72">
        <v>43791</v>
      </c>
      <c r="O128" s="71"/>
      <c r="P128" s="72">
        <v>42793</v>
      </c>
      <c r="Q128" s="71"/>
      <c r="R128" s="71"/>
      <c r="S128" s="72">
        <v>43070</v>
      </c>
      <c r="T128" s="72">
        <v>43790</v>
      </c>
      <c r="U128" s="72">
        <v>43783</v>
      </c>
      <c r="V128" s="72">
        <v>44054</v>
      </c>
      <c r="W128" s="71"/>
      <c r="X128" s="71"/>
      <c r="Y128" s="72">
        <v>43378</v>
      </c>
      <c r="Z128" s="71"/>
      <c r="AA128" s="72">
        <v>43788</v>
      </c>
      <c r="AB128" s="72">
        <v>43578</v>
      </c>
      <c r="AC128" s="72">
        <v>42880</v>
      </c>
      <c r="AD128" s="72">
        <v>43853</v>
      </c>
      <c r="AE128" s="71"/>
      <c r="AF128" s="71"/>
      <c r="AG128" s="71"/>
      <c r="AH128" s="71"/>
      <c r="AI128" s="72">
        <v>43815</v>
      </c>
      <c r="AJ128" s="72">
        <v>43815</v>
      </c>
      <c r="AK128" s="71"/>
      <c r="AL128" s="71"/>
      <c r="AM128" s="71"/>
      <c r="AN128" s="71"/>
      <c r="AO128" s="71"/>
      <c r="AP128" s="71"/>
      <c r="AQ128" s="72">
        <v>43791</v>
      </c>
      <c r="AR128" s="71"/>
      <c r="AS128" s="71"/>
      <c r="AT128" s="71"/>
      <c r="AU128" s="72">
        <v>43381</v>
      </c>
      <c r="AV128" s="71"/>
      <c r="AW128" s="71"/>
      <c r="AX128" s="71"/>
      <c r="AY128" s="71"/>
      <c r="AZ128" s="71"/>
      <c r="BA128" s="71"/>
      <c r="BB128" s="72">
        <v>43829</v>
      </c>
      <c r="BC128" s="71"/>
      <c r="BD128" s="71"/>
      <c r="BE128" s="71"/>
      <c r="BF128" s="71"/>
      <c r="BG128" s="71"/>
      <c r="BH128" s="71"/>
      <c r="BI128" s="71"/>
      <c r="BJ128" s="71"/>
      <c r="BK128" s="70"/>
      <c r="BL128" s="70"/>
      <c r="BM128" s="70"/>
      <c r="BN128" s="70"/>
      <c r="BO128" s="70"/>
    </row>
    <row r="129" spans="1:67" x14ac:dyDescent="0.4">
      <c r="A129" s="86">
        <v>4260000</v>
      </c>
      <c r="B129" s="74" t="s">
        <v>128</v>
      </c>
      <c r="C129" s="71">
        <v>44398</v>
      </c>
      <c r="D129" s="71">
        <v>44188</v>
      </c>
      <c r="E129" s="71">
        <v>44398</v>
      </c>
      <c r="F129" s="71">
        <v>44489</v>
      </c>
      <c r="G129" s="71"/>
      <c r="H129" s="71"/>
      <c r="I129" s="71">
        <v>44223</v>
      </c>
      <c r="J129" s="71">
        <v>44490</v>
      </c>
      <c r="K129" s="71">
        <v>44383</v>
      </c>
      <c r="L129" s="71">
        <v>44403</v>
      </c>
      <c r="M129" s="71">
        <v>44490</v>
      </c>
      <c r="N129" s="71">
        <v>44187</v>
      </c>
      <c r="O129" s="71"/>
      <c r="P129" s="71">
        <v>44188</v>
      </c>
      <c r="Q129" s="71">
        <v>44399</v>
      </c>
      <c r="R129" s="71"/>
      <c r="S129" s="71">
        <v>44188</v>
      </c>
      <c r="T129" s="71">
        <v>44187</v>
      </c>
      <c r="U129" s="71">
        <v>44188</v>
      </c>
      <c r="V129" s="71">
        <v>44188</v>
      </c>
      <c r="W129" s="71"/>
      <c r="X129" s="71"/>
      <c r="Y129" s="71"/>
      <c r="Z129" s="71">
        <v>44188</v>
      </c>
      <c r="AA129" s="71">
        <v>44413</v>
      </c>
      <c r="AB129" s="71">
        <v>44376</v>
      </c>
      <c r="AC129" s="71">
        <v>44399</v>
      </c>
      <c r="AD129" s="71">
        <v>44482</v>
      </c>
      <c r="AE129" s="71"/>
      <c r="AF129" s="71"/>
      <c r="AG129" s="71"/>
      <c r="AH129" s="71"/>
      <c r="AI129" s="71">
        <v>44188</v>
      </c>
      <c r="AJ129" s="71">
        <v>44188</v>
      </c>
      <c r="AK129" s="71"/>
      <c r="AL129" s="71"/>
      <c r="AM129" s="71"/>
      <c r="AN129" s="71"/>
      <c r="AO129" s="71"/>
      <c r="AP129" s="71"/>
      <c r="AQ129" s="71"/>
      <c r="AR129" s="71"/>
      <c r="AS129" s="71"/>
      <c r="AT129" s="71"/>
      <c r="AU129" s="71">
        <v>44398</v>
      </c>
      <c r="AV129" s="71"/>
      <c r="AW129" s="71"/>
      <c r="AX129" s="71">
        <v>44482</v>
      </c>
      <c r="AY129" s="71"/>
      <c r="AZ129" s="71"/>
      <c r="BA129" s="71"/>
      <c r="BB129" s="71"/>
      <c r="BC129" s="71"/>
      <c r="BD129" s="71"/>
      <c r="BE129" s="71"/>
      <c r="BF129" s="71"/>
      <c r="BG129" s="71">
        <v>44398</v>
      </c>
      <c r="BH129" s="71"/>
      <c r="BI129" s="71"/>
      <c r="BJ129" s="71"/>
      <c r="BK129" s="70"/>
      <c r="BL129" s="70"/>
      <c r="BM129" s="70"/>
      <c r="BN129" s="70"/>
      <c r="BO129" s="70"/>
    </row>
    <row r="130" spans="1:67" x14ac:dyDescent="0.4">
      <c r="A130" s="86">
        <v>4270000</v>
      </c>
      <c r="B130" s="74" t="s">
        <v>132</v>
      </c>
      <c r="C130" s="72">
        <v>44166</v>
      </c>
      <c r="D130" s="71">
        <v>44166</v>
      </c>
      <c r="E130" s="72">
        <v>44166</v>
      </c>
      <c r="F130" s="72">
        <v>44166</v>
      </c>
      <c r="G130" s="72">
        <v>44166</v>
      </c>
      <c r="H130" s="71"/>
      <c r="I130" s="71">
        <v>44166</v>
      </c>
      <c r="J130" s="72">
        <v>44166</v>
      </c>
      <c r="K130" s="72">
        <v>44179</v>
      </c>
      <c r="L130" s="71">
        <v>44166</v>
      </c>
      <c r="M130" s="72">
        <v>44166</v>
      </c>
      <c r="N130" s="71">
        <v>44166</v>
      </c>
      <c r="O130" s="71"/>
      <c r="P130" s="71">
        <v>44166</v>
      </c>
      <c r="Q130" s="71"/>
      <c r="R130" s="71"/>
      <c r="S130" s="71">
        <v>44166</v>
      </c>
      <c r="T130" s="71">
        <v>44166</v>
      </c>
      <c r="U130" s="71">
        <v>44166</v>
      </c>
      <c r="V130" s="71">
        <v>44166</v>
      </c>
      <c r="W130" s="71"/>
      <c r="X130" s="71"/>
      <c r="Y130" s="71"/>
      <c r="Z130" s="71"/>
      <c r="AA130" s="71"/>
      <c r="AB130" s="71">
        <v>44166</v>
      </c>
      <c r="AC130" s="71">
        <v>44166</v>
      </c>
      <c r="AD130" s="71"/>
      <c r="AE130" s="71">
        <v>44166</v>
      </c>
      <c r="AF130" s="71"/>
      <c r="AG130" s="71"/>
      <c r="AH130" s="72">
        <v>44166</v>
      </c>
      <c r="AI130" s="71">
        <v>44166</v>
      </c>
      <c r="AJ130" s="71">
        <v>44166</v>
      </c>
      <c r="AK130" s="71"/>
      <c r="AL130" s="71"/>
      <c r="AM130" s="71"/>
      <c r="AN130" s="71"/>
      <c r="AO130" s="71"/>
      <c r="AP130" s="71"/>
      <c r="AQ130" s="71"/>
      <c r="AR130" s="71"/>
      <c r="AS130" s="71"/>
      <c r="AT130" s="71"/>
      <c r="AU130" s="71"/>
      <c r="AV130" s="71"/>
      <c r="AW130" s="72">
        <v>43383</v>
      </c>
      <c r="AX130" s="71"/>
      <c r="AY130" s="72">
        <v>44166</v>
      </c>
      <c r="AZ130" s="71"/>
      <c r="BA130" s="71"/>
      <c r="BB130" s="72">
        <v>44166</v>
      </c>
      <c r="BC130" s="71"/>
      <c r="BD130" s="71"/>
      <c r="BE130" s="71"/>
      <c r="BF130" s="71"/>
      <c r="BG130" s="71"/>
      <c r="BH130" s="71">
        <v>44166</v>
      </c>
      <c r="BI130" s="71"/>
      <c r="BJ130" s="71"/>
      <c r="BK130" s="70"/>
      <c r="BL130" s="70"/>
      <c r="BM130" s="70"/>
      <c r="BN130" s="70"/>
      <c r="BO130" s="70"/>
    </row>
    <row r="131" spans="1:67" x14ac:dyDescent="0.4">
      <c r="A131" s="86">
        <v>4280000</v>
      </c>
      <c r="B131" s="74" t="s">
        <v>127</v>
      </c>
      <c r="C131" s="71">
        <v>44467</v>
      </c>
      <c r="D131" s="71">
        <v>44467</v>
      </c>
      <c r="E131" s="71">
        <v>44467</v>
      </c>
      <c r="F131" s="71">
        <v>44468</v>
      </c>
      <c r="G131" s="71">
        <v>44466</v>
      </c>
      <c r="H131" s="71">
        <v>44470</v>
      </c>
      <c r="I131" s="71">
        <v>44467</v>
      </c>
      <c r="J131" s="71">
        <v>44467</v>
      </c>
      <c r="K131" s="71">
        <v>44466</v>
      </c>
      <c r="L131" s="71">
        <v>44467</v>
      </c>
      <c r="M131" s="71">
        <v>44470</v>
      </c>
      <c r="N131" s="71">
        <v>44468</v>
      </c>
      <c r="O131" s="71"/>
      <c r="P131" s="71">
        <v>44468</v>
      </c>
      <c r="Q131" s="71">
        <v>44466</v>
      </c>
      <c r="R131" s="71"/>
      <c r="S131" s="71">
        <v>44468</v>
      </c>
      <c r="T131" s="71">
        <v>44456</v>
      </c>
      <c r="U131" s="71">
        <v>44468</v>
      </c>
      <c r="V131" s="71">
        <v>44467</v>
      </c>
      <c r="W131" s="71"/>
      <c r="X131" s="71"/>
      <c r="Y131" s="71"/>
      <c r="Z131" s="71"/>
      <c r="AA131" s="71">
        <v>44468</v>
      </c>
      <c r="AB131" s="71">
        <v>44468</v>
      </c>
      <c r="AC131" s="71">
        <v>44469</v>
      </c>
      <c r="AD131" s="71">
        <v>44470</v>
      </c>
      <c r="AE131" s="71">
        <v>44467</v>
      </c>
      <c r="AF131" s="71"/>
      <c r="AG131" s="71"/>
      <c r="AH131" s="71">
        <v>44468</v>
      </c>
      <c r="AI131" s="71"/>
      <c r="AJ131" s="71">
        <v>44469</v>
      </c>
      <c r="AK131" s="71"/>
      <c r="AL131" s="71"/>
      <c r="AM131" s="71">
        <v>44470</v>
      </c>
      <c r="AN131" s="71">
        <v>44469</v>
      </c>
      <c r="AO131" s="71"/>
      <c r="AP131" s="71"/>
      <c r="AQ131" s="71"/>
      <c r="AR131" s="71"/>
      <c r="AS131" s="71">
        <v>44467</v>
      </c>
      <c r="AT131" s="71"/>
      <c r="AU131" s="71">
        <v>44467</v>
      </c>
      <c r="AV131" s="71"/>
      <c r="AW131" s="71">
        <v>44467</v>
      </c>
      <c r="AX131" s="71">
        <v>44469</v>
      </c>
      <c r="AY131" s="71"/>
      <c r="AZ131" s="71"/>
      <c r="BA131" s="71"/>
      <c r="BB131" s="71">
        <v>44466</v>
      </c>
      <c r="BC131" s="71"/>
      <c r="BD131" s="71"/>
      <c r="BE131" s="71"/>
      <c r="BF131" s="71"/>
      <c r="BG131" s="71">
        <v>44468</v>
      </c>
      <c r="BH131" s="71">
        <v>44477</v>
      </c>
      <c r="BI131" s="71"/>
      <c r="BJ131" s="71"/>
      <c r="BK131" s="70"/>
      <c r="BL131" s="70"/>
      <c r="BM131" s="70"/>
      <c r="BN131" s="70"/>
      <c r="BO131" s="70"/>
    </row>
    <row r="132" spans="1:67" x14ac:dyDescent="0.4">
      <c r="A132" s="86">
        <v>4290000</v>
      </c>
      <c r="B132" s="74" t="s">
        <v>124</v>
      </c>
      <c r="C132" s="71">
        <v>44501</v>
      </c>
      <c r="D132" s="71">
        <v>44376</v>
      </c>
      <c r="E132" s="71">
        <v>44497</v>
      </c>
      <c r="F132" s="71">
        <v>44448</v>
      </c>
      <c r="G132" s="71">
        <v>44446</v>
      </c>
      <c r="H132" s="71">
        <v>44489</v>
      </c>
      <c r="I132" s="71">
        <v>44448</v>
      </c>
      <c r="J132" s="71">
        <v>44503</v>
      </c>
      <c r="K132" s="71">
        <v>44442</v>
      </c>
      <c r="L132" s="71">
        <v>44462</v>
      </c>
      <c r="M132" s="71">
        <v>44497</v>
      </c>
      <c r="N132" s="71">
        <v>44490</v>
      </c>
      <c r="O132" s="71"/>
      <c r="P132" s="71"/>
      <c r="Q132" s="71">
        <v>44462</v>
      </c>
      <c r="R132" s="71"/>
      <c r="S132" s="71">
        <v>44462</v>
      </c>
      <c r="T132" s="71">
        <v>44462</v>
      </c>
      <c r="U132" s="71">
        <v>44452</v>
      </c>
      <c r="V132" s="71"/>
      <c r="W132" s="71"/>
      <c r="X132" s="71"/>
      <c r="Y132" s="71"/>
      <c r="Z132" s="71">
        <v>44462</v>
      </c>
      <c r="AA132" s="71"/>
      <c r="AB132" s="71">
        <v>44474</v>
      </c>
      <c r="AC132" s="71">
        <v>44462</v>
      </c>
      <c r="AD132" s="71"/>
      <c r="AE132" s="71"/>
      <c r="AF132" s="71"/>
      <c r="AG132" s="71"/>
      <c r="AH132" s="71">
        <v>44497</v>
      </c>
      <c r="AI132" s="71"/>
      <c r="AJ132" s="71">
        <v>44363</v>
      </c>
      <c r="AK132" s="71"/>
      <c r="AL132" s="71"/>
      <c r="AM132" s="71">
        <v>44446</v>
      </c>
      <c r="AN132" s="71"/>
      <c r="AO132" s="71"/>
      <c r="AP132" s="71">
        <v>44503</v>
      </c>
      <c r="AQ132" s="71"/>
      <c r="AR132" s="71"/>
      <c r="AS132" s="71">
        <v>44382</v>
      </c>
      <c r="AT132" s="71"/>
      <c r="AU132" s="71">
        <v>44501</v>
      </c>
      <c r="AV132" s="71"/>
      <c r="AW132" s="71">
        <v>44489</v>
      </c>
      <c r="AX132" s="71">
        <v>44462</v>
      </c>
      <c r="AY132" s="71">
        <v>44442</v>
      </c>
      <c r="AZ132" s="71"/>
      <c r="BA132" s="71"/>
      <c r="BB132" s="71">
        <v>44497</v>
      </c>
      <c r="BC132" s="71"/>
      <c r="BD132" s="71"/>
      <c r="BE132" s="71"/>
      <c r="BF132" s="71"/>
      <c r="BG132" s="71"/>
      <c r="BH132" s="71"/>
      <c r="BI132" s="71"/>
      <c r="BJ132" s="71"/>
      <c r="BK132" s="70"/>
      <c r="BL132" s="70"/>
      <c r="BM132" s="70"/>
      <c r="BN132" s="70"/>
      <c r="BO132" s="70"/>
    </row>
    <row r="133" spans="1:67" x14ac:dyDescent="0.4">
      <c r="A133" s="86">
        <v>4300000</v>
      </c>
      <c r="B133" s="74" t="s">
        <v>125</v>
      </c>
      <c r="C133" s="71">
        <v>44495</v>
      </c>
      <c r="D133" s="71">
        <v>44495</v>
      </c>
      <c r="E133" s="71">
        <v>44495</v>
      </c>
      <c r="F133" s="72">
        <v>44069</v>
      </c>
      <c r="G133" s="71">
        <v>44490</v>
      </c>
      <c r="H133" s="72">
        <v>44092</v>
      </c>
      <c r="I133" s="72">
        <v>44062</v>
      </c>
      <c r="J133" s="71">
        <v>44495</v>
      </c>
      <c r="K133" s="71">
        <v>44490</v>
      </c>
      <c r="L133" s="71"/>
      <c r="M133" s="71">
        <v>44488</v>
      </c>
      <c r="N133" s="71">
        <v>44158</v>
      </c>
      <c r="O133" s="71">
        <v>44158</v>
      </c>
      <c r="P133" s="71">
        <v>44491</v>
      </c>
      <c r="Q133" s="71"/>
      <c r="R133" s="71"/>
      <c r="S133" s="71"/>
      <c r="T133" s="71">
        <v>44495</v>
      </c>
      <c r="U133" s="71">
        <v>44490</v>
      </c>
      <c r="V133" s="71">
        <v>44158</v>
      </c>
      <c r="W133" s="71"/>
      <c r="X133" s="71"/>
      <c r="Y133" s="71"/>
      <c r="Z133" s="71">
        <v>44158</v>
      </c>
      <c r="AA133" s="71">
        <v>44489</v>
      </c>
      <c r="AB133" s="71">
        <v>44158</v>
      </c>
      <c r="AC133" s="71">
        <v>44495</v>
      </c>
      <c r="AD133" s="71">
        <v>44491</v>
      </c>
      <c r="AE133" s="72">
        <v>44069</v>
      </c>
      <c r="AF133" s="71"/>
      <c r="AG133" s="71"/>
      <c r="AH133" s="71"/>
      <c r="AI133" s="71"/>
      <c r="AJ133" s="71">
        <v>44158</v>
      </c>
      <c r="AK133" s="71"/>
      <c r="AL133" s="71"/>
      <c r="AM133" s="71"/>
      <c r="AN133" s="71"/>
      <c r="AO133" s="71"/>
      <c r="AP133" s="71"/>
      <c r="AQ133" s="71"/>
      <c r="AR133" s="71"/>
      <c r="AS133" s="71"/>
      <c r="AT133" s="71"/>
      <c r="AU133" s="71">
        <v>44490</v>
      </c>
      <c r="AV133" s="71"/>
      <c r="AW133" s="71"/>
      <c r="AX133" s="71"/>
      <c r="AY133" s="71">
        <v>44495</v>
      </c>
      <c r="AZ133" s="71"/>
      <c r="BA133" s="71">
        <v>44490</v>
      </c>
      <c r="BB133" s="71">
        <v>44489</v>
      </c>
      <c r="BC133" s="71"/>
      <c r="BD133" s="71"/>
      <c r="BE133" s="71"/>
      <c r="BF133" s="71"/>
      <c r="BG133" s="71">
        <v>44490</v>
      </c>
      <c r="BH133" s="71">
        <v>44490</v>
      </c>
      <c r="BI133" s="71"/>
      <c r="BJ133" s="71"/>
      <c r="BK133" s="70"/>
      <c r="BL133" s="70"/>
      <c r="BM133" s="70"/>
      <c r="BN133" s="70"/>
      <c r="BO133" s="70"/>
    </row>
    <row r="134" spans="1:67" x14ac:dyDescent="0.4">
      <c r="A134" s="86">
        <v>4310000</v>
      </c>
      <c r="B134" s="74" t="s">
        <v>133</v>
      </c>
      <c r="C134" s="72">
        <v>43348</v>
      </c>
      <c r="D134" s="72">
        <v>43349</v>
      </c>
      <c r="E134" s="72">
        <v>43354</v>
      </c>
      <c r="F134" s="72">
        <v>43370</v>
      </c>
      <c r="G134" s="72">
        <v>43343</v>
      </c>
      <c r="H134" s="71"/>
      <c r="I134" s="72">
        <v>43370</v>
      </c>
      <c r="J134" s="72">
        <v>43370</v>
      </c>
      <c r="K134" s="71"/>
      <c r="L134" s="72">
        <v>43343</v>
      </c>
      <c r="M134" s="72">
        <v>43343</v>
      </c>
      <c r="N134" s="72">
        <v>43375</v>
      </c>
      <c r="O134" s="72">
        <v>43370</v>
      </c>
      <c r="P134" s="71"/>
      <c r="Q134" s="72">
        <v>43346</v>
      </c>
      <c r="R134" s="71"/>
      <c r="S134" s="72">
        <v>43370</v>
      </c>
      <c r="T134" s="72">
        <v>43370</v>
      </c>
      <c r="U134" s="72">
        <v>43370</v>
      </c>
      <c r="V134" s="71"/>
      <c r="W134" s="71"/>
      <c r="X134" s="71"/>
      <c r="Y134" s="72">
        <v>43370</v>
      </c>
      <c r="Z134" s="71"/>
      <c r="AA134" s="71"/>
      <c r="AB134" s="72">
        <v>44133</v>
      </c>
      <c r="AC134" s="72">
        <v>43343</v>
      </c>
      <c r="AD134" s="72">
        <v>43326</v>
      </c>
      <c r="AE134" s="72">
        <v>43370</v>
      </c>
      <c r="AF134" s="71"/>
      <c r="AG134" s="71"/>
      <c r="AH134" s="71"/>
      <c r="AI134" s="71"/>
      <c r="AJ134" s="72">
        <v>44131</v>
      </c>
      <c r="AK134" s="71"/>
      <c r="AL134" s="71"/>
      <c r="AM134" s="72">
        <v>43552</v>
      </c>
      <c r="AN134" s="71"/>
      <c r="AO134" s="71"/>
      <c r="AP134" s="71"/>
      <c r="AQ134" s="71"/>
      <c r="AR134" s="71"/>
      <c r="AS134" s="71"/>
      <c r="AT134" s="71"/>
      <c r="AU134" s="72">
        <v>43370</v>
      </c>
      <c r="AV134" s="71"/>
      <c r="AW134" s="71"/>
      <c r="AX134" s="71"/>
      <c r="AY134" s="71"/>
      <c r="AZ134" s="71"/>
      <c r="BA134" s="71"/>
      <c r="BB134" s="72">
        <v>43521</v>
      </c>
      <c r="BC134" s="71"/>
      <c r="BD134" s="71"/>
      <c r="BE134" s="71"/>
      <c r="BF134" s="71"/>
      <c r="BG134" s="72">
        <v>43521</v>
      </c>
      <c r="BH134" s="71"/>
      <c r="BI134" s="71"/>
      <c r="BJ134" s="71"/>
      <c r="BK134" s="70"/>
      <c r="BL134" s="70"/>
      <c r="BM134" s="70"/>
      <c r="BN134" s="70"/>
      <c r="BO134" s="70"/>
    </row>
    <row r="135" spans="1:67" x14ac:dyDescent="0.4">
      <c r="A135" s="86">
        <v>4320000</v>
      </c>
      <c r="B135" s="74" t="s">
        <v>120</v>
      </c>
      <c r="C135" s="71"/>
      <c r="D135" s="71">
        <v>44497</v>
      </c>
      <c r="E135" s="72">
        <v>43350</v>
      </c>
      <c r="F135" s="72">
        <v>44193</v>
      </c>
      <c r="G135" s="71"/>
      <c r="H135" s="71"/>
      <c r="I135" s="71">
        <v>44494</v>
      </c>
      <c r="J135" s="71">
        <v>44494</v>
      </c>
      <c r="K135" s="71">
        <v>44494</v>
      </c>
      <c r="L135" s="71">
        <v>44494</v>
      </c>
      <c r="M135" s="71">
        <v>44497</v>
      </c>
      <c r="N135" s="71">
        <v>44194</v>
      </c>
      <c r="O135" s="71"/>
      <c r="P135" s="72">
        <v>43072</v>
      </c>
      <c r="Q135" s="71"/>
      <c r="R135" s="71"/>
      <c r="S135" s="71">
        <v>44494</v>
      </c>
      <c r="T135" s="71">
        <v>44494</v>
      </c>
      <c r="U135" s="71"/>
      <c r="V135" s="71">
        <v>44494</v>
      </c>
      <c r="W135" s="71"/>
      <c r="X135" s="71"/>
      <c r="Y135" s="71">
        <v>44497</v>
      </c>
      <c r="Z135" s="72">
        <v>43752</v>
      </c>
      <c r="AA135" s="72">
        <v>43752</v>
      </c>
      <c r="AB135" s="71">
        <v>44494</v>
      </c>
      <c r="AC135" s="71">
        <v>44494</v>
      </c>
      <c r="AD135" s="71">
        <v>44494</v>
      </c>
      <c r="AE135" s="71">
        <v>44494</v>
      </c>
      <c r="AF135" s="71"/>
      <c r="AG135" s="71"/>
      <c r="AH135" s="71">
        <v>44497</v>
      </c>
      <c r="AI135" s="71">
        <v>44494</v>
      </c>
      <c r="AJ135" s="71">
        <v>44494</v>
      </c>
      <c r="AK135" s="71"/>
      <c r="AL135" s="71"/>
      <c r="AM135" s="71">
        <v>44494</v>
      </c>
      <c r="AN135" s="71"/>
      <c r="AO135" s="71"/>
      <c r="AP135" s="71"/>
      <c r="AQ135" s="71"/>
      <c r="AR135" s="72">
        <v>44131</v>
      </c>
      <c r="AS135" s="71"/>
      <c r="AT135" s="71"/>
      <c r="AU135" s="71">
        <v>44497</v>
      </c>
      <c r="AV135" s="71"/>
      <c r="AW135" s="72">
        <v>44026</v>
      </c>
      <c r="AX135" s="72">
        <v>44131</v>
      </c>
      <c r="AY135" s="71"/>
      <c r="AZ135" s="71"/>
      <c r="BA135" s="71"/>
      <c r="BB135" s="71">
        <v>44494</v>
      </c>
      <c r="BC135" s="71"/>
      <c r="BD135" s="71"/>
      <c r="BE135" s="71"/>
      <c r="BF135" s="71"/>
      <c r="BG135" s="71"/>
      <c r="BH135" s="71"/>
      <c r="BI135" s="71"/>
      <c r="BJ135" s="71"/>
      <c r="BK135" s="70"/>
      <c r="BL135" s="70"/>
      <c r="BM135" s="70"/>
      <c r="BN135" s="70"/>
      <c r="BO135" s="70"/>
    </row>
    <row r="136" spans="1:67" x14ac:dyDescent="0.4">
      <c r="A136" s="86">
        <v>4330000</v>
      </c>
      <c r="B136" s="74" t="s">
        <v>123</v>
      </c>
      <c r="C136" s="71">
        <v>44356</v>
      </c>
      <c r="D136" s="71">
        <v>44357</v>
      </c>
      <c r="E136" s="71">
        <v>44356</v>
      </c>
      <c r="F136" s="71">
        <v>44435</v>
      </c>
      <c r="G136" s="71">
        <v>44435</v>
      </c>
      <c r="H136" s="71"/>
      <c r="I136" s="71">
        <v>44370</v>
      </c>
      <c r="J136" s="71">
        <v>44435</v>
      </c>
      <c r="K136" s="71">
        <v>44357</v>
      </c>
      <c r="L136" s="71">
        <v>44370</v>
      </c>
      <c r="M136" s="71">
        <v>44435</v>
      </c>
      <c r="N136" s="71">
        <v>44357</v>
      </c>
      <c r="O136" s="71"/>
      <c r="P136" s="71">
        <v>44357</v>
      </c>
      <c r="Q136" s="71">
        <v>44357</v>
      </c>
      <c r="R136" s="71"/>
      <c r="S136" s="71">
        <v>44370</v>
      </c>
      <c r="T136" s="71">
        <v>44357</v>
      </c>
      <c r="U136" s="71">
        <v>44482</v>
      </c>
      <c r="V136" s="71">
        <v>44357</v>
      </c>
      <c r="W136" s="71"/>
      <c r="X136" s="71"/>
      <c r="Y136" s="71"/>
      <c r="Z136" s="71">
        <v>44468</v>
      </c>
      <c r="AA136" s="71">
        <v>44468</v>
      </c>
      <c r="AB136" s="71">
        <v>44357</v>
      </c>
      <c r="AC136" s="71">
        <v>44357</v>
      </c>
      <c r="AD136" s="71">
        <v>44482</v>
      </c>
      <c r="AE136" s="71"/>
      <c r="AF136" s="71"/>
      <c r="AG136" s="71"/>
      <c r="AH136" s="71">
        <v>44357</v>
      </c>
      <c r="AI136" s="71">
        <v>44357</v>
      </c>
      <c r="AJ136" s="71">
        <v>44361</v>
      </c>
      <c r="AK136" s="71"/>
      <c r="AL136" s="71"/>
      <c r="AM136" s="71"/>
      <c r="AN136" s="71"/>
      <c r="AO136" s="71"/>
      <c r="AP136" s="71"/>
      <c r="AQ136" s="71"/>
      <c r="AR136" s="71">
        <v>44356</v>
      </c>
      <c r="AS136" s="71"/>
      <c r="AT136" s="71"/>
      <c r="AU136" s="71">
        <v>44357</v>
      </c>
      <c r="AV136" s="71">
        <v>44482</v>
      </c>
      <c r="AW136" s="71"/>
      <c r="AX136" s="71">
        <v>44356</v>
      </c>
      <c r="AY136" s="71"/>
      <c r="AZ136" s="71"/>
      <c r="BA136" s="71">
        <v>44357</v>
      </c>
      <c r="BB136" s="71">
        <v>44468</v>
      </c>
      <c r="BC136" s="71"/>
      <c r="BD136" s="71"/>
      <c r="BE136" s="71"/>
      <c r="BF136" s="71"/>
      <c r="BG136" s="71">
        <v>44356</v>
      </c>
      <c r="BH136" s="71"/>
      <c r="BI136" s="71"/>
      <c r="BJ136" s="71"/>
      <c r="BK136" s="70"/>
      <c r="BL136" s="70"/>
      <c r="BM136" s="70"/>
      <c r="BN136" s="70"/>
      <c r="BO136" s="70"/>
    </row>
    <row r="137" spans="1:67" x14ac:dyDescent="0.4">
      <c r="A137" s="86">
        <v>4340000</v>
      </c>
      <c r="B137" s="74" t="s">
        <v>117</v>
      </c>
      <c r="C137" s="71">
        <v>44491</v>
      </c>
      <c r="D137" s="71">
        <v>44494</v>
      </c>
      <c r="E137" s="71">
        <v>44495</v>
      </c>
      <c r="F137" s="71">
        <v>44488</v>
      </c>
      <c r="G137" s="71">
        <v>44488</v>
      </c>
      <c r="H137" s="71"/>
      <c r="I137" s="71">
        <v>44488</v>
      </c>
      <c r="J137" s="71">
        <v>44488</v>
      </c>
      <c r="K137" s="71"/>
      <c r="L137" s="71">
        <v>44491</v>
      </c>
      <c r="M137" s="71">
        <v>44491</v>
      </c>
      <c r="N137" s="71">
        <v>44490</v>
      </c>
      <c r="O137" s="71">
        <v>44491</v>
      </c>
      <c r="P137" s="71"/>
      <c r="Q137" s="71">
        <v>44491</v>
      </c>
      <c r="R137" s="71"/>
      <c r="S137" s="71">
        <v>44488</v>
      </c>
      <c r="T137" s="71">
        <v>44495</v>
      </c>
      <c r="U137" s="71">
        <v>44186</v>
      </c>
      <c r="V137" s="71">
        <v>44491</v>
      </c>
      <c r="W137" s="71"/>
      <c r="X137" s="71"/>
      <c r="Y137" s="71"/>
      <c r="Z137" s="71">
        <v>44494</v>
      </c>
      <c r="AA137" s="71">
        <v>44490</v>
      </c>
      <c r="AB137" s="71">
        <v>44489</v>
      </c>
      <c r="AC137" s="71">
        <v>44491</v>
      </c>
      <c r="AD137" s="71">
        <v>44494</v>
      </c>
      <c r="AE137" s="71"/>
      <c r="AF137" s="71"/>
      <c r="AG137" s="71"/>
      <c r="AH137" s="71">
        <v>44491</v>
      </c>
      <c r="AI137" s="71">
        <v>44494</v>
      </c>
      <c r="AJ137" s="71">
        <v>44494</v>
      </c>
      <c r="AK137" s="71"/>
      <c r="AL137" s="71"/>
      <c r="AM137" s="71"/>
      <c r="AN137" s="71"/>
      <c r="AO137" s="71"/>
      <c r="AP137" s="71"/>
      <c r="AQ137" s="71"/>
      <c r="AR137" s="71"/>
      <c r="AS137" s="71"/>
      <c r="AT137" s="71"/>
      <c r="AU137" s="71">
        <v>44491</v>
      </c>
      <c r="AV137" s="71"/>
      <c r="AW137" s="71">
        <v>44491</v>
      </c>
      <c r="AX137" s="71">
        <v>44495</v>
      </c>
      <c r="AY137" s="71"/>
      <c r="AZ137" s="71"/>
      <c r="BA137" s="71"/>
      <c r="BB137" s="71">
        <v>44491</v>
      </c>
      <c r="BC137" s="71"/>
      <c r="BD137" s="71"/>
      <c r="BE137" s="71"/>
      <c r="BF137" s="71"/>
      <c r="BG137" s="71"/>
      <c r="BH137" s="71"/>
      <c r="BI137" s="71"/>
      <c r="BJ137" s="71"/>
      <c r="BK137" s="70"/>
      <c r="BL137" s="70"/>
      <c r="BM137" s="70"/>
      <c r="BN137" s="70"/>
      <c r="BO137" s="70"/>
    </row>
    <row r="138" spans="1:67" x14ac:dyDescent="0.4">
      <c r="A138" s="86">
        <v>4350000</v>
      </c>
      <c r="B138" s="74" t="s">
        <v>121</v>
      </c>
      <c r="C138" s="71">
        <v>44446</v>
      </c>
      <c r="D138" s="71">
        <v>44383</v>
      </c>
      <c r="E138" s="71">
        <v>44446</v>
      </c>
      <c r="F138" s="71">
        <v>44438</v>
      </c>
      <c r="G138" s="71">
        <v>44479</v>
      </c>
      <c r="H138" s="71"/>
      <c r="I138" s="71">
        <v>44372</v>
      </c>
      <c r="J138" s="71"/>
      <c r="K138" s="71">
        <v>44326</v>
      </c>
      <c r="L138" s="71">
        <v>44326</v>
      </c>
      <c r="M138" s="71">
        <v>44432</v>
      </c>
      <c r="N138" s="71">
        <v>44383</v>
      </c>
      <c r="O138" s="71"/>
      <c r="P138" s="71">
        <v>44476</v>
      </c>
      <c r="Q138" s="71">
        <v>44329</v>
      </c>
      <c r="R138" s="71"/>
      <c r="S138" s="71">
        <v>44329</v>
      </c>
      <c r="T138" s="71">
        <v>44327</v>
      </c>
      <c r="U138" s="71">
        <v>44329</v>
      </c>
      <c r="V138" s="71">
        <v>44306</v>
      </c>
      <c r="W138" s="71"/>
      <c r="X138" s="71"/>
      <c r="Y138" s="71"/>
      <c r="Z138" s="71">
        <v>44354</v>
      </c>
      <c r="AA138" s="71">
        <v>44328</v>
      </c>
      <c r="AB138" s="71">
        <v>44327</v>
      </c>
      <c r="AC138" s="71">
        <v>44372</v>
      </c>
      <c r="AD138" s="71">
        <v>44383</v>
      </c>
      <c r="AE138" s="71">
        <v>44327</v>
      </c>
      <c r="AF138" s="71"/>
      <c r="AG138" s="71"/>
      <c r="AH138" s="71">
        <v>44382</v>
      </c>
      <c r="AI138" s="71">
        <v>44327</v>
      </c>
      <c r="AJ138" s="71">
        <v>44327</v>
      </c>
      <c r="AK138" s="71"/>
      <c r="AL138" s="71"/>
      <c r="AM138" s="71"/>
      <c r="AN138" s="71"/>
      <c r="AO138" s="71"/>
      <c r="AP138" s="71"/>
      <c r="AQ138" s="71"/>
      <c r="AR138" s="71">
        <v>44481</v>
      </c>
      <c r="AS138" s="71"/>
      <c r="AT138" s="71"/>
      <c r="AU138" s="71">
        <v>44382</v>
      </c>
      <c r="AV138" s="71"/>
      <c r="AW138" s="71">
        <v>44382</v>
      </c>
      <c r="AX138" s="71"/>
      <c r="AY138" s="71"/>
      <c r="AZ138" s="71"/>
      <c r="BA138" s="71"/>
      <c r="BB138" s="71">
        <v>44483</v>
      </c>
      <c r="BC138" s="71"/>
      <c r="BD138" s="71"/>
      <c r="BE138" s="71">
        <v>44484</v>
      </c>
      <c r="BF138" s="71"/>
      <c r="BG138" s="71">
        <v>44382</v>
      </c>
      <c r="BH138" s="71">
        <v>44479</v>
      </c>
      <c r="BI138" s="71"/>
      <c r="BJ138" s="71"/>
      <c r="BK138" s="70"/>
      <c r="BL138" s="70"/>
      <c r="BM138" s="70"/>
      <c r="BN138" s="70"/>
      <c r="BO138" s="70"/>
    </row>
    <row r="139" spans="1:67" x14ac:dyDescent="0.4">
      <c r="A139" s="86">
        <v>6430000</v>
      </c>
      <c r="B139" s="74" t="s">
        <v>134</v>
      </c>
      <c r="C139" s="71"/>
      <c r="D139" s="71"/>
      <c r="E139" s="71">
        <v>44497</v>
      </c>
      <c r="F139" s="71">
        <v>44496</v>
      </c>
      <c r="G139" s="71"/>
      <c r="H139" s="71"/>
      <c r="I139" s="71">
        <v>44377</v>
      </c>
      <c r="J139" s="71"/>
      <c r="K139" s="71">
        <v>44377</v>
      </c>
      <c r="L139" s="71"/>
      <c r="M139" s="71"/>
      <c r="N139" s="71"/>
      <c r="O139" s="71"/>
      <c r="P139" s="71"/>
      <c r="Q139" s="71"/>
      <c r="R139" s="71"/>
      <c r="S139" s="71">
        <v>44498</v>
      </c>
      <c r="T139" s="71"/>
      <c r="U139" s="71">
        <v>44377</v>
      </c>
      <c r="V139" s="71"/>
      <c r="W139" s="71"/>
      <c r="X139" s="71"/>
      <c r="Y139" s="71"/>
      <c r="Z139" s="71"/>
      <c r="AA139" s="71"/>
      <c r="AB139" s="71"/>
      <c r="AC139" s="71"/>
      <c r="AD139" s="71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  <c r="AO139" s="71"/>
      <c r="AP139" s="71"/>
      <c r="AQ139" s="71"/>
      <c r="AR139" s="71"/>
      <c r="AS139" s="71"/>
      <c r="AT139" s="71"/>
      <c r="AU139" s="71">
        <v>44497</v>
      </c>
      <c r="AV139" s="71"/>
      <c r="AW139" s="71"/>
      <c r="AX139" s="71"/>
      <c r="AY139" s="71"/>
      <c r="AZ139" s="71"/>
      <c r="BA139" s="71"/>
      <c r="BB139" s="71"/>
      <c r="BC139" s="71">
        <v>44497</v>
      </c>
      <c r="BD139" s="71"/>
      <c r="BE139" s="71"/>
      <c r="BF139" s="71"/>
      <c r="BG139" s="71"/>
      <c r="BH139" s="71"/>
      <c r="BI139" s="71">
        <v>44498</v>
      </c>
      <c r="BJ139" s="71">
        <v>44498</v>
      </c>
      <c r="BK139" s="70"/>
      <c r="BL139" s="70"/>
      <c r="BM139" s="70"/>
      <c r="BN139" s="70"/>
      <c r="BO139" s="70"/>
    </row>
    <row r="140" spans="1:67" x14ac:dyDescent="0.4">
      <c r="A140" s="86">
        <v>5710000</v>
      </c>
      <c r="B140" s="74" t="s">
        <v>135</v>
      </c>
      <c r="C140" s="72">
        <v>44217</v>
      </c>
      <c r="D140" s="71">
        <v>44186</v>
      </c>
      <c r="E140" s="72">
        <v>44029</v>
      </c>
      <c r="F140" s="72">
        <v>44031</v>
      </c>
      <c r="G140" s="72">
        <v>44133</v>
      </c>
      <c r="H140" s="72">
        <v>44035</v>
      </c>
      <c r="I140" s="71">
        <v>44485</v>
      </c>
      <c r="J140" s="72">
        <v>44033</v>
      </c>
      <c r="K140" s="72">
        <v>44022</v>
      </c>
      <c r="L140" s="72">
        <v>44031</v>
      </c>
      <c r="M140" s="72">
        <v>44032</v>
      </c>
      <c r="N140" s="72">
        <v>44014</v>
      </c>
      <c r="O140" s="72">
        <v>44029</v>
      </c>
      <c r="P140" s="71">
        <v>44158</v>
      </c>
      <c r="Q140" s="71"/>
      <c r="R140" s="71">
        <v>44185</v>
      </c>
      <c r="S140" s="72">
        <v>44028</v>
      </c>
      <c r="T140" s="71">
        <v>44484</v>
      </c>
      <c r="U140" s="71">
        <v>44187</v>
      </c>
      <c r="V140" s="72">
        <v>44125</v>
      </c>
      <c r="W140" s="71"/>
      <c r="X140" s="72">
        <v>44034</v>
      </c>
      <c r="Y140" s="71"/>
      <c r="Z140" s="71">
        <v>44187</v>
      </c>
      <c r="AA140" s="72">
        <v>44021</v>
      </c>
      <c r="AB140" s="72">
        <v>44021</v>
      </c>
      <c r="AC140" s="71"/>
      <c r="AD140" s="72">
        <v>44025</v>
      </c>
      <c r="AE140" s="71">
        <v>44187</v>
      </c>
      <c r="AF140" s="72">
        <v>44029</v>
      </c>
      <c r="AG140" s="72">
        <v>44029</v>
      </c>
      <c r="AH140" s="72">
        <v>44033</v>
      </c>
      <c r="AI140" s="71">
        <v>44379</v>
      </c>
      <c r="AJ140" s="71">
        <v>44427</v>
      </c>
      <c r="AK140" s="71"/>
      <c r="AL140" s="71"/>
      <c r="AM140" s="72">
        <v>44031</v>
      </c>
      <c r="AN140" s="71"/>
      <c r="AO140" s="72">
        <v>44033</v>
      </c>
      <c r="AP140" s="71"/>
      <c r="AQ140" s="71"/>
      <c r="AR140" s="71"/>
      <c r="AS140" s="71"/>
      <c r="AT140" s="71"/>
      <c r="AU140" s="71"/>
      <c r="AV140" s="71"/>
      <c r="AW140" s="72">
        <v>44035</v>
      </c>
      <c r="AX140" s="71">
        <v>44185</v>
      </c>
      <c r="AY140" s="71">
        <v>44489</v>
      </c>
      <c r="AZ140" s="71"/>
      <c r="BA140" s="71"/>
      <c r="BB140" s="71"/>
      <c r="BC140" s="72">
        <v>44158</v>
      </c>
      <c r="BD140" s="71"/>
      <c r="BE140" s="71"/>
      <c r="BF140" s="71"/>
      <c r="BG140" s="71"/>
      <c r="BH140" s="72">
        <v>44125</v>
      </c>
      <c r="BI140" s="71"/>
      <c r="BJ140" s="71"/>
      <c r="BK140" s="70"/>
      <c r="BL140" s="70"/>
      <c r="BM140" s="70"/>
      <c r="BN140" s="70"/>
      <c r="BO140" s="70"/>
    </row>
    <row r="141" spans="1:67" x14ac:dyDescent="0.4">
      <c r="A141" s="86">
        <v>4390000</v>
      </c>
      <c r="B141" s="74" t="s">
        <v>136</v>
      </c>
      <c r="C141" s="71">
        <v>44487</v>
      </c>
      <c r="D141" s="71">
        <v>44484</v>
      </c>
      <c r="E141" s="71">
        <v>44488</v>
      </c>
      <c r="F141" s="71">
        <v>44488</v>
      </c>
      <c r="G141" s="71">
        <v>44490</v>
      </c>
      <c r="H141" s="71">
        <v>44474</v>
      </c>
      <c r="I141" s="71">
        <v>44487</v>
      </c>
      <c r="J141" s="71">
        <v>44470</v>
      </c>
      <c r="K141" s="71">
        <v>44474</v>
      </c>
      <c r="L141" s="71">
        <v>44488</v>
      </c>
      <c r="M141" s="71">
        <v>44484</v>
      </c>
      <c r="N141" s="71">
        <v>44487</v>
      </c>
      <c r="O141" s="71">
        <v>44487</v>
      </c>
      <c r="P141" s="71">
        <v>44487</v>
      </c>
      <c r="Q141" s="71">
        <v>44487</v>
      </c>
      <c r="R141" s="71"/>
      <c r="S141" s="71">
        <v>44490</v>
      </c>
      <c r="T141" s="71">
        <v>44487</v>
      </c>
      <c r="U141" s="71">
        <v>44474</v>
      </c>
      <c r="V141" s="71">
        <v>44470</v>
      </c>
      <c r="W141" s="71"/>
      <c r="X141" s="71"/>
      <c r="Y141" s="71"/>
      <c r="Z141" s="71">
        <v>44484</v>
      </c>
      <c r="AA141" s="71">
        <v>44487</v>
      </c>
      <c r="AB141" s="71">
        <v>44487</v>
      </c>
      <c r="AC141" s="71">
        <v>44488</v>
      </c>
      <c r="AD141" s="71">
        <v>44484</v>
      </c>
      <c r="AE141" s="71">
        <v>44490</v>
      </c>
      <c r="AF141" s="71">
        <v>44487</v>
      </c>
      <c r="AG141" s="71">
        <v>44487</v>
      </c>
      <c r="AH141" s="71">
        <v>44488</v>
      </c>
      <c r="AI141" s="71">
        <v>44482</v>
      </c>
      <c r="AJ141" s="71">
        <v>44482</v>
      </c>
      <c r="AK141" s="71"/>
      <c r="AL141" s="71"/>
      <c r="AM141" s="71">
        <v>44488</v>
      </c>
      <c r="AN141" s="71"/>
      <c r="AO141" s="71"/>
      <c r="AP141" s="71"/>
      <c r="AQ141" s="71"/>
      <c r="AR141" s="71">
        <v>44491</v>
      </c>
      <c r="AS141" s="71"/>
      <c r="AT141" s="71"/>
      <c r="AU141" s="71">
        <v>44487</v>
      </c>
      <c r="AV141" s="71"/>
      <c r="AW141" s="71">
        <v>44487</v>
      </c>
      <c r="AX141" s="71">
        <v>44482</v>
      </c>
      <c r="AY141" s="71"/>
      <c r="AZ141" s="71"/>
      <c r="BA141" s="71">
        <v>44488</v>
      </c>
      <c r="BB141" s="71">
        <v>44487</v>
      </c>
      <c r="BC141" s="71">
        <v>44474</v>
      </c>
      <c r="BD141" s="71"/>
      <c r="BE141" s="71">
        <v>44488</v>
      </c>
      <c r="BF141" s="71"/>
      <c r="BG141" s="71"/>
      <c r="BH141" s="71">
        <v>44488</v>
      </c>
      <c r="BI141" s="71"/>
      <c r="BJ141" s="71"/>
      <c r="BK141" s="70"/>
      <c r="BL141" s="70"/>
      <c r="BM141" s="70"/>
      <c r="BN141" s="70"/>
      <c r="BO141" s="70"/>
    </row>
    <row r="142" spans="1:67" x14ac:dyDescent="0.4">
      <c r="A142" s="86">
        <v>4400000</v>
      </c>
      <c r="B142" s="74" t="s">
        <v>137</v>
      </c>
      <c r="C142" s="71">
        <v>44364</v>
      </c>
      <c r="D142" s="71">
        <v>44491</v>
      </c>
      <c r="E142" s="71">
        <v>44365</v>
      </c>
      <c r="F142" s="71">
        <v>44452</v>
      </c>
      <c r="G142" s="71">
        <v>44452</v>
      </c>
      <c r="H142" s="71">
        <v>44491</v>
      </c>
      <c r="I142" s="71">
        <v>44488</v>
      </c>
      <c r="J142" s="71">
        <v>44440</v>
      </c>
      <c r="K142" s="71">
        <v>44349</v>
      </c>
      <c r="L142" s="71">
        <v>44494</v>
      </c>
      <c r="M142" s="71">
        <v>44452</v>
      </c>
      <c r="N142" s="71">
        <v>44490</v>
      </c>
      <c r="O142" s="71">
        <v>44489</v>
      </c>
      <c r="P142" s="71">
        <v>44503</v>
      </c>
      <c r="Q142" s="71">
        <v>44494</v>
      </c>
      <c r="R142" s="71">
        <v>44494</v>
      </c>
      <c r="S142" s="71">
        <v>44503</v>
      </c>
      <c r="T142" s="71">
        <v>44490</v>
      </c>
      <c r="U142" s="71">
        <v>44494</v>
      </c>
      <c r="V142" s="71">
        <v>44184</v>
      </c>
      <c r="W142" s="71"/>
      <c r="X142" s="71">
        <v>44182</v>
      </c>
      <c r="Y142" s="71"/>
      <c r="Z142" s="71">
        <v>44490</v>
      </c>
      <c r="AA142" s="71">
        <v>44490</v>
      </c>
      <c r="AB142" s="71">
        <v>44489</v>
      </c>
      <c r="AC142" s="71">
        <v>44494</v>
      </c>
      <c r="AD142" s="71">
        <v>44491</v>
      </c>
      <c r="AE142" s="71"/>
      <c r="AF142" s="71">
        <v>44494</v>
      </c>
      <c r="AG142" s="71"/>
      <c r="AH142" s="71">
        <v>44364</v>
      </c>
      <c r="AI142" s="71">
        <v>44490</v>
      </c>
      <c r="AJ142" s="71">
        <v>44490</v>
      </c>
      <c r="AK142" s="71"/>
      <c r="AL142" s="71"/>
      <c r="AM142" s="71">
        <v>44365</v>
      </c>
      <c r="AN142" s="71"/>
      <c r="AO142" s="71"/>
      <c r="AP142" s="71">
        <v>44364</v>
      </c>
      <c r="AQ142" s="71">
        <v>44494</v>
      </c>
      <c r="AR142" s="71">
        <v>44365</v>
      </c>
      <c r="AS142" s="71">
        <v>44364</v>
      </c>
      <c r="AT142" s="71">
        <v>44365</v>
      </c>
      <c r="AU142" s="71">
        <v>44364</v>
      </c>
      <c r="AV142" s="71"/>
      <c r="AW142" s="71">
        <v>44185</v>
      </c>
      <c r="AX142" s="71">
        <v>44494</v>
      </c>
      <c r="AY142" s="71">
        <v>44364</v>
      </c>
      <c r="AZ142" s="71"/>
      <c r="BA142" s="71">
        <v>44365</v>
      </c>
      <c r="BB142" s="71">
        <v>44365</v>
      </c>
      <c r="BC142" s="71"/>
      <c r="BD142" s="71"/>
      <c r="BE142" s="71"/>
      <c r="BF142" s="71"/>
      <c r="BG142" s="71">
        <v>44378</v>
      </c>
      <c r="BH142" s="71"/>
      <c r="BI142" s="71"/>
      <c r="BJ142" s="71"/>
      <c r="BK142" s="70"/>
      <c r="BL142" s="70"/>
      <c r="BM142" s="70"/>
      <c r="BN142" s="70"/>
      <c r="BO142" s="70"/>
    </row>
    <row r="143" spans="1:67" x14ac:dyDescent="0.4">
      <c r="A143" s="86">
        <v>4420000</v>
      </c>
      <c r="B143" s="74" t="s">
        <v>138</v>
      </c>
      <c r="C143" s="71">
        <v>44334</v>
      </c>
      <c r="D143" s="71">
        <v>44334</v>
      </c>
      <c r="E143" s="71">
        <v>44334</v>
      </c>
      <c r="F143" s="71">
        <v>44468</v>
      </c>
      <c r="G143" s="71">
        <v>44490</v>
      </c>
      <c r="H143" s="71">
        <v>44334</v>
      </c>
      <c r="I143" s="71">
        <v>44489</v>
      </c>
      <c r="J143" s="71">
        <v>44468</v>
      </c>
      <c r="K143" s="71">
        <v>44334</v>
      </c>
      <c r="L143" s="71">
        <v>44502</v>
      </c>
      <c r="M143" s="71">
        <v>44412</v>
      </c>
      <c r="N143" s="71">
        <v>44334</v>
      </c>
      <c r="O143" s="71"/>
      <c r="P143" s="71">
        <v>44334</v>
      </c>
      <c r="Q143" s="72">
        <v>44109</v>
      </c>
      <c r="R143" s="71"/>
      <c r="S143" s="71">
        <v>44384</v>
      </c>
      <c r="T143" s="71">
        <v>44334</v>
      </c>
      <c r="U143" s="71">
        <v>44334</v>
      </c>
      <c r="V143" s="71">
        <v>44334</v>
      </c>
      <c r="W143" s="71"/>
      <c r="X143" s="71"/>
      <c r="Y143" s="71"/>
      <c r="Z143" s="71">
        <v>44406</v>
      </c>
      <c r="AA143" s="71"/>
      <c r="AB143" s="71">
        <v>44334</v>
      </c>
      <c r="AC143" s="71">
        <v>44502</v>
      </c>
      <c r="AD143" s="71">
        <v>44404</v>
      </c>
      <c r="AE143" s="71"/>
      <c r="AF143" s="71"/>
      <c r="AG143" s="71"/>
      <c r="AH143" s="71">
        <v>44361</v>
      </c>
      <c r="AI143" s="71"/>
      <c r="AJ143" s="71">
        <v>44382</v>
      </c>
      <c r="AK143" s="71"/>
      <c r="AL143" s="71"/>
      <c r="AM143" s="71"/>
      <c r="AN143" s="71"/>
      <c r="AO143" s="71"/>
      <c r="AP143" s="71"/>
      <c r="AQ143" s="71"/>
      <c r="AR143" s="71"/>
      <c r="AS143" s="71"/>
      <c r="AT143" s="71"/>
      <c r="AU143" s="71">
        <v>44334</v>
      </c>
      <c r="AV143" s="71"/>
      <c r="AW143" s="71">
        <v>44334</v>
      </c>
      <c r="AX143" s="71"/>
      <c r="AY143" s="71"/>
      <c r="AZ143" s="71"/>
      <c r="BA143" s="71">
        <v>44469</v>
      </c>
      <c r="BB143" s="71">
        <v>44377</v>
      </c>
      <c r="BC143" s="71"/>
      <c r="BD143" s="71"/>
      <c r="BE143" s="71"/>
      <c r="BF143" s="71"/>
      <c r="BG143" s="71">
        <v>44334</v>
      </c>
      <c r="BH143" s="71">
        <v>44490</v>
      </c>
      <c r="BI143" s="71"/>
      <c r="BJ143" s="71"/>
      <c r="BK143" s="70"/>
      <c r="BL143" s="70"/>
      <c r="BM143" s="70"/>
      <c r="BN143" s="70"/>
      <c r="BO143" s="70"/>
    </row>
    <row r="144" spans="1:67" x14ac:dyDescent="0.4">
      <c r="A144" s="86">
        <v>4430000</v>
      </c>
      <c r="B144" s="74" t="s">
        <v>139</v>
      </c>
      <c r="C144" s="71">
        <v>44492</v>
      </c>
      <c r="D144" s="71">
        <v>44492</v>
      </c>
      <c r="E144" s="71">
        <v>44492</v>
      </c>
      <c r="F144" s="71">
        <v>44492</v>
      </c>
      <c r="G144" s="71">
        <v>44492</v>
      </c>
      <c r="H144" s="71">
        <v>44492</v>
      </c>
      <c r="I144" s="71">
        <v>44492</v>
      </c>
      <c r="J144" s="71">
        <v>44492</v>
      </c>
      <c r="K144" s="71">
        <v>44492</v>
      </c>
      <c r="L144" s="71">
        <v>44492</v>
      </c>
      <c r="M144" s="71">
        <v>44492</v>
      </c>
      <c r="N144" s="71">
        <v>44492</v>
      </c>
      <c r="O144" s="71"/>
      <c r="P144" s="71">
        <v>44492</v>
      </c>
      <c r="Q144" s="71">
        <v>44492</v>
      </c>
      <c r="R144" s="71">
        <v>44492</v>
      </c>
      <c r="S144" s="71">
        <v>44492</v>
      </c>
      <c r="T144" s="71">
        <v>44492</v>
      </c>
      <c r="U144" s="71">
        <v>44492</v>
      </c>
      <c r="V144" s="71">
        <v>44492</v>
      </c>
      <c r="W144" s="71"/>
      <c r="X144" s="71"/>
      <c r="Y144" s="71">
        <v>44492</v>
      </c>
      <c r="Z144" s="71">
        <v>44492</v>
      </c>
      <c r="AA144" s="71">
        <v>44492</v>
      </c>
      <c r="AB144" s="71">
        <v>44492</v>
      </c>
      <c r="AC144" s="71">
        <v>44492</v>
      </c>
      <c r="AD144" s="71">
        <v>44492</v>
      </c>
      <c r="AE144" s="71">
        <v>44492</v>
      </c>
      <c r="AF144" s="71"/>
      <c r="AG144" s="71"/>
      <c r="AH144" s="71">
        <v>44492</v>
      </c>
      <c r="AI144" s="71"/>
      <c r="AJ144" s="71">
        <v>44492</v>
      </c>
      <c r="AK144" s="71"/>
      <c r="AL144" s="71">
        <v>44492</v>
      </c>
      <c r="AM144" s="71"/>
      <c r="AN144" s="71"/>
      <c r="AO144" s="71"/>
      <c r="AP144" s="71"/>
      <c r="AQ144" s="71"/>
      <c r="AR144" s="71">
        <v>44492</v>
      </c>
      <c r="AS144" s="71"/>
      <c r="AT144" s="71"/>
      <c r="AU144" s="71">
        <v>44492</v>
      </c>
      <c r="AV144" s="71"/>
      <c r="AW144" s="71">
        <v>44492</v>
      </c>
      <c r="AX144" s="71"/>
      <c r="AY144" s="71"/>
      <c r="AZ144" s="71"/>
      <c r="BA144" s="71">
        <v>44492</v>
      </c>
      <c r="BB144" s="71">
        <v>44492</v>
      </c>
      <c r="BC144" s="71"/>
      <c r="BD144" s="71"/>
      <c r="BE144" s="71"/>
      <c r="BF144" s="71"/>
      <c r="BG144" s="71">
        <v>44492</v>
      </c>
      <c r="BH144" s="71"/>
      <c r="BI144" s="71"/>
      <c r="BJ144" s="71"/>
      <c r="BK144" s="70"/>
      <c r="BL144" s="70"/>
      <c r="BM144" s="70"/>
      <c r="BN144" s="70"/>
      <c r="BO144" s="70"/>
    </row>
    <row r="145" spans="1:67" x14ac:dyDescent="0.4">
      <c r="A145" s="86">
        <v>4440000</v>
      </c>
      <c r="B145" s="74" t="s">
        <v>140</v>
      </c>
      <c r="C145" s="71">
        <v>44497</v>
      </c>
      <c r="D145" s="71">
        <v>44498</v>
      </c>
      <c r="E145" s="71">
        <v>44498</v>
      </c>
      <c r="F145" s="71">
        <v>44498</v>
      </c>
      <c r="G145" s="71">
        <v>44498</v>
      </c>
      <c r="H145" s="71">
        <v>44187</v>
      </c>
      <c r="I145" s="71">
        <v>44498</v>
      </c>
      <c r="J145" s="71">
        <v>44498</v>
      </c>
      <c r="K145" s="72">
        <v>44162</v>
      </c>
      <c r="L145" s="71">
        <v>44187</v>
      </c>
      <c r="M145" s="71">
        <v>44502</v>
      </c>
      <c r="N145" s="71">
        <v>44187</v>
      </c>
      <c r="O145" s="71"/>
      <c r="P145" s="72">
        <v>42663</v>
      </c>
      <c r="Q145" s="71">
        <v>44187</v>
      </c>
      <c r="R145" s="71">
        <v>44497</v>
      </c>
      <c r="S145" s="71">
        <v>44498</v>
      </c>
      <c r="T145" s="71">
        <v>44497</v>
      </c>
      <c r="U145" s="71">
        <v>44497</v>
      </c>
      <c r="V145" s="71">
        <v>44498</v>
      </c>
      <c r="W145" s="71"/>
      <c r="X145" s="71">
        <v>44187</v>
      </c>
      <c r="Y145" s="71">
        <v>44497</v>
      </c>
      <c r="Z145" s="71">
        <v>44497</v>
      </c>
      <c r="AA145" s="71">
        <v>44497</v>
      </c>
      <c r="AB145" s="71">
        <v>44497</v>
      </c>
      <c r="AC145" s="71">
        <v>44497</v>
      </c>
      <c r="AD145" s="71">
        <v>44187</v>
      </c>
      <c r="AE145" s="71">
        <v>44497</v>
      </c>
      <c r="AF145" s="71"/>
      <c r="AG145" s="71"/>
      <c r="AH145" s="72">
        <v>44187</v>
      </c>
      <c r="AI145" s="71"/>
      <c r="AJ145" s="71">
        <v>44497</v>
      </c>
      <c r="AK145" s="71"/>
      <c r="AL145" s="71"/>
      <c r="AM145" s="71"/>
      <c r="AN145" s="71"/>
      <c r="AO145" s="71"/>
      <c r="AP145" s="71"/>
      <c r="AQ145" s="71"/>
      <c r="AR145" s="71">
        <v>44498</v>
      </c>
      <c r="AS145" s="71"/>
      <c r="AT145" s="71"/>
      <c r="AU145" s="71">
        <v>44497</v>
      </c>
      <c r="AV145" s="71"/>
      <c r="AW145" s="71">
        <v>44497</v>
      </c>
      <c r="AX145" s="71"/>
      <c r="AY145" s="71"/>
      <c r="AZ145" s="71"/>
      <c r="BA145" s="71">
        <v>44497</v>
      </c>
      <c r="BB145" s="72">
        <v>44187</v>
      </c>
      <c r="BC145" s="71"/>
      <c r="BD145" s="71"/>
      <c r="BE145" s="71"/>
      <c r="BF145" s="71"/>
      <c r="BG145" s="72">
        <v>44187</v>
      </c>
      <c r="BH145" s="71"/>
      <c r="BI145" s="71"/>
      <c r="BJ145" s="71"/>
      <c r="BK145" s="70"/>
      <c r="BL145" s="70"/>
      <c r="BM145" s="70"/>
      <c r="BN145" s="70"/>
      <c r="BO145" s="70"/>
    </row>
    <row r="146" spans="1:67" x14ac:dyDescent="0.4">
      <c r="A146" s="86">
        <v>5570000</v>
      </c>
      <c r="B146" s="74" t="s">
        <v>141</v>
      </c>
      <c r="C146" s="71">
        <v>44341</v>
      </c>
      <c r="D146" s="71">
        <v>44490</v>
      </c>
      <c r="E146" s="71">
        <v>44342</v>
      </c>
      <c r="F146" s="71">
        <v>44488</v>
      </c>
      <c r="G146" s="71">
        <v>44488</v>
      </c>
      <c r="H146" s="71">
        <v>44486</v>
      </c>
      <c r="I146" s="71">
        <v>44489</v>
      </c>
      <c r="J146" s="72">
        <v>44350</v>
      </c>
      <c r="K146" s="71">
        <v>44483</v>
      </c>
      <c r="L146" s="71"/>
      <c r="M146" s="71">
        <v>44481</v>
      </c>
      <c r="N146" s="71">
        <v>44487</v>
      </c>
      <c r="O146" s="71"/>
      <c r="P146" s="71">
        <v>44489</v>
      </c>
      <c r="Q146" s="71">
        <v>44487</v>
      </c>
      <c r="R146" s="71"/>
      <c r="S146" s="71">
        <v>44487</v>
      </c>
      <c r="T146" s="71">
        <v>44483</v>
      </c>
      <c r="U146" s="71">
        <v>44487</v>
      </c>
      <c r="V146" s="71">
        <v>44483</v>
      </c>
      <c r="W146" s="71"/>
      <c r="X146" s="71"/>
      <c r="Y146" s="71"/>
      <c r="Z146" s="71">
        <v>44487</v>
      </c>
      <c r="AA146" s="71"/>
      <c r="AB146" s="71">
        <v>44487</v>
      </c>
      <c r="AC146" s="71">
        <v>44487</v>
      </c>
      <c r="AD146" s="71"/>
      <c r="AE146" s="71">
        <v>44490</v>
      </c>
      <c r="AF146" s="71"/>
      <c r="AG146" s="71"/>
      <c r="AH146" s="71">
        <v>44349</v>
      </c>
      <c r="AI146" s="71">
        <v>44488</v>
      </c>
      <c r="AJ146" s="71">
        <v>44487</v>
      </c>
      <c r="AK146" s="71"/>
      <c r="AL146" s="71"/>
      <c r="AM146" s="71"/>
      <c r="AN146" s="71"/>
      <c r="AO146" s="71"/>
      <c r="AP146" s="71"/>
      <c r="AQ146" s="71">
        <v>44349</v>
      </c>
      <c r="AR146" s="71"/>
      <c r="AS146" s="71"/>
      <c r="AT146" s="71"/>
      <c r="AU146" s="71"/>
      <c r="AV146" s="71"/>
      <c r="AW146" s="71"/>
      <c r="AX146" s="71"/>
      <c r="AY146" s="72">
        <v>44028</v>
      </c>
      <c r="AZ146" s="71"/>
      <c r="BA146" s="71">
        <v>44342</v>
      </c>
      <c r="BB146" s="71">
        <v>44486</v>
      </c>
      <c r="BC146" s="71">
        <v>44482</v>
      </c>
      <c r="BD146" s="71"/>
      <c r="BE146" s="71"/>
      <c r="BF146" s="71"/>
      <c r="BG146" s="71">
        <v>44341</v>
      </c>
      <c r="BH146" s="71"/>
      <c r="BI146" s="71"/>
      <c r="BJ146" s="71"/>
      <c r="BK146" s="70"/>
      <c r="BL146" s="70"/>
      <c r="BM146" s="70"/>
      <c r="BN146" s="70"/>
      <c r="BO146" s="70"/>
    </row>
    <row r="147" spans="1:67" x14ac:dyDescent="0.4">
      <c r="A147" s="86">
        <v>4450000</v>
      </c>
      <c r="B147" s="74" t="s">
        <v>142</v>
      </c>
      <c r="C147" s="71">
        <v>44434</v>
      </c>
      <c r="D147" s="71">
        <v>44260</v>
      </c>
      <c r="E147" s="71">
        <v>44432</v>
      </c>
      <c r="F147" s="71">
        <v>44428</v>
      </c>
      <c r="G147" s="71">
        <v>44428</v>
      </c>
      <c r="H147" s="71">
        <v>44372</v>
      </c>
      <c r="I147" s="71">
        <v>44337</v>
      </c>
      <c r="J147" s="71">
        <v>44433</v>
      </c>
      <c r="K147" s="71">
        <v>44431</v>
      </c>
      <c r="L147" s="71"/>
      <c r="M147" s="71">
        <v>44428</v>
      </c>
      <c r="N147" s="71">
        <v>44264</v>
      </c>
      <c r="O147" s="71"/>
      <c r="P147" s="71"/>
      <c r="Q147" s="71">
        <v>44462</v>
      </c>
      <c r="R147" s="71"/>
      <c r="S147" s="71">
        <v>44259</v>
      </c>
      <c r="T147" s="71">
        <v>44186</v>
      </c>
      <c r="U147" s="71">
        <v>44260</v>
      </c>
      <c r="V147" s="71">
        <v>44258</v>
      </c>
      <c r="W147" s="71"/>
      <c r="X147" s="71"/>
      <c r="Y147" s="71"/>
      <c r="Z147" s="71">
        <v>44383</v>
      </c>
      <c r="AA147" s="71"/>
      <c r="AB147" s="71"/>
      <c r="AC147" s="71"/>
      <c r="AD147" s="71">
        <v>44259</v>
      </c>
      <c r="AE147" s="71">
        <v>44379</v>
      </c>
      <c r="AF147" s="71">
        <v>44432</v>
      </c>
      <c r="AG147" s="71">
        <v>44431</v>
      </c>
      <c r="AH147" s="71">
        <v>44431</v>
      </c>
      <c r="AI147" s="71">
        <v>44379</v>
      </c>
      <c r="AJ147" s="71">
        <v>44259</v>
      </c>
      <c r="AK147" s="71"/>
      <c r="AL147" s="71"/>
      <c r="AM147" s="71"/>
      <c r="AN147" s="71"/>
      <c r="AO147" s="71"/>
      <c r="AP147" s="71"/>
      <c r="AQ147" s="71">
        <v>44428</v>
      </c>
      <c r="AR147" s="71"/>
      <c r="AS147" s="71"/>
      <c r="AT147" s="71">
        <v>44434</v>
      </c>
      <c r="AU147" s="71">
        <v>44354</v>
      </c>
      <c r="AV147" s="71">
        <v>44446</v>
      </c>
      <c r="AW147" s="71">
        <v>44462</v>
      </c>
      <c r="AX147" s="71">
        <v>44446</v>
      </c>
      <c r="AY147" s="71"/>
      <c r="AZ147" s="71"/>
      <c r="BA147" s="71"/>
      <c r="BB147" s="71"/>
      <c r="BC147" s="71"/>
      <c r="BD147" s="71"/>
      <c r="BE147" s="71"/>
      <c r="BF147" s="71"/>
      <c r="BG147" s="71"/>
      <c r="BH147" s="71"/>
      <c r="BI147" s="71"/>
      <c r="BJ147" s="71"/>
      <c r="BK147" s="70"/>
      <c r="BL147" s="70"/>
      <c r="BM147" s="70"/>
      <c r="BN147" s="70"/>
      <c r="BO147" s="70"/>
    </row>
    <row r="148" spans="1:67" x14ac:dyDescent="0.4">
      <c r="A148" s="86">
        <v>4460000</v>
      </c>
      <c r="B148" s="74" t="s">
        <v>143</v>
      </c>
      <c r="C148" s="71">
        <v>44493</v>
      </c>
      <c r="D148" s="71">
        <v>44494</v>
      </c>
      <c r="E148" s="71">
        <v>44375</v>
      </c>
      <c r="F148" s="71">
        <v>44495</v>
      </c>
      <c r="G148" s="71">
        <v>44495</v>
      </c>
      <c r="H148" s="71">
        <v>44365</v>
      </c>
      <c r="I148" s="71">
        <v>44495</v>
      </c>
      <c r="J148" s="71">
        <v>44490</v>
      </c>
      <c r="K148" s="71">
        <v>44489</v>
      </c>
      <c r="L148" s="71">
        <v>44372</v>
      </c>
      <c r="M148" s="71">
        <v>44495</v>
      </c>
      <c r="N148" s="71">
        <v>44375</v>
      </c>
      <c r="O148" s="71">
        <v>44493</v>
      </c>
      <c r="P148" s="71">
        <v>44372</v>
      </c>
      <c r="Q148" s="71">
        <v>44495</v>
      </c>
      <c r="R148" s="71">
        <v>44490</v>
      </c>
      <c r="S148" s="71">
        <v>44495</v>
      </c>
      <c r="T148" s="71">
        <v>44489</v>
      </c>
      <c r="U148" s="71">
        <v>44490</v>
      </c>
      <c r="V148" s="71">
        <v>44375</v>
      </c>
      <c r="W148" s="71"/>
      <c r="X148" s="71"/>
      <c r="Y148" s="71"/>
      <c r="Z148" s="71">
        <v>44493</v>
      </c>
      <c r="AA148" s="71">
        <v>44365</v>
      </c>
      <c r="AB148" s="71">
        <v>44365</v>
      </c>
      <c r="AC148" s="71">
        <v>44377</v>
      </c>
      <c r="AD148" s="71">
        <v>44495</v>
      </c>
      <c r="AE148" s="71"/>
      <c r="AF148" s="71">
        <v>44495</v>
      </c>
      <c r="AG148" s="71"/>
      <c r="AH148" s="71">
        <v>44495</v>
      </c>
      <c r="AI148" s="71">
        <v>44493</v>
      </c>
      <c r="AJ148" s="71">
        <v>44493</v>
      </c>
      <c r="AK148" s="71"/>
      <c r="AL148" s="71"/>
      <c r="AM148" s="71"/>
      <c r="AN148" s="71">
        <v>44495</v>
      </c>
      <c r="AO148" s="71"/>
      <c r="AP148" s="71"/>
      <c r="AQ148" s="71">
        <v>44495</v>
      </c>
      <c r="AR148" s="71">
        <v>44493</v>
      </c>
      <c r="AS148" s="71"/>
      <c r="AT148" s="71"/>
      <c r="AU148" s="71">
        <v>44493</v>
      </c>
      <c r="AV148" s="71"/>
      <c r="AW148" s="71">
        <v>44493</v>
      </c>
      <c r="AX148" s="71"/>
      <c r="AY148" s="71"/>
      <c r="AZ148" s="71">
        <v>44495</v>
      </c>
      <c r="BA148" s="71">
        <v>44495</v>
      </c>
      <c r="BB148" s="71">
        <v>44495</v>
      </c>
      <c r="BC148" s="71"/>
      <c r="BD148" s="71"/>
      <c r="BE148" s="71">
        <v>44495</v>
      </c>
      <c r="BF148" s="71"/>
      <c r="BG148" s="71">
        <v>44493</v>
      </c>
      <c r="BH148" s="71"/>
      <c r="BI148" s="71"/>
      <c r="BJ148" s="71"/>
      <c r="BK148" s="70"/>
      <c r="BL148" s="70"/>
      <c r="BM148" s="70"/>
      <c r="BN148" s="70"/>
      <c r="BO148" s="70"/>
    </row>
    <row r="149" spans="1:67" x14ac:dyDescent="0.4">
      <c r="A149" s="86">
        <v>4470000</v>
      </c>
      <c r="B149" s="74" t="s">
        <v>144</v>
      </c>
      <c r="C149" s="71">
        <v>44370</v>
      </c>
      <c r="D149" s="71">
        <v>44187</v>
      </c>
      <c r="E149" s="71"/>
      <c r="F149" s="71">
        <v>44426</v>
      </c>
      <c r="G149" s="72">
        <v>44187</v>
      </c>
      <c r="H149" s="71">
        <v>44187</v>
      </c>
      <c r="I149" s="71">
        <v>44491</v>
      </c>
      <c r="J149" s="71">
        <v>44466</v>
      </c>
      <c r="K149" s="71">
        <v>44341</v>
      </c>
      <c r="L149" s="71"/>
      <c r="M149" s="71">
        <v>44476</v>
      </c>
      <c r="N149" s="71">
        <v>44187</v>
      </c>
      <c r="O149" s="71"/>
      <c r="P149" s="71">
        <v>44158</v>
      </c>
      <c r="Q149" s="71">
        <v>44187</v>
      </c>
      <c r="R149" s="71"/>
      <c r="S149" s="71">
        <v>44189</v>
      </c>
      <c r="T149" s="71">
        <v>44189</v>
      </c>
      <c r="U149" s="71">
        <v>44376</v>
      </c>
      <c r="V149" s="71">
        <v>44189</v>
      </c>
      <c r="W149" s="71"/>
      <c r="X149" s="71"/>
      <c r="Y149" s="71"/>
      <c r="Z149" s="71"/>
      <c r="AA149" s="71">
        <v>44376</v>
      </c>
      <c r="AB149" s="71">
        <v>44187</v>
      </c>
      <c r="AC149" s="71">
        <v>44376</v>
      </c>
      <c r="AD149" s="71">
        <v>44376</v>
      </c>
      <c r="AE149" s="71">
        <v>44187</v>
      </c>
      <c r="AF149" s="71"/>
      <c r="AG149" s="71"/>
      <c r="AH149" s="71">
        <v>44336</v>
      </c>
      <c r="AI149" s="71"/>
      <c r="AJ149" s="71">
        <v>44187</v>
      </c>
      <c r="AK149" s="71"/>
      <c r="AL149" s="71"/>
      <c r="AM149" s="71"/>
      <c r="AN149" s="71"/>
      <c r="AO149" s="71"/>
      <c r="AP149" s="71"/>
      <c r="AQ149" s="71">
        <v>44187</v>
      </c>
      <c r="AR149" s="71"/>
      <c r="AS149" s="71"/>
      <c r="AT149" s="71"/>
      <c r="AU149" s="71">
        <v>44376</v>
      </c>
      <c r="AV149" s="71"/>
      <c r="AW149" s="71"/>
      <c r="AX149" s="71"/>
      <c r="AY149" s="71"/>
      <c r="AZ149" s="71"/>
      <c r="BA149" s="71">
        <v>44448</v>
      </c>
      <c r="BB149" s="71">
        <v>44495</v>
      </c>
      <c r="BC149" s="71"/>
      <c r="BD149" s="71"/>
      <c r="BE149" s="71"/>
      <c r="BF149" s="71"/>
      <c r="BG149" s="71"/>
      <c r="BH149" s="71">
        <v>44495</v>
      </c>
      <c r="BI149" s="71"/>
      <c r="BJ149" s="71"/>
      <c r="BK149" s="70"/>
      <c r="BL149" s="70"/>
      <c r="BM149" s="70"/>
      <c r="BN149" s="70"/>
      <c r="BO149" s="70"/>
    </row>
    <row r="150" spans="1:67" x14ac:dyDescent="0.4">
      <c r="A150" s="86">
        <v>4480000</v>
      </c>
      <c r="B150" s="74" t="s">
        <v>145</v>
      </c>
      <c r="C150" s="71">
        <v>44495</v>
      </c>
      <c r="D150" s="71">
        <v>44319</v>
      </c>
      <c r="E150" s="71">
        <v>44453</v>
      </c>
      <c r="F150" s="71">
        <v>44455</v>
      </c>
      <c r="G150" s="71">
        <v>44481</v>
      </c>
      <c r="H150" s="71">
        <v>44327</v>
      </c>
      <c r="I150" s="71">
        <v>44288</v>
      </c>
      <c r="J150" s="71">
        <v>44481</v>
      </c>
      <c r="K150" s="71">
        <v>44455</v>
      </c>
      <c r="L150" s="71">
        <v>44369</v>
      </c>
      <c r="M150" s="71">
        <v>44456</v>
      </c>
      <c r="N150" s="71">
        <v>44445</v>
      </c>
      <c r="O150" s="71"/>
      <c r="P150" s="71">
        <v>44449</v>
      </c>
      <c r="Q150" s="71">
        <v>44449</v>
      </c>
      <c r="R150" s="71">
        <v>44447</v>
      </c>
      <c r="S150" s="71">
        <v>44445</v>
      </c>
      <c r="T150" s="71">
        <v>44319</v>
      </c>
      <c r="U150" s="71">
        <v>44300</v>
      </c>
      <c r="V150" s="71"/>
      <c r="W150" s="71"/>
      <c r="X150" s="71">
        <v>44455</v>
      </c>
      <c r="Y150" s="71"/>
      <c r="Z150" s="71"/>
      <c r="AA150" s="71">
        <v>44445</v>
      </c>
      <c r="AB150" s="71">
        <v>44369</v>
      </c>
      <c r="AC150" s="71">
        <v>44449</v>
      </c>
      <c r="AD150" s="71"/>
      <c r="AE150" s="71"/>
      <c r="AF150" s="71"/>
      <c r="AG150" s="71"/>
      <c r="AH150" s="71">
        <v>44497</v>
      </c>
      <c r="AI150" s="71"/>
      <c r="AJ150" s="71">
        <v>44369</v>
      </c>
      <c r="AK150" s="71"/>
      <c r="AL150" s="71"/>
      <c r="AM150" s="71">
        <v>44392</v>
      </c>
      <c r="AN150" s="71"/>
      <c r="AO150" s="71"/>
      <c r="AP150" s="71"/>
      <c r="AQ150" s="71"/>
      <c r="AR150" s="71"/>
      <c r="AS150" s="71"/>
      <c r="AT150" s="71"/>
      <c r="AU150" s="71">
        <v>44407</v>
      </c>
      <c r="AV150" s="71"/>
      <c r="AW150" s="71">
        <v>44319</v>
      </c>
      <c r="AX150" s="71"/>
      <c r="AY150" s="71">
        <v>44495</v>
      </c>
      <c r="AZ150" s="71"/>
      <c r="BA150" s="71">
        <v>44407</v>
      </c>
      <c r="BB150" s="71">
        <v>44392</v>
      </c>
      <c r="BC150" s="71"/>
      <c r="BD150" s="71"/>
      <c r="BE150" s="71"/>
      <c r="BF150" s="71"/>
      <c r="BG150" s="71">
        <v>44488</v>
      </c>
      <c r="BH150" s="71"/>
      <c r="BI150" s="71"/>
      <c r="BJ150" s="71"/>
      <c r="BK150" s="70"/>
      <c r="BL150" s="70"/>
      <c r="BM150" s="70"/>
      <c r="BN150" s="70"/>
      <c r="BO150" s="70"/>
    </row>
    <row r="151" spans="1:67" x14ac:dyDescent="0.4">
      <c r="A151" s="86">
        <v>6440000</v>
      </c>
      <c r="B151" s="74" t="s">
        <v>146</v>
      </c>
      <c r="C151" s="71"/>
      <c r="D151" s="71">
        <v>44484</v>
      </c>
      <c r="E151" s="71"/>
      <c r="F151" s="71"/>
      <c r="G151" s="71">
        <v>44447</v>
      </c>
      <c r="H151" s="71"/>
      <c r="I151" s="71">
        <v>44228</v>
      </c>
      <c r="J151" s="71"/>
      <c r="K151" s="71">
        <v>44363</v>
      </c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>
        <v>44229</v>
      </c>
      <c r="AL151" s="71"/>
      <c r="AM151" s="72">
        <v>44207</v>
      </c>
      <c r="AN151" s="71"/>
      <c r="AO151" s="71"/>
      <c r="AP151" s="71"/>
      <c r="AQ151" s="71"/>
      <c r="AR151" s="71"/>
      <c r="AS151" s="71"/>
      <c r="AT151" s="71"/>
      <c r="AU151" s="71"/>
      <c r="AV151" s="71"/>
      <c r="AW151" s="71">
        <v>44363</v>
      </c>
      <c r="AX151" s="71"/>
      <c r="AY151" s="71"/>
      <c r="AZ151" s="71"/>
      <c r="BA151" s="71"/>
      <c r="BB151" s="71"/>
      <c r="BC151" s="71"/>
      <c r="BD151" s="71"/>
      <c r="BE151" s="71"/>
      <c r="BF151" s="71"/>
      <c r="BG151" s="71"/>
      <c r="BH151" s="71"/>
      <c r="BI151" s="71">
        <v>44232</v>
      </c>
      <c r="BJ151" s="71"/>
      <c r="BK151" s="70"/>
      <c r="BL151" s="70"/>
      <c r="BM151" s="70"/>
      <c r="BN151" s="70"/>
      <c r="BO151" s="70"/>
    </row>
    <row r="152" spans="1:67" x14ac:dyDescent="0.4">
      <c r="A152" s="86">
        <v>4490000</v>
      </c>
      <c r="B152" s="74" t="s">
        <v>147</v>
      </c>
      <c r="C152" s="71">
        <v>44482</v>
      </c>
      <c r="D152" s="71">
        <v>44482</v>
      </c>
      <c r="E152" s="71">
        <v>44482</v>
      </c>
      <c r="F152" s="71">
        <v>44484</v>
      </c>
      <c r="G152" s="71">
        <v>44482</v>
      </c>
      <c r="H152" s="71">
        <v>44175</v>
      </c>
      <c r="I152" s="71">
        <v>44469</v>
      </c>
      <c r="J152" s="71">
        <v>44476</v>
      </c>
      <c r="K152" s="71">
        <v>44484</v>
      </c>
      <c r="L152" s="71">
        <v>44484</v>
      </c>
      <c r="M152" s="71">
        <v>44491</v>
      </c>
      <c r="N152" s="71">
        <v>44468</v>
      </c>
      <c r="O152" s="71"/>
      <c r="P152" s="71">
        <v>44183</v>
      </c>
      <c r="Q152" s="71">
        <v>44482</v>
      </c>
      <c r="R152" s="71">
        <v>44187</v>
      </c>
      <c r="S152" s="71">
        <v>44180</v>
      </c>
      <c r="T152" s="71">
        <v>44475</v>
      </c>
      <c r="U152" s="71">
        <v>44187</v>
      </c>
      <c r="V152" s="71">
        <v>44188</v>
      </c>
      <c r="W152" s="71"/>
      <c r="X152" s="71">
        <v>44181</v>
      </c>
      <c r="Y152" s="71"/>
      <c r="Z152" s="71"/>
      <c r="AA152" s="71">
        <v>44467</v>
      </c>
      <c r="AB152" s="71">
        <v>44475</v>
      </c>
      <c r="AC152" s="71">
        <v>44180</v>
      </c>
      <c r="AD152" s="71">
        <v>44173</v>
      </c>
      <c r="AE152" s="71">
        <v>44180</v>
      </c>
      <c r="AF152" s="71"/>
      <c r="AG152" s="71">
        <v>44482</v>
      </c>
      <c r="AH152" s="71">
        <v>44475</v>
      </c>
      <c r="AI152" s="71"/>
      <c r="AJ152" s="71">
        <v>44484</v>
      </c>
      <c r="AK152" s="71"/>
      <c r="AL152" s="71"/>
      <c r="AM152" s="71">
        <v>44482</v>
      </c>
      <c r="AN152" s="71">
        <v>44483</v>
      </c>
      <c r="AO152" s="71"/>
      <c r="AP152" s="71">
        <v>44456</v>
      </c>
      <c r="AQ152" s="71">
        <v>44183</v>
      </c>
      <c r="AR152" s="71">
        <v>44490</v>
      </c>
      <c r="AS152" s="71">
        <v>44491</v>
      </c>
      <c r="AT152" s="71"/>
      <c r="AU152" s="71">
        <v>44483</v>
      </c>
      <c r="AV152" s="71"/>
      <c r="AW152" s="71">
        <v>44491</v>
      </c>
      <c r="AX152" s="71">
        <v>44476</v>
      </c>
      <c r="AY152" s="71"/>
      <c r="AZ152" s="71"/>
      <c r="BA152" s="71"/>
      <c r="BB152" s="71"/>
      <c r="BC152" s="71">
        <v>44482</v>
      </c>
      <c r="BD152" s="71"/>
      <c r="BE152" s="71"/>
      <c r="BF152" s="71"/>
      <c r="BG152" s="71">
        <v>44484</v>
      </c>
      <c r="BH152" s="71"/>
      <c r="BI152" s="71"/>
      <c r="BJ152" s="71"/>
      <c r="BK152" s="70"/>
      <c r="BL152" s="70"/>
      <c r="BM152" s="70"/>
      <c r="BN152" s="70"/>
      <c r="BO152" s="70"/>
    </row>
    <row r="153" spans="1:67" x14ac:dyDescent="0.4">
      <c r="A153" s="86">
        <v>4500000</v>
      </c>
      <c r="B153" s="74" t="s">
        <v>148</v>
      </c>
      <c r="C153" s="71">
        <v>44491</v>
      </c>
      <c r="D153" s="71">
        <v>44188</v>
      </c>
      <c r="E153" s="71">
        <v>44491</v>
      </c>
      <c r="F153" s="71">
        <v>44491</v>
      </c>
      <c r="G153" s="71">
        <v>44491</v>
      </c>
      <c r="H153" s="71">
        <v>44188</v>
      </c>
      <c r="I153" s="71">
        <v>44491</v>
      </c>
      <c r="J153" s="71">
        <v>44491</v>
      </c>
      <c r="K153" s="71">
        <v>44491</v>
      </c>
      <c r="L153" s="71">
        <v>44491</v>
      </c>
      <c r="M153" s="71">
        <v>44491</v>
      </c>
      <c r="N153" s="71">
        <v>44188</v>
      </c>
      <c r="O153" s="71">
        <v>44188</v>
      </c>
      <c r="P153" s="72">
        <v>44133</v>
      </c>
      <c r="Q153" s="72">
        <v>44133</v>
      </c>
      <c r="R153" s="71"/>
      <c r="S153" s="71">
        <v>44188</v>
      </c>
      <c r="T153" s="72">
        <v>44133</v>
      </c>
      <c r="U153" s="72">
        <v>44133</v>
      </c>
      <c r="V153" s="71">
        <v>44188</v>
      </c>
      <c r="W153" s="71"/>
      <c r="X153" s="71"/>
      <c r="Y153" s="71"/>
      <c r="Z153" s="71">
        <v>44188</v>
      </c>
      <c r="AA153" s="71"/>
      <c r="AB153" s="71">
        <v>44188</v>
      </c>
      <c r="AC153" s="71">
        <v>44188</v>
      </c>
      <c r="AD153" s="72">
        <v>44133</v>
      </c>
      <c r="AE153" s="71">
        <v>44188</v>
      </c>
      <c r="AF153" s="71"/>
      <c r="AG153" s="71"/>
      <c r="AH153" s="71">
        <v>44491</v>
      </c>
      <c r="AI153" s="71">
        <v>44491</v>
      </c>
      <c r="AJ153" s="71">
        <v>44491</v>
      </c>
      <c r="AK153" s="71"/>
      <c r="AL153" s="71"/>
      <c r="AM153" s="71">
        <v>44491</v>
      </c>
      <c r="AN153" s="71"/>
      <c r="AO153" s="71"/>
      <c r="AP153" s="71">
        <v>44491</v>
      </c>
      <c r="AQ153" s="71"/>
      <c r="AR153" s="71"/>
      <c r="AS153" s="71"/>
      <c r="AT153" s="71"/>
      <c r="AU153" s="71">
        <v>44491</v>
      </c>
      <c r="AV153" s="71">
        <v>44491</v>
      </c>
      <c r="AW153" s="71"/>
      <c r="AX153" s="71"/>
      <c r="AY153" s="71"/>
      <c r="AZ153" s="71"/>
      <c r="BA153" s="71"/>
      <c r="BB153" s="71">
        <v>44491</v>
      </c>
      <c r="BC153" s="71"/>
      <c r="BD153" s="71"/>
      <c r="BE153" s="71"/>
      <c r="BF153" s="71"/>
      <c r="BG153" s="71"/>
      <c r="BH153" s="71"/>
      <c r="BI153" s="71"/>
      <c r="BJ153" s="71"/>
      <c r="BK153" s="70"/>
      <c r="BL153" s="70"/>
      <c r="BM153" s="70"/>
      <c r="BN153" s="70"/>
      <c r="BO153" s="70"/>
    </row>
    <row r="154" spans="1:67" x14ac:dyDescent="0.4">
      <c r="A154" s="86">
        <v>4510000</v>
      </c>
      <c r="B154" s="74" t="s">
        <v>149</v>
      </c>
      <c r="C154" s="71">
        <v>44453</v>
      </c>
      <c r="D154" s="71">
        <v>44266</v>
      </c>
      <c r="E154" s="71">
        <v>44378</v>
      </c>
      <c r="F154" s="71">
        <v>44446</v>
      </c>
      <c r="G154" s="71">
        <v>44495</v>
      </c>
      <c r="H154" s="71">
        <v>44266</v>
      </c>
      <c r="I154" s="71">
        <v>44392</v>
      </c>
      <c r="J154" s="71">
        <v>44425</v>
      </c>
      <c r="K154" s="71">
        <v>44390</v>
      </c>
      <c r="L154" s="71">
        <v>44293</v>
      </c>
      <c r="M154" s="71">
        <v>44497</v>
      </c>
      <c r="N154" s="71">
        <v>44285</v>
      </c>
      <c r="O154" s="71"/>
      <c r="P154" s="71">
        <v>44285</v>
      </c>
      <c r="Q154" s="71"/>
      <c r="R154" s="71"/>
      <c r="S154" s="71">
        <v>44398</v>
      </c>
      <c r="T154" s="71">
        <v>44393</v>
      </c>
      <c r="U154" s="71">
        <v>44285</v>
      </c>
      <c r="V154" s="71">
        <v>44357</v>
      </c>
      <c r="W154" s="71"/>
      <c r="X154" s="71"/>
      <c r="Y154" s="71"/>
      <c r="Z154" s="71">
        <v>44287</v>
      </c>
      <c r="AA154" s="71">
        <v>44287</v>
      </c>
      <c r="AB154" s="71">
        <v>44287</v>
      </c>
      <c r="AC154" s="71">
        <v>44502</v>
      </c>
      <c r="AD154" s="71">
        <v>44497</v>
      </c>
      <c r="AE154" s="71">
        <v>44287</v>
      </c>
      <c r="AF154" s="71"/>
      <c r="AG154" s="71"/>
      <c r="AH154" s="71">
        <v>44449</v>
      </c>
      <c r="AI154" s="71">
        <v>44378</v>
      </c>
      <c r="AJ154" s="71">
        <v>44378</v>
      </c>
      <c r="AK154" s="71"/>
      <c r="AL154" s="71"/>
      <c r="AM154" s="71">
        <v>44441</v>
      </c>
      <c r="AN154" s="71"/>
      <c r="AO154" s="71"/>
      <c r="AP154" s="71"/>
      <c r="AQ154" s="71"/>
      <c r="AR154" s="71">
        <v>44446</v>
      </c>
      <c r="AS154" s="71"/>
      <c r="AT154" s="71"/>
      <c r="AU154" s="71">
        <v>44495</v>
      </c>
      <c r="AV154" s="71"/>
      <c r="AW154" s="71">
        <v>44293</v>
      </c>
      <c r="AX154" s="71"/>
      <c r="AY154" s="71"/>
      <c r="AZ154" s="71"/>
      <c r="BA154" s="71">
        <v>44378</v>
      </c>
      <c r="BB154" s="71">
        <v>44329</v>
      </c>
      <c r="BC154" s="71"/>
      <c r="BD154" s="71"/>
      <c r="BE154" s="71"/>
      <c r="BF154" s="71"/>
      <c r="BG154" s="71"/>
      <c r="BH154" s="71"/>
      <c r="BI154" s="71"/>
      <c r="BJ154" s="71"/>
      <c r="BK154" s="70"/>
      <c r="BL154" s="70"/>
      <c r="BM154" s="70"/>
      <c r="BN154" s="70"/>
      <c r="BO154" s="70"/>
    </row>
    <row r="155" spans="1:67" x14ac:dyDescent="0.4">
      <c r="A155" s="86">
        <v>4520000</v>
      </c>
      <c r="B155" s="74" t="s">
        <v>150</v>
      </c>
      <c r="C155" s="72">
        <v>43742</v>
      </c>
      <c r="D155" s="71"/>
      <c r="E155" s="71">
        <v>44435</v>
      </c>
      <c r="F155" s="71">
        <v>44435</v>
      </c>
      <c r="G155" s="71">
        <v>44442</v>
      </c>
      <c r="H155" s="72">
        <v>44097</v>
      </c>
      <c r="I155" s="71">
        <v>44448</v>
      </c>
      <c r="J155" s="71">
        <v>44435</v>
      </c>
      <c r="K155" s="71">
        <v>44497</v>
      </c>
      <c r="L155" s="71"/>
      <c r="M155" s="71"/>
      <c r="N155" s="72">
        <v>44025</v>
      </c>
      <c r="O155" s="72">
        <v>44025</v>
      </c>
      <c r="P155" s="72">
        <v>44126</v>
      </c>
      <c r="Q155" s="71">
        <v>44440</v>
      </c>
      <c r="R155" s="71"/>
      <c r="S155" s="71">
        <v>44502</v>
      </c>
      <c r="T155" s="72">
        <v>44123</v>
      </c>
      <c r="U155" s="72">
        <v>44130</v>
      </c>
      <c r="V155" s="72">
        <v>44125</v>
      </c>
      <c r="W155" s="71"/>
      <c r="X155" s="71">
        <v>44137</v>
      </c>
      <c r="Y155" s="71"/>
      <c r="Z155" s="71">
        <v>44498</v>
      </c>
      <c r="AA155" s="71">
        <v>44502</v>
      </c>
      <c r="AB155" s="71"/>
      <c r="AC155" s="71"/>
      <c r="AD155" s="71"/>
      <c r="AE155" s="71">
        <v>44504</v>
      </c>
      <c r="AF155" s="71"/>
      <c r="AG155" s="71">
        <v>44474</v>
      </c>
      <c r="AH155" s="71">
        <v>44462</v>
      </c>
      <c r="AI155" s="72">
        <v>44130</v>
      </c>
      <c r="AJ155" s="72">
        <v>44118</v>
      </c>
      <c r="AK155" s="71"/>
      <c r="AL155" s="71">
        <v>44442</v>
      </c>
      <c r="AM155" s="71">
        <v>44470</v>
      </c>
      <c r="AN155" s="71"/>
      <c r="AO155" s="71"/>
      <c r="AP155" s="71"/>
      <c r="AQ155" s="71"/>
      <c r="AR155" s="71">
        <v>44421</v>
      </c>
      <c r="AS155" s="71"/>
      <c r="AT155" s="71"/>
      <c r="AU155" s="71">
        <v>44466</v>
      </c>
      <c r="AV155" s="72">
        <v>44089</v>
      </c>
      <c r="AW155" s="71"/>
      <c r="AX155" s="71">
        <v>44144</v>
      </c>
      <c r="AY155" s="71"/>
      <c r="AZ155" s="71"/>
      <c r="BA155" s="72">
        <v>44103</v>
      </c>
      <c r="BB155" s="72">
        <v>44123</v>
      </c>
      <c r="BC155" s="71"/>
      <c r="BD155" s="71"/>
      <c r="BE155" s="71">
        <v>44462</v>
      </c>
      <c r="BF155" s="71"/>
      <c r="BG155" s="72">
        <v>44161</v>
      </c>
      <c r="BH155" s="71"/>
      <c r="BI155" s="71"/>
      <c r="BJ155" s="71"/>
      <c r="BK155" s="70"/>
      <c r="BL155" s="70"/>
      <c r="BM155" s="70"/>
      <c r="BN155" s="70"/>
      <c r="BO155" s="70"/>
    </row>
    <row r="156" spans="1:67" x14ac:dyDescent="0.4">
      <c r="A156" s="86">
        <v>4530000</v>
      </c>
      <c r="B156" s="74" t="s">
        <v>151</v>
      </c>
      <c r="C156" s="71">
        <v>44425</v>
      </c>
      <c r="D156" s="71">
        <v>44425</v>
      </c>
      <c r="E156" s="71">
        <v>44425</v>
      </c>
      <c r="F156" s="71">
        <v>44414</v>
      </c>
      <c r="G156" s="71">
        <v>44484</v>
      </c>
      <c r="H156" s="71">
        <v>44400</v>
      </c>
      <c r="I156" s="71">
        <v>44427</v>
      </c>
      <c r="J156" s="71">
        <v>44425</v>
      </c>
      <c r="K156" s="71"/>
      <c r="L156" s="71">
        <v>44417</v>
      </c>
      <c r="M156" s="71">
        <v>44425</v>
      </c>
      <c r="N156" s="71">
        <v>44484</v>
      </c>
      <c r="O156" s="71"/>
      <c r="P156" s="71">
        <v>44425</v>
      </c>
      <c r="Q156" s="71">
        <v>44435</v>
      </c>
      <c r="R156" s="71"/>
      <c r="S156" s="71">
        <v>44425</v>
      </c>
      <c r="T156" s="71">
        <v>44400</v>
      </c>
      <c r="U156" s="71">
        <v>44433</v>
      </c>
      <c r="V156" s="71">
        <v>44400</v>
      </c>
      <c r="W156" s="71"/>
      <c r="X156" s="71">
        <v>44425</v>
      </c>
      <c r="Y156" s="71">
        <v>44400</v>
      </c>
      <c r="Z156" s="71">
        <v>44400</v>
      </c>
      <c r="AA156" s="71">
        <v>44425</v>
      </c>
      <c r="AB156" s="71">
        <v>44414</v>
      </c>
      <c r="AC156" s="71">
        <v>44417</v>
      </c>
      <c r="AD156" s="71"/>
      <c r="AE156" s="71"/>
      <c r="AF156" s="71"/>
      <c r="AG156" s="71">
        <v>44400</v>
      </c>
      <c r="AH156" s="71">
        <v>44425</v>
      </c>
      <c r="AI156" s="71">
        <v>44400</v>
      </c>
      <c r="AJ156" s="71">
        <v>44400</v>
      </c>
      <c r="AK156" s="71"/>
      <c r="AL156" s="72">
        <v>44400</v>
      </c>
      <c r="AM156" s="71">
        <v>44427</v>
      </c>
      <c r="AN156" s="71">
        <v>44425</v>
      </c>
      <c r="AO156" s="71"/>
      <c r="AP156" s="71">
        <v>44488</v>
      </c>
      <c r="AQ156" s="71">
        <v>44425</v>
      </c>
      <c r="AR156" s="71">
        <v>44488</v>
      </c>
      <c r="AS156" s="71">
        <v>44400</v>
      </c>
      <c r="AT156" s="71">
        <v>44490</v>
      </c>
      <c r="AU156" s="71">
        <v>44414</v>
      </c>
      <c r="AV156" s="71">
        <v>44484</v>
      </c>
      <c r="AW156" s="71">
        <v>44425</v>
      </c>
      <c r="AX156" s="71"/>
      <c r="AY156" s="71">
        <v>44425</v>
      </c>
      <c r="AZ156" s="71"/>
      <c r="BA156" s="71">
        <v>44484</v>
      </c>
      <c r="BB156" s="71">
        <v>44400</v>
      </c>
      <c r="BC156" s="71"/>
      <c r="BD156" s="71"/>
      <c r="BE156" s="71"/>
      <c r="BF156" s="71"/>
      <c r="BG156" s="71">
        <v>44400</v>
      </c>
      <c r="BH156" s="71"/>
      <c r="BI156" s="71"/>
      <c r="BJ156" s="71"/>
      <c r="BK156" s="70"/>
      <c r="BL156" s="70"/>
      <c r="BM156" s="70"/>
      <c r="BN156" s="70"/>
      <c r="BO156" s="70"/>
    </row>
    <row r="157" spans="1:67" x14ac:dyDescent="0.4">
      <c r="A157" s="86">
        <v>4540000</v>
      </c>
      <c r="B157" s="74" t="s">
        <v>152</v>
      </c>
      <c r="C157" s="71">
        <v>44487</v>
      </c>
      <c r="D157" s="71">
        <v>44487</v>
      </c>
      <c r="E157" s="71">
        <v>44487</v>
      </c>
      <c r="F157" s="71">
        <v>44488</v>
      </c>
      <c r="G157" s="71">
        <v>44488</v>
      </c>
      <c r="H157" s="71">
        <v>44487</v>
      </c>
      <c r="I157" s="71">
        <v>44489</v>
      </c>
      <c r="J157" s="71">
        <v>44487</v>
      </c>
      <c r="K157" s="71">
        <v>44487</v>
      </c>
      <c r="L157" s="71">
        <v>44489</v>
      </c>
      <c r="M157" s="71">
        <v>44487</v>
      </c>
      <c r="N157" s="71">
        <v>44488</v>
      </c>
      <c r="O157" s="71"/>
      <c r="P157" s="71">
        <v>44487</v>
      </c>
      <c r="Q157" s="71">
        <v>44487</v>
      </c>
      <c r="R157" s="71"/>
      <c r="S157" s="71">
        <v>44487</v>
      </c>
      <c r="T157" s="71">
        <v>44487</v>
      </c>
      <c r="U157" s="71">
        <v>44487</v>
      </c>
      <c r="V157" s="71"/>
      <c r="W157" s="71"/>
      <c r="X157" s="71"/>
      <c r="Y157" s="71"/>
      <c r="Z157" s="71">
        <v>44487</v>
      </c>
      <c r="AA157" s="71">
        <v>44487</v>
      </c>
      <c r="AB157" s="71">
        <v>44488</v>
      </c>
      <c r="AC157" s="71"/>
      <c r="AD157" s="71"/>
      <c r="AE157" s="71">
        <v>44488</v>
      </c>
      <c r="AF157" s="71"/>
      <c r="AG157" s="71">
        <v>44487</v>
      </c>
      <c r="AH157" s="71">
        <v>44487</v>
      </c>
      <c r="AI157" s="71">
        <v>44487</v>
      </c>
      <c r="AJ157" s="71">
        <v>44487</v>
      </c>
      <c r="AK157" s="71">
        <v>44487</v>
      </c>
      <c r="AL157" s="71"/>
      <c r="AM157" s="71"/>
      <c r="AN157" s="71"/>
      <c r="AO157" s="71"/>
      <c r="AP157" s="71">
        <v>44487</v>
      </c>
      <c r="AQ157" s="71">
        <v>44487</v>
      </c>
      <c r="AR157" s="71"/>
      <c r="AS157" s="71"/>
      <c r="AT157" s="71"/>
      <c r="AU157" s="71">
        <v>44488</v>
      </c>
      <c r="AV157" s="71"/>
      <c r="AW157" s="71">
        <v>44487</v>
      </c>
      <c r="AX157" s="71"/>
      <c r="AY157" s="71">
        <v>44487</v>
      </c>
      <c r="AZ157" s="71"/>
      <c r="BA157" s="71">
        <v>44487</v>
      </c>
      <c r="BB157" s="71">
        <v>44487</v>
      </c>
      <c r="BC157" s="71"/>
      <c r="BD157" s="71"/>
      <c r="BE157" s="71"/>
      <c r="BF157" s="71"/>
      <c r="BG157" s="71">
        <v>44487</v>
      </c>
      <c r="BH157" s="71"/>
      <c r="BI157" s="71"/>
      <c r="BJ157" s="71"/>
      <c r="BK157" s="70"/>
      <c r="BL157" s="70"/>
      <c r="BM157" s="70"/>
      <c r="BN157" s="70"/>
      <c r="BO157" s="70"/>
    </row>
    <row r="158" spans="1:67" x14ac:dyDescent="0.4">
      <c r="A158" s="86">
        <v>5580000</v>
      </c>
      <c r="B158" s="74" t="s">
        <v>153</v>
      </c>
      <c r="C158" s="72">
        <v>44207</v>
      </c>
      <c r="D158" s="72">
        <v>43657</v>
      </c>
      <c r="E158" s="72">
        <v>44207</v>
      </c>
      <c r="F158" s="72">
        <v>43370</v>
      </c>
      <c r="G158" s="72">
        <v>43370</v>
      </c>
      <c r="H158" s="72">
        <v>43657</v>
      </c>
      <c r="I158" s="71">
        <v>44207</v>
      </c>
      <c r="J158" s="72">
        <v>43339</v>
      </c>
      <c r="K158" s="71"/>
      <c r="L158" s="71"/>
      <c r="M158" s="72">
        <v>44207</v>
      </c>
      <c r="N158" s="72">
        <v>43657</v>
      </c>
      <c r="O158" s="71"/>
      <c r="P158" s="72">
        <v>43656</v>
      </c>
      <c r="Q158" s="71"/>
      <c r="R158" s="71"/>
      <c r="S158" s="71"/>
      <c r="T158" s="71">
        <v>44207</v>
      </c>
      <c r="U158" s="71">
        <v>44207</v>
      </c>
      <c r="V158" s="72">
        <v>43656</v>
      </c>
      <c r="W158" s="71"/>
      <c r="X158" s="71"/>
      <c r="Y158" s="71"/>
      <c r="Z158" s="71"/>
      <c r="AA158" s="72">
        <v>43657</v>
      </c>
      <c r="AB158" s="71">
        <v>44207</v>
      </c>
      <c r="AC158" s="72">
        <v>43656</v>
      </c>
      <c r="AD158" s="71"/>
      <c r="AE158" s="71"/>
      <c r="AF158" s="71"/>
      <c r="AG158" s="72">
        <v>44207</v>
      </c>
      <c r="AH158" s="71"/>
      <c r="AI158" s="72">
        <v>43609</v>
      </c>
      <c r="AJ158" s="72">
        <v>43609</v>
      </c>
      <c r="AK158" s="71"/>
      <c r="AL158" s="71"/>
      <c r="AM158" s="71"/>
      <c r="AN158" s="71"/>
      <c r="AO158" s="71"/>
      <c r="AP158" s="71"/>
      <c r="AQ158" s="71"/>
      <c r="AR158" s="71"/>
      <c r="AS158" s="71"/>
      <c r="AT158" s="71"/>
      <c r="AU158" s="72">
        <v>44207</v>
      </c>
      <c r="AV158" s="71"/>
      <c r="AW158" s="71"/>
      <c r="AX158" s="71"/>
      <c r="AY158" s="71"/>
      <c r="AZ158" s="71"/>
      <c r="BA158" s="71"/>
      <c r="BB158" s="71"/>
      <c r="BC158" s="71"/>
      <c r="BD158" s="71"/>
      <c r="BE158" s="71"/>
      <c r="BF158" s="71"/>
      <c r="BG158" s="71"/>
      <c r="BH158" s="71">
        <v>44207</v>
      </c>
      <c r="BI158" s="71"/>
      <c r="BJ158" s="71"/>
      <c r="BK158" s="70"/>
      <c r="BL158" s="70"/>
      <c r="BM158" s="70"/>
      <c r="BN158" s="70"/>
      <c r="BO158" s="70"/>
    </row>
    <row r="159" spans="1:67" x14ac:dyDescent="0.4">
      <c r="A159" s="86">
        <v>5680000</v>
      </c>
      <c r="B159" s="74" t="s">
        <v>154</v>
      </c>
      <c r="C159" s="71">
        <v>44463</v>
      </c>
      <c r="D159" s="71">
        <v>44463</v>
      </c>
      <c r="E159" s="71">
        <v>44495</v>
      </c>
      <c r="F159" s="71">
        <v>44495</v>
      </c>
      <c r="G159" s="71">
        <v>44495</v>
      </c>
      <c r="H159" s="71">
        <v>44495</v>
      </c>
      <c r="I159" s="71">
        <v>44495</v>
      </c>
      <c r="J159" s="71">
        <v>44495</v>
      </c>
      <c r="K159" s="71"/>
      <c r="L159" s="71">
        <v>44495</v>
      </c>
      <c r="M159" s="71">
        <v>44496</v>
      </c>
      <c r="N159" s="71">
        <v>44495</v>
      </c>
      <c r="O159" s="71">
        <v>44495</v>
      </c>
      <c r="P159" s="71">
        <v>44495</v>
      </c>
      <c r="Q159" s="71">
        <v>44495</v>
      </c>
      <c r="R159" s="71"/>
      <c r="S159" s="71">
        <v>44463</v>
      </c>
      <c r="T159" s="71">
        <v>44463</v>
      </c>
      <c r="U159" s="71">
        <v>44463</v>
      </c>
      <c r="V159" s="71">
        <v>44495</v>
      </c>
      <c r="W159" s="71"/>
      <c r="X159" s="71"/>
      <c r="Y159" s="71"/>
      <c r="Z159" s="71"/>
      <c r="AA159" s="71">
        <v>44463</v>
      </c>
      <c r="AB159" s="71">
        <v>44495</v>
      </c>
      <c r="AC159" s="71">
        <v>44495</v>
      </c>
      <c r="AD159" s="71">
        <v>44463</v>
      </c>
      <c r="AE159" s="71">
        <v>44463</v>
      </c>
      <c r="AF159" s="71"/>
      <c r="AG159" s="71">
        <v>44463</v>
      </c>
      <c r="AH159" s="71">
        <v>44463</v>
      </c>
      <c r="AI159" s="71">
        <v>44495</v>
      </c>
      <c r="AJ159" s="71">
        <v>44495</v>
      </c>
      <c r="AK159" s="71"/>
      <c r="AL159" s="71"/>
      <c r="AM159" s="71"/>
      <c r="AN159" s="71"/>
      <c r="AO159" s="71"/>
      <c r="AP159" s="71">
        <v>44463</v>
      </c>
      <c r="AQ159" s="71"/>
      <c r="AR159" s="71">
        <v>44463</v>
      </c>
      <c r="AS159" s="71"/>
      <c r="AT159" s="71"/>
      <c r="AU159" s="71">
        <v>44495</v>
      </c>
      <c r="AV159" s="71">
        <v>44463</v>
      </c>
      <c r="AW159" s="71">
        <v>44463</v>
      </c>
      <c r="AX159" s="71">
        <v>44496</v>
      </c>
      <c r="AY159" s="71">
        <v>44463</v>
      </c>
      <c r="AZ159" s="71"/>
      <c r="BA159" s="71">
        <v>44463</v>
      </c>
      <c r="BB159" s="71">
        <v>44463</v>
      </c>
      <c r="BC159" s="71">
        <v>44495</v>
      </c>
      <c r="BD159" s="71"/>
      <c r="BE159" s="71"/>
      <c r="BF159" s="71"/>
      <c r="BG159" s="71">
        <v>44495</v>
      </c>
      <c r="BH159" s="71"/>
      <c r="BI159" s="71"/>
      <c r="BJ159" s="71"/>
      <c r="BK159" s="70"/>
      <c r="BL159" s="70"/>
      <c r="BM159" s="70"/>
      <c r="BN159" s="70"/>
      <c r="BO159" s="70"/>
    </row>
    <row r="160" spans="1:67" x14ac:dyDescent="0.4">
      <c r="A160" s="86">
        <v>4550000</v>
      </c>
      <c r="B160" s="74" t="s">
        <v>155</v>
      </c>
      <c r="C160" s="71">
        <v>44486</v>
      </c>
      <c r="D160" s="71">
        <v>44475</v>
      </c>
      <c r="E160" s="71">
        <v>44487</v>
      </c>
      <c r="F160" s="71">
        <v>44487</v>
      </c>
      <c r="G160" s="71">
        <v>44474</v>
      </c>
      <c r="H160" s="71">
        <v>44475</v>
      </c>
      <c r="I160" s="71">
        <v>44486</v>
      </c>
      <c r="J160" s="71">
        <v>44486</v>
      </c>
      <c r="K160" s="71">
        <v>44487</v>
      </c>
      <c r="L160" s="71">
        <v>44486</v>
      </c>
      <c r="M160" s="71">
        <v>44486</v>
      </c>
      <c r="N160" s="71">
        <v>44487</v>
      </c>
      <c r="O160" s="71"/>
      <c r="P160" s="71">
        <v>44487</v>
      </c>
      <c r="Q160" s="71">
        <v>44486</v>
      </c>
      <c r="R160" s="71">
        <v>44486</v>
      </c>
      <c r="S160" s="71">
        <v>44474</v>
      </c>
      <c r="T160" s="71">
        <v>44487</v>
      </c>
      <c r="U160" s="71">
        <v>44486</v>
      </c>
      <c r="V160" s="71">
        <v>44487</v>
      </c>
      <c r="W160" s="71"/>
      <c r="X160" s="71"/>
      <c r="Y160" s="71"/>
      <c r="Z160" s="71">
        <v>44486</v>
      </c>
      <c r="AA160" s="71">
        <v>44487</v>
      </c>
      <c r="AB160" s="71">
        <v>44476</v>
      </c>
      <c r="AC160" s="71"/>
      <c r="AD160" s="71">
        <v>44483</v>
      </c>
      <c r="AE160" s="71">
        <v>44482</v>
      </c>
      <c r="AF160" s="71"/>
      <c r="AG160" s="71"/>
      <c r="AH160" s="71">
        <v>44486</v>
      </c>
      <c r="AI160" s="71"/>
      <c r="AJ160" s="71">
        <v>44486</v>
      </c>
      <c r="AK160" s="71"/>
      <c r="AL160" s="71"/>
      <c r="AM160" s="71"/>
      <c r="AN160" s="71"/>
      <c r="AO160" s="71"/>
      <c r="AP160" s="71"/>
      <c r="AQ160" s="71"/>
      <c r="AR160" s="71">
        <v>44477</v>
      </c>
      <c r="AS160" s="71"/>
      <c r="AT160" s="71"/>
      <c r="AU160" s="71">
        <v>44486</v>
      </c>
      <c r="AV160" s="71"/>
      <c r="AW160" s="71">
        <v>44486</v>
      </c>
      <c r="AX160" s="71">
        <v>44486</v>
      </c>
      <c r="AY160" s="71">
        <v>44487</v>
      </c>
      <c r="AZ160" s="71"/>
      <c r="BA160" s="71">
        <v>44486</v>
      </c>
      <c r="BB160" s="71">
        <v>44487</v>
      </c>
      <c r="BC160" s="71"/>
      <c r="BD160" s="71"/>
      <c r="BE160" s="71">
        <v>44486</v>
      </c>
      <c r="BF160" s="71"/>
      <c r="BG160" s="71">
        <v>44486</v>
      </c>
      <c r="BH160" s="71">
        <v>44487</v>
      </c>
      <c r="BI160" s="71">
        <v>44486</v>
      </c>
      <c r="BJ160" s="71"/>
      <c r="BK160" s="70"/>
      <c r="BL160" s="70"/>
      <c r="BM160" s="70"/>
      <c r="BN160" s="70"/>
      <c r="BO160" s="70"/>
    </row>
    <row r="161" spans="1:67" x14ac:dyDescent="0.4">
      <c r="A161" s="86">
        <v>4570000</v>
      </c>
      <c r="B161" s="74" t="s">
        <v>156</v>
      </c>
      <c r="C161" s="71">
        <v>44396</v>
      </c>
      <c r="D161" s="71">
        <v>44396</v>
      </c>
      <c r="E161" s="71">
        <v>44396</v>
      </c>
      <c r="F161" s="71">
        <v>44490</v>
      </c>
      <c r="G161" s="71">
        <v>44490</v>
      </c>
      <c r="H161" s="71">
        <v>44396</v>
      </c>
      <c r="I161" s="71">
        <v>44396</v>
      </c>
      <c r="J161" s="71">
        <v>44490</v>
      </c>
      <c r="K161" s="71">
        <v>44399</v>
      </c>
      <c r="L161" s="71">
        <v>44396</v>
      </c>
      <c r="M161" s="71">
        <v>44490</v>
      </c>
      <c r="N161" s="71">
        <v>44396</v>
      </c>
      <c r="O161" s="71"/>
      <c r="P161" s="71">
        <v>44399</v>
      </c>
      <c r="Q161" s="71">
        <v>44396</v>
      </c>
      <c r="R161" s="71">
        <v>44396</v>
      </c>
      <c r="S161" s="71">
        <v>44396</v>
      </c>
      <c r="T161" s="71">
        <v>44396</v>
      </c>
      <c r="U161" s="71">
        <v>44396</v>
      </c>
      <c r="V161" s="71">
        <v>44396</v>
      </c>
      <c r="W161" s="71"/>
      <c r="X161" s="71"/>
      <c r="Y161" s="71"/>
      <c r="Z161" s="71"/>
      <c r="AA161" s="71">
        <v>44396</v>
      </c>
      <c r="AB161" s="71">
        <v>44396</v>
      </c>
      <c r="AC161" s="71">
        <v>44396</v>
      </c>
      <c r="AD161" s="71">
        <v>44396</v>
      </c>
      <c r="AE161" s="71">
        <v>44396</v>
      </c>
      <c r="AF161" s="71"/>
      <c r="AG161" s="71">
        <v>44396</v>
      </c>
      <c r="AH161" s="71">
        <v>44399</v>
      </c>
      <c r="AI161" s="71"/>
      <c r="AJ161" s="71">
        <v>44396</v>
      </c>
      <c r="AK161" s="71"/>
      <c r="AL161" s="71"/>
      <c r="AM161" s="71">
        <v>44411</v>
      </c>
      <c r="AN161" s="71"/>
      <c r="AO161" s="71"/>
      <c r="AP161" s="71">
        <v>44396</v>
      </c>
      <c r="AQ161" s="71"/>
      <c r="AR161" s="71"/>
      <c r="AS161" s="71"/>
      <c r="AT161" s="71"/>
      <c r="AU161" s="71">
        <v>44396</v>
      </c>
      <c r="AV161" s="71">
        <v>44396</v>
      </c>
      <c r="AW161" s="71">
        <v>44396</v>
      </c>
      <c r="AX161" s="71"/>
      <c r="AY161" s="71">
        <v>44396</v>
      </c>
      <c r="AZ161" s="71"/>
      <c r="BA161" s="71">
        <v>44403</v>
      </c>
      <c r="BB161" s="71">
        <v>44396</v>
      </c>
      <c r="BC161" s="71"/>
      <c r="BD161" s="71"/>
      <c r="BE161" s="71"/>
      <c r="BF161" s="71"/>
      <c r="BG161" s="71">
        <v>44396</v>
      </c>
      <c r="BH161" s="71"/>
      <c r="BI161" s="71"/>
      <c r="BJ161" s="71"/>
      <c r="BK161" s="70"/>
      <c r="BL161" s="70"/>
      <c r="BM161" s="70"/>
      <c r="BN161" s="70"/>
      <c r="BO161" s="70"/>
    </row>
    <row r="162" spans="1:67" x14ac:dyDescent="0.4">
      <c r="A162" s="86">
        <v>4580000</v>
      </c>
      <c r="B162" s="74" t="s">
        <v>157</v>
      </c>
      <c r="C162" s="71">
        <v>44399</v>
      </c>
      <c r="D162" s="71">
        <v>44398</v>
      </c>
      <c r="E162" s="71">
        <v>44399</v>
      </c>
      <c r="F162" s="71">
        <v>44504</v>
      </c>
      <c r="G162" s="71">
        <v>44488</v>
      </c>
      <c r="H162" s="71">
        <v>44491</v>
      </c>
      <c r="I162" s="71">
        <v>44488</v>
      </c>
      <c r="J162" s="72">
        <v>44399</v>
      </c>
      <c r="K162" s="71">
        <v>44399</v>
      </c>
      <c r="L162" s="71">
        <v>44399</v>
      </c>
      <c r="M162" s="72">
        <v>44399</v>
      </c>
      <c r="N162" s="71">
        <v>44403</v>
      </c>
      <c r="O162" s="71">
        <v>44398</v>
      </c>
      <c r="P162" s="71">
        <v>44398</v>
      </c>
      <c r="Q162" s="71">
        <v>44398</v>
      </c>
      <c r="R162" s="71">
        <v>44399</v>
      </c>
      <c r="S162" s="71">
        <v>44488</v>
      </c>
      <c r="T162" s="71">
        <v>44398</v>
      </c>
      <c r="U162" s="71">
        <v>44398</v>
      </c>
      <c r="V162" s="71">
        <v>44398</v>
      </c>
      <c r="W162" s="71"/>
      <c r="X162" s="71"/>
      <c r="Y162" s="71"/>
      <c r="Z162" s="71">
        <v>44488</v>
      </c>
      <c r="AA162" s="71">
        <v>44404</v>
      </c>
      <c r="AB162" s="71">
        <v>44398</v>
      </c>
      <c r="AC162" s="71">
        <v>44400</v>
      </c>
      <c r="AD162" s="71">
        <v>44398</v>
      </c>
      <c r="AE162" s="71">
        <v>44488</v>
      </c>
      <c r="AF162" s="71"/>
      <c r="AG162" s="71">
        <v>44398</v>
      </c>
      <c r="AH162" s="71"/>
      <c r="AI162" s="71">
        <v>44488</v>
      </c>
      <c r="AJ162" s="71">
        <v>44488</v>
      </c>
      <c r="AK162" s="71"/>
      <c r="AL162" s="71"/>
      <c r="AM162" s="71">
        <v>44398</v>
      </c>
      <c r="AN162" s="71"/>
      <c r="AO162" s="71"/>
      <c r="AP162" s="71">
        <v>44398</v>
      </c>
      <c r="AQ162" s="71"/>
      <c r="AR162" s="71">
        <v>44398</v>
      </c>
      <c r="AS162" s="71">
        <v>44398</v>
      </c>
      <c r="AT162" s="71"/>
      <c r="AU162" s="71">
        <v>44491</v>
      </c>
      <c r="AV162" s="71"/>
      <c r="AW162" s="71">
        <v>44398</v>
      </c>
      <c r="AX162" s="71"/>
      <c r="AY162" s="71">
        <v>44483</v>
      </c>
      <c r="AZ162" s="71"/>
      <c r="BA162" s="71"/>
      <c r="BB162" s="71">
        <v>44491</v>
      </c>
      <c r="BC162" s="71"/>
      <c r="BD162" s="71"/>
      <c r="BE162" s="71"/>
      <c r="BF162" s="71"/>
      <c r="BG162" s="71">
        <v>44398</v>
      </c>
      <c r="BH162" s="71">
        <v>44491</v>
      </c>
      <c r="BI162" s="71"/>
      <c r="BJ162" s="71"/>
      <c r="BK162" s="70"/>
      <c r="BL162" s="70"/>
      <c r="BM162" s="70"/>
      <c r="BN162" s="70"/>
      <c r="BO162" s="70"/>
    </row>
    <row r="163" spans="1:67" x14ac:dyDescent="0.4">
      <c r="A163" s="86">
        <v>4590000</v>
      </c>
      <c r="B163" s="74" t="s">
        <v>158</v>
      </c>
      <c r="C163" s="71">
        <v>44487</v>
      </c>
      <c r="D163" s="71">
        <v>44489</v>
      </c>
      <c r="E163" s="71">
        <v>44487</v>
      </c>
      <c r="F163" s="71">
        <v>44440</v>
      </c>
      <c r="G163" s="71">
        <v>44454</v>
      </c>
      <c r="H163" s="71">
        <v>44481</v>
      </c>
      <c r="I163" s="71">
        <v>44482</v>
      </c>
      <c r="J163" s="71">
        <v>44468</v>
      </c>
      <c r="K163" s="71">
        <v>44484</v>
      </c>
      <c r="L163" s="71"/>
      <c r="M163" s="71">
        <v>44484</v>
      </c>
      <c r="N163" s="71">
        <v>44481</v>
      </c>
      <c r="O163" s="71"/>
      <c r="P163" s="71">
        <v>44488</v>
      </c>
      <c r="Q163" s="71">
        <v>44488</v>
      </c>
      <c r="R163" s="71"/>
      <c r="S163" s="71">
        <v>44481</v>
      </c>
      <c r="T163" s="71">
        <v>44484</v>
      </c>
      <c r="U163" s="71">
        <v>44484</v>
      </c>
      <c r="V163" s="71">
        <v>44480</v>
      </c>
      <c r="W163" s="71"/>
      <c r="X163" s="71"/>
      <c r="Y163" s="71"/>
      <c r="Z163" s="71"/>
      <c r="AA163" s="71">
        <v>44483</v>
      </c>
      <c r="AB163" s="71">
        <v>44466</v>
      </c>
      <c r="AC163" s="71"/>
      <c r="AD163" s="71"/>
      <c r="AE163" s="71">
        <v>44481</v>
      </c>
      <c r="AF163" s="71"/>
      <c r="AG163" s="71">
        <v>44487</v>
      </c>
      <c r="AH163" s="71">
        <v>44484</v>
      </c>
      <c r="AI163" s="71">
        <v>44488</v>
      </c>
      <c r="AJ163" s="71">
        <v>44488</v>
      </c>
      <c r="AK163" s="71"/>
      <c r="AL163" s="71"/>
      <c r="AM163" s="71"/>
      <c r="AN163" s="71"/>
      <c r="AO163" s="71"/>
      <c r="AP163" s="71">
        <v>44488</v>
      </c>
      <c r="AQ163" s="71"/>
      <c r="AR163" s="71">
        <v>44484</v>
      </c>
      <c r="AS163" s="71"/>
      <c r="AT163" s="71"/>
      <c r="AU163" s="71">
        <v>44484</v>
      </c>
      <c r="AV163" s="71"/>
      <c r="AW163" s="71">
        <v>44484</v>
      </c>
      <c r="AX163" s="71">
        <v>44476</v>
      </c>
      <c r="AY163" s="71">
        <v>44481</v>
      </c>
      <c r="AZ163" s="71"/>
      <c r="BA163" s="71">
        <v>44487</v>
      </c>
      <c r="BB163" s="71">
        <v>44475</v>
      </c>
      <c r="BC163" s="71"/>
      <c r="BD163" s="71"/>
      <c r="BE163" s="71"/>
      <c r="BF163" s="71"/>
      <c r="BG163" s="71">
        <v>44484</v>
      </c>
      <c r="BH163" s="71">
        <v>44488</v>
      </c>
      <c r="BI163" s="71"/>
      <c r="BJ163" s="71"/>
      <c r="BK163" s="70"/>
      <c r="BL163" s="70"/>
      <c r="BM163" s="70"/>
      <c r="BN163" s="70"/>
      <c r="BO163" s="70"/>
    </row>
    <row r="164" spans="1:67" x14ac:dyDescent="0.4">
      <c r="A164" s="86">
        <v>4600000</v>
      </c>
      <c r="B164" s="74" t="s">
        <v>159</v>
      </c>
      <c r="C164" s="71">
        <v>44425</v>
      </c>
      <c r="D164" s="71">
        <v>44425</v>
      </c>
      <c r="E164" s="71">
        <v>44425</v>
      </c>
      <c r="F164" s="71">
        <v>44425</v>
      </c>
      <c r="G164" s="71">
        <v>44425</v>
      </c>
      <c r="H164" s="71">
        <v>44425</v>
      </c>
      <c r="I164" s="71">
        <v>44425</v>
      </c>
      <c r="J164" s="71">
        <v>44425</v>
      </c>
      <c r="K164" s="71">
        <v>44425</v>
      </c>
      <c r="L164" s="71">
        <v>44425</v>
      </c>
      <c r="M164" s="71">
        <v>44425</v>
      </c>
      <c r="N164" s="71">
        <v>44425</v>
      </c>
      <c r="O164" s="71"/>
      <c r="P164" s="71">
        <v>44425</v>
      </c>
      <c r="Q164" s="71">
        <v>44425</v>
      </c>
      <c r="R164" s="71">
        <v>44425</v>
      </c>
      <c r="S164" s="71">
        <v>44484</v>
      </c>
      <c r="T164" s="71">
        <v>44425</v>
      </c>
      <c r="U164" s="71">
        <v>44484</v>
      </c>
      <c r="V164" s="71">
        <v>44426</v>
      </c>
      <c r="W164" s="71"/>
      <c r="X164" s="71"/>
      <c r="Y164" s="71"/>
      <c r="Z164" s="71">
        <v>44426</v>
      </c>
      <c r="AA164" s="71"/>
      <c r="AB164" s="71">
        <v>44425</v>
      </c>
      <c r="AC164" s="71">
        <v>44425</v>
      </c>
      <c r="AD164" s="71">
        <v>44425</v>
      </c>
      <c r="AE164" s="71">
        <v>44484</v>
      </c>
      <c r="AF164" s="71"/>
      <c r="AG164" s="71"/>
      <c r="AH164" s="71"/>
      <c r="AI164" s="71">
        <v>44425</v>
      </c>
      <c r="AJ164" s="71">
        <v>44425</v>
      </c>
      <c r="AK164" s="71"/>
      <c r="AL164" s="71"/>
      <c r="AM164" s="71">
        <v>44425</v>
      </c>
      <c r="AN164" s="71"/>
      <c r="AO164" s="71"/>
      <c r="AP164" s="71"/>
      <c r="AQ164" s="71">
        <v>44426</v>
      </c>
      <c r="AR164" s="71"/>
      <c r="AS164" s="71"/>
      <c r="AT164" s="71"/>
      <c r="AU164" s="71"/>
      <c r="AV164" s="71">
        <v>44426</v>
      </c>
      <c r="AW164" s="71">
        <v>44425</v>
      </c>
      <c r="AX164" s="71"/>
      <c r="AY164" s="71">
        <v>44425</v>
      </c>
      <c r="AZ164" s="71"/>
      <c r="BA164" s="71">
        <v>44425</v>
      </c>
      <c r="BB164" s="71">
        <v>44425</v>
      </c>
      <c r="BC164" s="71">
        <v>44425</v>
      </c>
      <c r="BD164" s="71">
        <v>44425</v>
      </c>
      <c r="BE164" s="71"/>
      <c r="BF164" s="71"/>
      <c r="BG164" s="71">
        <v>44425</v>
      </c>
      <c r="BH164" s="71"/>
      <c r="BI164" s="71"/>
      <c r="BJ164" s="71"/>
      <c r="BK164" s="70"/>
      <c r="BL164" s="70"/>
      <c r="BM164" s="70"/>
      <c r="BN164" s="70"/>
      <c r="BO164" s="70"/>
    </row>
    <row r="165" spans="1:67" x14ac:dyDescent="0.4">
      <c r="A165" s="86">
        <v>4610000</v>
      </c>
      <c r="B165" s="74" t="s">
        <v>160</v>
      </c>
      <c r="C165" s="71">
        <v>44490</v>
      </c>
      <c r="D165" s="71">
        <v>44368</v>
      </c>
      <c r="E165" s="71">
        <v>44490</v>
      </c>
      <c r="F165" s="71">
        <v>44491</v>
      </c>
      <c r="G165" s="71">
        <v>44482</v>
      </c>
      <c r="H165" s="71">
        <v>44490</v>
      </c>
      <c r="I165" s="71">
        <v>44307</v>
      </c>
      <c r="J165" s="71">
        <v>44488</v>
      </c>
      <c r="K165" s="71">
        <v>44403</v>
      </c>
      <c r="L165" s="71">
        <v>44490</v>
      </c>
      <c r="M165" s="71">
        <v>44477</v>
      </c>
      <c r="N165" s="71">
        <v>44375</v>
      </c>
      <c r="O165" s="71"/>
      <c r="P165" s="71">
        <v>44356</v>
      </c>
      <c r="Q165" s="71">
        <v>44354</v>
      </c>
      <c r="R165" s="71"/>
      <c r="S165" s="71">
        <v>44342</v>
      </c>
      <c r="T165" s="71">
        <v>44490</v>
      </c>
      <c r="U165" s="71">
        <v>44341</v>
      </c>
      <c r="V165" s="71">
        <v>44341</v>
      </c>
      <c r="W165" s="71"/>
      <c r="X165" s="71"/>
      <c r="Y165" s="71"/>
      <c r="Z165" s="71">
        <v>44484</v>
      </c>
      <c r="AA165" s="71">
        <v>44490</v>
      </c>
      <c r="AB165" s="71">
        <v>44490</v>
      </c>
      <c r="AC165" s="71">
        <v>44341</v>
      </c>
      <c r="AD165" s="71">
        <v>44358</v>
      </c>
      <c r="AE165" s="71"/>
      <c r="AF165" s="71"/>
      <c r="AG165" s="71">
        <v>44490</v>
      </c>
      <c r="AH165" s="71">
        <v>44490</v>
      </c>
      <c r="AI165" s="71">
        <v>44481</v>
      </c>
      <c r="AJ165" s="71">
        <v>44362</v>
      </c>
      <c r="AK165" s="71">
        <v>44403</v>
      </c>
      <c r="AL165" s="71"/>
      <c r="AM165" s="71">
        <v>44490</v>
      </c>
      <c r="AN165" s="71">
        <v>44490</v>
      </c>
      <c r="AO165" s="71"/>
      <c r="AP165" s="71">
        <v>44490</v>
      </c>
      <c r="AQ165" s="71"/>
      <c r="AR165" s="71">
        <v>44490</v>
      </c>
      <c r="AS165" s="71">
        <v>44403</v>
      </c>
      <c r="AT165" s="71"/>
      <c r="AU165" s="71">
        <v>44490</v>
      </c>
      <c r="AV165" s="71"/>
      <c r="AW165" s="71">
        <v>44341</v>
      </c>
      <c r="AX165" s="71">
        <v>44341</v>
      </c>
      <c r="AY165" s="71">
        <v>44490</v>
      </c>
      <c r="AZ165" s="71"/>
      <c r="BA165" s="71"/>
      <c r="BB165" s="71">
        <v>44403</v>
      </c>
      <c r="BC165" s="71"/>
      <c r="BD165" s="71"/>
      <c r="BE165" s="71">
        <v>44490</v>
      </c>
      <c r="BF165" s="71"/>
      <c r="BG165" s="71">
        <v>44490</v>
      </c>
      <c r="BH165" s="71"/>
      <c r="BI165" s="71"/>
      <c r="BJ165" s="71"/>
      <c r="BK165" s="70"/>
      <c r="BL165" s="70"/>
      <c r="BM165" s="70"/>
      <c r="BN165" s="70"/>
      <c r="BO165" s="70"/>
    </row>
    <row r="166" spans="1:67" x14ac:dyDescent="0.4">
      <c r="A166" s="86">
        <v>4620000</v>
      </c>
      <c r="B166" s="74" t="s">
        <v>161</v>
      </c>
      <c r="C166" s="71">
        <v>44481</v>
      </c>
      <c r="D166" s="71">
        <v>44481</v>
      </c>
      <c r="E166" s="71">
        <v>44481</v>
      </c>
      <c r="F166" s="71">
        <v>44481</v>
      </c>
      <c r="G166" s="71">
        <v>44481</v>
      </c>
      <c r="H166" s="71">
        <v>44481</v>
      </c>
      <c r="I166" s="71">
        <v>44481</v>
      </c>
      <c r="J166" s="71">
        <v>44481</v>
      </c>
      <c r="K166" s="71">
        <v>44481</v>
      </c>
      <c r="L166" s="71">
        <v>44481</v>
      </c>
      <c r="M166" s="71">
        <v>44481</v>
      </c>
      <c r="N166" s="71">
        <v>44481</v>
      </c>
      <c r="O166" s="71"/>
      <c r="P166" s="71">
        <v>44482</v>
      </c>
      <c r="Q166" s="71">
        <v>44482</v>
      </c>
      <c r="R166" s="71">
        <v>44482</v>
      </c>
      <c r="S166" s="71">
        <v>44482</v>
      </c>
      <c r="T166" s="71">
        <v>44482</v>
      </c>
      <c r="U166" s="71">
        <v>44482</v>
      </c>
      <c r="V166" s="71">
        <v>44482</v>
      </c>
      <c r="W166" s="71"/>
      <c r="X166" s="71"/>
      <c r="Y166" s="71">
        <v>44482</v>
      </c>
      <c r="Z166" s="71"/>
      <c r="AA166" s="71">
        <v>44483</v>
      </c>
      <c r="AB166" s="71">
        <v>44482</v>
      </c>
      <c r="AC166" s="71">
        <v>44483</v>
      </c>
      <c r="AD166" s="71"/>
      <c r="AE166" s="71">
        <v>44482</v>
      </c>
      <c r="AF166" s="71"/>
      <c r="AG166" s="71"/>
      <c r="AH166" s="71"/>
      <c r="AI166" s="71">
        <v>44482</v>
      </c>
      <c r="AJ166" s="71">
        <v>44482</v>
      </c>
      <c r="AK166" s="71"/>
      <c r="AL166" s="71"/>
      <c r="AM166" s="71">
        <v>44483</v>
      </c>
      <c r="AN166" s="71">
        <v>44483</v>
      </c>
      <c r="AO166" s="71"/>
      <c r="AP166" s="71">
        <v>44482</v>
      </c>
      <c r="AQ166" s="71"/>
      <c r="AR166" s="71">
        <v>44483</v>
      </c>
      <c r="AS166" s="71">
        <v>44482</v>
      </c>
      <c r="AT166" s="71"/>
      <c r="AU166" s="71">
        <v>44482</v>
      </c>
      <c r="AV166" s="71"/>
      <c r="AW166" s="71">
        <v>44483</v>
      </c>
      <c r="AX166" s="71"/>
      <c r="AY166" s="71">
        <v>44482</v>
      </c>
      <c r="AZ166" s="71"/>
      <c r="BA166" s="71">
        <v>44483</v>
      </c>
      <c r="BB166" s="71">
        <v>44482</v>
      </c>
      <c r="BC166" s="71"/>
      <c r="BD166" s="71"/>
      <c r="BE166" s="71"/>
      <c r="BF166" s="71"/>
      <c r="BG166" s="71">
        <v>44482</v>
      </c>
      <c r="BH166" s="71"/>
      <c r="BI166" s="71"/>
      <c r="BJ166" s="71">
        <v>44489</v>
      </c>
      <c r="BK166" s="70"/>
      <c r="BL166" s="70"/>
      <c r="BM166" s="70"/>
      <c r="BN166" s="70"/>
      <c r="BO166" s="70"/>
    </row>
    <row r="167" spans="1:67" x14ac:dyDescent="0.4">
      <c r="A167" s="86">
        <v>6450000</v>
      </c>
      <c r="B167" s="74" t="s">
        <v>162</v>
      </c>
      <c r="C167" s="71"/>
      <c r="D167" s="71"/>
      <c r="E167" s="71"/>
      <c r="F167" s="71"/>
      <c r="G167" s="71">
        <v>44489</v>
      </c>
      <c r="H167" s="71"/>
      <c r="I167" s="71">
        <v>44298</v>
      </c>
      <c r="J167" s="71"/>
      <c r="K167" s="71">
        <v>44463</v>
      </c>
      <c r="L167" s="71"/>
      <c r="M167" s="71">
        <v>44488</v>
      </c>
      <c r="N167" s="71"/>
      <c r="O167" s="71"/>
      <c r="P167" s="71"/>
      <c r="Q167" s="71"/>
      <c r="R167" s="71"/>
      <c r="S167" s="71">
        <v>44368</v>
      </c>
      <c r="T167" s="71"/>
      <c r="U167" s="71"/>
      <c r="V167" s="71"/>
      <c r="W167" s="71"/>
      <c r="X167" s="71"/>
      <c r="Y167" s="71"/>
      <c r="Z167" s="71"/>
      <c r="AA167" s="71">
        <v>44489</v>
      </c>
      <c r="AB167" s="71">
        <v>44494</v>
      </c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  <c r="AO167" s="71"/>
      <c r="AP167" s="71"/>
      <c r="AQ167" s="71"/>
      <c r="AR167" s="71"/>
      <c r="AS167" s="71"/>
      <c r="AT167" s="71"/>
      <c r="AU167" s="71"/>
      <c r="AV167" s="71"/>
      <c r="AW167" s="71"/>
      <c r="AX167" s="71"/>
      <c r="AY167" s="71"/>
      <c r="AZ167" s="71"/>
      <c r="BA167" s="71"/>
      <c r="BB167" s="71"/>
      <c r="BC167" s="71"/>
      <c r="BD167" s="71"/>
      <c r="BE167" s="71"/>
      <c r="BF167" s="71"/>
      <c r="BG167" s="71"/>
      <c r="BH167" s="71"/>
      <c r="BI167" s="71">
        <v>44489</v>
      </c>
      <c r="BJ167" s="71">
        <v>44489</v>
      </c>
      <c r="BK167" s="70"/>
      <c r="BL167" s="70"/>
      <c r="BM167" s="70"/>
      <c r="BN167" s="70"/>
      <c r="BO167" s="70"/>
    </row>
    <row r="168" spans="1:67" x14ac:dyDescent="0.4">
      <c r="A168" s="86">
        <v>4640000</v>
      </c>
      <c r="B168" s="74" t="s">
        <v>163</v>
      </c>
      <c r="C168" s="71">
        <v>44445</v>
      </c>
      <c r="D168" s="71">
        <v>44440</v>
      </c>
      <c r="E168" s="71">
        <v>44463</v>
      </c>
      <c r="F168" s="71">
        <v>44481</v>
      </c>
      <c r="G168" s="71"/>
      <c r="H168" s="71">
        <v>44481</v>
      </c>
      <c r="I168" s="71">
        <v>44481</v>
      </c>
      <c r="J168" s="71">
        <v>44462</v>
      </c>
      <c r="K168" s="71"/>
      <c r="L168" s="71">
        <v>44419</v>
      </c>
      <c r="M168" s="71"/>
      <c r="N168" s="71">
        <v>44438</v>
      </c>
      <c r="O168" s="71">
        <v>44489</v>
      </c>
      <c r="P168" s="71">
        <v>44441</v>
      </c>
      <c r="Q168" s="71">
        <v>44481</v>
      </c>
      <c r="R168" s="71">
        <v>44440</v>
      </c>
      <c r="S168" s="71">
        <v>44440</v>
      </c>
      <c r="T168" s="71">
        <v>44481</v>
      </c>
      <c r="U168" s="71">
        <v>44481</v>
      </c>
      <c r="V168" s="71">
        <v>44481</v>
      </c>
      <c r="W168" s="71">
        <v>44477</v>
      </c>
      <c r="X168" s="71">
        <v>44481</v>
      </c>
      <c r="Y168" s="71">
        <v>44439</v>
      </c>
      <c r="Z168" s="71">
        <v>44434</v>
      </c>
      <c r="AA168" s="71">
        <v>44481</v>
      </c>
      <c r="AB168" s="71">
        <v>44481</v>
      </c>
      <c r="AC168" s="71"/>
      <c r="AD168" s="71">
        <v>44439</v>
      </c>
      <c r="AE168" s="71">
        <v>44481</v>
      </c>
      <c r="AF168" s="71"/>
      <c r="AG168" s="71">
        <v>44489</v>
      </c>
      <c r="AH168" s="71"/>
      <c r="AI168" s="71">
        <v>44439</v>
      </c>
      <c r="AJ168" s="71">
        <v>44439</v>
      </c>
      <c r="AK168" s="71"/>
      <c r="AL168" s="71">
        <v>44487</v>
      </c>
      <c r="AM168" s="71"/>
      <c r="AN168" s="71"/>
      <c r="AO168" s="71"/>
      <c r="AP168" s="71"/>
      <c r="AQ168" s="71"/>
      <c r="AR168" s="71"/>
      <c r="AS168" s="71"/>
      <c r="AT168" s="71"/>
      <c r="AU168" s="71">
        <v>44463</v>
      </c>
      <c r="AV168" s="71"/>
      <c r="AW168" s="71">
        <v>44481</v>
      </c>
      <c r="AX168" s="71">
        <v>44474</v>
      </c>
      <c r="AY168" s="71"/>
      <c r="AZ168" s="71"/>
      <c r="BA168" s="71"/>
      <c r="BB168" s="71">
        <v>44417</v>
      </c>
      <c r="BC168" s="71"/>
      <c r="BD168" s="71"/>
      <c r="BE168" s="71">
        <v>44445</v>
      </c>
      <c r="BF168" s="71"/>
      <c r="BG168" s="71"/>
      <c r="BH168" s="71"/>
      <c r="BI168" s="71"/>
      <c r="BJ168" s="71"/>
      <c r="BK168" s="70"/>
      <c r="BL168" s="70"/>
      <c r="BM168" s="70"/>
      <c r="BN168" s="70"/>
      <c r="BO168" s="70"/>
    </row>
    <row r="169" spans="1:67" x14ac:dyDescent="0.4">
      <c r="A169" s="86">
        <v>4670000</v>
      </c>
      <c r="B169" s="74" t="s">
        <v>164</v>
      </c>
      <c r="C169" s="71">
        <v>44432</v>
      </c>
      <c r="D169" s="71">
        <v>44407</v>
      </c>
      <c r="E169" s="71">
        <v>44432</v>
      </c>
      <c r="F169" s="71">
        <v>44438</v>
      </c>
      <c r="G169" s="71">
        <v>44440</v>
      </c>
      <c r="H169" s="71">
        <v>44403</v>
      </c>
      <c r="I169" s="71">
        <v>44306</v>
      </c>
      <c r="J169" s="71">
        <v>44503</v>
      </c>
      <c r="K169" s="71"/>
      <c r="L169" s="71">
        <v>44308</v>
      </c>
      <c r="M169" s="71">
        <v>44454</v>
      </c>
      <c r="N169" s="71">
        <v>44389</v>
      </c>
      <c r="O169" s="71">
        <v>44397</v>
      </c>
      <c r="P169" s="71">
        <v>44483</v>
      </c>
      <c r="Q169" s="71">
        <v>44404</v>
      </c>
      <c r="R169" s="71">
        <v>44468</v>
      </c>
      <c r="S169" s="71">
        <v>44484</v>
      </c>
      <c r="T169" s="71">
        <v>44484</v>
      </c>
      <c r="U169" s="71">
        <v>44483</v>
      </c>
      <c r="V169" s="71">
        <v>44484</v>
      </c>
      <c r="W169" s="71"/>
      <c r="X169" s="71"/>
      <c r="Y169" s="71"/>
      <c r="Z169" s="71">
        <v>44483</v>
      </c>
      <c r="AA169" s="71">
        <v>44483</v>
      </c>
      <c r="AB169" s="71">
        <v>44483</v>
      </c>
      <c r="AC169" s="71">
        <v>44389</v>
      </c>
      <c r="AD169" s="71"/>
      <c r="AE169" s="71">
        <v>44403</v>
      </c>
      <c r="AF169" s="71"/>
      <c r="AG169" s="71">
        <v>44482</v>
      </c>
      <c r="AH169" s="71">
        <v>44493</v>
      </c>
      <c r="AI169" s="71">
        <v>44343</v>
      </c>
      <c r="AJ169" s="71">
        <v>44384</v>
      </c>
      <c r="AK169" s="71"/>
      <c r="AL169" s="71">
        <v>44445</v>
      </c>
      <c r="AM169" s="71">
        <v>44438</v>
      </c>
      <c r="AN169" s="71"/>
      <c r="AO169" s="71"/>
      <c r="AP169" s="71">
        <v>44481</v>
      </c>
      <c r="AQ169" s="71">
        <v>44216</v>
      </c>
      <c r="AR169" s="71">
        <v>44491</v>
      </c>
      <c r="AS169" s="71">
        <v>44491</v>
      </c>
      <c r="AT169" s="71"/>
      <c r="AU169" s="71">
        <v>44484</v>
      </c>
      <c r="AV169" s="71"/>
      <c r="AW169" s="71">
        <v>44493</v>
      </c>
      <c r="AX169" s="71">
        <v>44481</v>
      </c>
      <c r="AY169" s="71"/>
      <c r="AZ169" s="71"/>
      <c r="BA169" s="71">
        <v>44432</v>
      </c>
      <c r="BB169" s="71">
        <v>44438</v>
      </c>
      <c r="BC169" s="71"/>
      <c r="BD169" s="71"/>
      <c r="BE169" s="71">
        <v>44487</v>
      </c>
      <c r="BF169" s="71"/>
      <c r="BG169" s="71">
        <v>44482</v>
      </c>
      <c r="BH169" s="71">
        <v>44483</v>
      </c>
      <c r="BI169" s="71"/>
      <c r="BJ169" s="71"/>
      <c r="BK169" s="70"/>
      <c r="BL169" s="70"/>
      <c r="BM169" s="70"/>
      <c r="BN169" s="70"/>
      <c r="BO169" s="70"/>
    </row>
    <row r="170" spans="1:67" x14ac:dyDescent="0.4">
      <c r="A170" s="86">
        <v>4680000</v>
      </c>
      <c r="B170" s="74" t="s">
        <v>165</v>
      </c>
      <c r="C170" s="71">
        <v>44456</v>
      </c>
      <c r="D170" s="71">
        <v>44456</v>
      </c>
      <c r="E170" s="71">
        <v>44456</v>
      </c>
      <c r="F170" s="71">
        <v>44454</v>
      </c>
      <c r="G170" s="71">
        <v>44477</v>
      </c>
      <c r="H170" s="71">
        <v>44455</v>
      </c>
      <c r="I170" s="71">
        <v>44456</v>
      </c>
      <c r="J170" s="71">
        <v>44454</v>
      </c>
      <c r="K170" s="71"/>
      <c r="L170" s="71">
        <v>44456</v>
      </c>
      <c r="M170" s="71">
        <v>44454</v>
      </c>
      <c r="N170" s="71">
        <v>44265</v>
      </c>
      <c r="O170" s="71"/>
      <c r="P170" s="71">
        <v>44456</v>
      </c>
      <c r="Q170" s="71">
        <v>44264</v>
      </c>
      <c r="R170" s="71">
        <v>44456</v>
      </c>
      <c r="S170" s="71">
        <v>44365</v>
      </c>
      <c r="T170" s="71">
        <v>44456</v>
      </c>
      <c r="U170" s="71">
        <v>44455</v>
      </c>
      <c r="V170" s="71">
        <v>44456</v>
      </c>
      <c r="W170" s="71"/>
      <c r="X170" s="71">
        <v>44264</v>
      </c>
      <c r="Y170" s="71">
        <v>44456</v>
      </c>
      <c r="Z170" s="71">
        <v>44477</v>
      </c>
      <c r="AA170" s="71">
        <v>44264</v>
      </c>
      <c r="AB170" s="71">
        <v>44456</v>
      </c>
      <c r="AC170" s="71">
        <v>44455</v>
      </c>
      <c r="AD170" s="71">
        <v>44266</v>
      </c>
      <c r="AE170" s="71">
        <v>44477</v>
      </c>
      <c r="AF170" s="71"/>
      <c r="AG170" s="71">
        <v>44477</v>
      </c>
      <c r="AH170" s="71">
        <v>44384</v>
      </c>
      <c r="AI170" s="71">
        <v>44477</v>
      </c>
      <c r="AJ170" s="71">
        <v>44375</v>
      </c>
      <c r="AK170" s="71">
        <v>44273</v>
      </c>
      <c r="AL170" s="71"/>
      <c r="AM170" s="71">
        <v>44364</v>
      </c>
      <c r="AN170" s="71"/>
      <c r="AO170" s="71"/>
      <c r="AP170" s="71"/>
      <c r="AQ170" s="71"/>
      <c r="AR170" s="71">
        <v>44456</v>
      </c>
      <c r="AS170" s="71"/>
      <c r="AT170" s="71"/>
      <c r="AU170" s="71">
        <v>44456</v>
      </c>
      <c r="AV170" s="71"/>
      <c r="AW170" s="71">
        <v>44264</v>
      </c>
      <c r="AX170" s="71">
        <v>44273</v>
      </c>
      <c r="AY170" s="71"/>
      <c r="AZ170" s="71"/>
      <c r="BA170" s="71">
        <v>44456</v>
      </c>
      <c r="BB170" s="71">
        <v>44448</v>
      </c>
      <c r="BC170" s="71">
        <v>44456</v>
      </c>
      <c r="BD170" s="71">
        <v>44448</v>
      </c>
      <c r="BE170" s="71"/>
      <c r="BF170" s="71">
        <v>44477</v>
      </c>
      <c r="BG170" s="71">
        <v>44456</v>
      </c>
      <c r="BH170" s="71"/>
      <c r="BI170" s="71"/>
      <c r="BJ170" s="71"/>
      <c r="BK170" s="70"/>
      <c r="BL170" s="70"/>
      <c r="BM170" s="70"/>
      <c r="BN170" s="70"/>
      <c r="BO170" s="70"/>
    </row>
    <row r="171" spans="1:67" x14ac:dyDescent="0.4">
      <c r="A171" s="86">
        <v>4690000</v>
      </c>
      <c r="B171" s="74" t="s">
        <v>166</v>
      </c>
      <c r="C171" s="71">
        <v>44412</v>
      </c>
      <c r="D171" s="71">
        <v>44257</v>
      </c>
      <c r="E171" s="71">
        <v>44412</v>
      </c>
      <c r="F171" s="71">
        <v>44462</v>
      </c>
      <c r="G171" s="71">
        <v>44462</v>
      </c>
      <c r="H171" s="71">
        <v>44258</v>
      </c>
      <c r="I171" s="71">
        <v>44362</v>
      </c>
      <c r="J171" s="71">
        <v>44474</v>
      </c>
      <c r="K171" s="71"/>
      <c r="L171" s="71">
        <v>44362</v>
      </c>
      <c r="M171" s="71">
        <v>44462</v>
      </c>
      <c r="N171" s="71">
        <v>44258</v>
      </c>
      <c r="O171" s="71">
        <v>44259</v>
      </c>
      <c r="P171" s="71">
        <v>44259</v>
      </c>
      <c r="Q171" s="71">
        <v>44214</v>
      </c>
      <c r="R171" s="71">
        <v>44259</v>
      </c>
      <c r="S171" s="71">
        <v>44259</v>
      </c>
      <c r="T171" s="71">
        <v>44259</v>
      </c>
      <c r="U171" s="71">
        <v>44259</v>
      </c>
      <c r="V171" s="71">
        <v>44466</v>
      </c>
      <c r="W171" s="71"/>
      <c r="X171" s="71"/>
      <c r="Y171" s="71"/>
      <c r="Z171" s="71">
        <v>44260</v>
      </c>
      <c r="AA171" s="71">
        <v>44260</v>
      </c>
      <c r="AB171" s="71">
        <v>44260</v>
      </c>
      <c r="AC171" s="71"/>
      <c r="AD171" s="71">
        <v>44263</v>
      </c>
      <c r="AE171" s="71">
        <v>44260</v>
      </c>
      <c r="AF171" s="71"/>
      <c r="AG171" s="71"/>
      <c r="AH171" s="71">
        <v>44413</v>
      </c>
      <c r="AI171" s="71">
        <v>44215</v>
      </c>
      <c r="AJ171" s="71">
        <v>44215</v>
      </c>
      <c r="AK171" s="71"/>
      <c r="AL171" s="71"/>
      <c r="AM171" s="71"/>
      <c r="AN171" s="71"/>
      <c r="AO171" s="71"/>
      <c r="AP171" s="71">
        <v>44417</v>
      </c>
      <c r="AQ171" s="71">
        <v>44263</v>
      </c>
      <c r="AR171" s="71"/>
      <c r="AS171" s="71"/>
      <c r="AT171" s="71"/>
      <c r="AU171" s="71">
        <v>44417</v>
      </c>
      <c r="AV171" s="71">
        <v>44263</v>
      </c>
      <c r="AW171" s="71">
        <v>44263</v>
      </c>
      <c r="AX171" s="71"/>
      <c r="AY171" s="71">
        <v>44417</v>
      </c>
      <c r="AZ171" s="71"/>
      <c r="BA171" s="71">
        <v>44417</v>
      </c>
      <c r="BB171" s="71"/>
      <c r="BC171" s="71"/>
      <c r="BD171" s="71"/>
      <c r="BE171" s="71"/>
      <c r="BF171" s="71"/>
      <c r="BG171" s="71">
        <v>44382</v>
      </c>
      <c r="BH171" s="71"/>
      <c r="BI171" s="71"/>
      <c r="BJ171" s="71"/>
      <c r="BK171" s="70"/>
      <c r="BL171" s="70"/>
      <c r="BM171" s="70"/>
      <c r="BN171" s="70"/>
      <c r="BO171" s="70"/>
    </row>
    <row r="172" spans="1:67" x14ac:dyDescent="0.4">
      <c r="A172" s="86">
        <v>4700000</v>
      </c>
      <c r="B172" s="74" t="s">
        <v>167</v>
      </c>
      <c r="C172" s="71">
        <v>44446</v>
      </c>
      <c r="D172" s="71">
        <v>44452</v>
      </c>
      <c r="E172" s="71">
        <v>44446</v>
      </c>
      <c r="F172" s="71">
        <v>44454</v>
      </c>
      <c r="G172" s="71">
        <v>44456</v>
      </c>
      <c r="H172" s="71">
        <v>44446</v>
      </c>
      <c r="I172" s="71">
        <v>44445</v>
      </c>
      <c r="J172" s="71">
        <v>44454</v>
      </c>
      <c r="K172" s="71">
        <v>44454</v>
      </c>
      <c r="L172" s="71">
        <v>44454</v>
      </c>
      <c r="M172" s="71">
        <v>44456</v>
      </c>
      <c r="N172" s="71">
        <v>44446</v>
      </c>
      <c r="O172" s="71">
        <v>44446</v>
      </c>
      <c r="P172" s="71">
        <v>44449</v>
      </c>
      <c r="Q172" s="71">
        <v>44452</v>
      </c>
      <c r="R172" s="71"/>
      <c r="S172" s="71">
        <v>44456</v>
      </c>
      <c r="T172" s="71">
        <v>44445</v>
      </c>
      <c r="U172" s="71">
        <v>44445</v>
      </c>
      <c r="V172" s="71">
        <v>44446</v>
      </c>
      <c r="W172" s="71"/>
      <c r="X172" s="71"/>
      <c r="Y172" s="71"/>
      <c r="Z172" s="71">
        <v>44498</v>
      </c>
      <c r="AA172" s="71">
        <v>44446</v>
      </c>
      <c r="AB172" s="71">
        <v>44446</v>
      </c>
      <c r="AC172" s="71">
        <v>44452</v>
      </c>
      <c r="AD172" s="71">
        <v>44457</v>
      </c>
      <c r="AE172" s="71">
        <v>44454</v>
      </c>
      <c r="AF172" s="71"/>
      <c r="AG172" s="71"/>
      <c r="AH172" s="71">
        <v>44454</v>
      </c>
      <c r="AI172" s="71">
        <v>44456</v>
      </c>
      <c r="AJ172" s="71">
        <v>44456</v>
      </c>
      <c r="AK172" s="71">
        <v>44456</v>
      </c>
      <c r="AL172" s="71"/>
      <c r="AM172" s="71"/>
      <c r="AN172" s="71"/>
      <c r="AO172" s="71"/>
      <c r="AP172" s="71"/>
      <c r="AQ172" s="71"/>
      <c r="AR172" s="71"/>
      <c r="AS172" s="71"/>
      <c r="AT172" s="71"/>
      <c r="AU172" s="71">
        <v>44454</v>
      </c>
      <c r="AV172" s="71"/>
      <c r="AW172" s="71">
        <v>44448</v>
      </c>
      <c r="AX172" s="71"/>
      <c r="AY172" s="71">
        <v>44470</v>
      </c>
      <c r="AZ172" s="71"/>
      <c r="BA172" s="71">
        <v>44447</v>
      </c>
      <c r="BB172" s="71">
        <v>44446</v>
      </c>
      <c r="BC172" s="71"/>
      <c r="BD172" s="71"/>
      <c r="BE172" s="71">
        <v>44454</v>
      </c>
      <c r="BF172" s="71"/>
      <c r="BG172" s="71">
        <v>44447</v>
      </c>
      <c r="BH172" s="71">
        <v>44503</v>
      </c>
      <c r="BI172" s="71"/>
      <c r="BJ172" s="71"/>
      <c r="BK172" s="70"/>
      <c r="BL172" s="70"/>
      <c r="BM172" s="70"/>
      <c r="BN172" s="70"/>
      <c r="BO172" s="70"/>
    </row>
    <row r="173" spans="1:67" x14ac:dyDescent="0.4">
      <c r="A173" s="86">
        <v>4710000</v>
      </c>
      <c r="B173" s="74" t="s">
        <v>168</v>
      </c>
      <c r="C173" s="72">
        <v>44134</v>
      </c>
      <c r="D173" s="72">
        <v>42901</v>
      </c>
      <c r="E173" s="72">
        <v>42916</v>
      </c>
      <c r="F173" s="72">
        <v>42916</v>
      </c>
      <c r="G173" s="72">
        <v>42920</v>
      </c>
      <c r="H173" s="72">
        <v>42901</v>
      </c>
      <c r="I173" s="72">
        <v>42901</v>
      </c>
      <c r="J173" s="72">
        <v>42920</v>
      </c>
      <c r="K173" s="71"/>
      <c r="L173" s="72">
        <v>42916</v>
      </c>
      <c r="M173" s="72">
        <v>42915</v>
      </c>
      <c r="N173" s="72">
        <v>43248</v>
      </c>
      <c r="O173" s="72">
        <v>44098</v>
      </c>
      <c r="P173" s="72">
        <v>43370</v>
      </c>
      <c r="Q173" s="72">
        <v>44098</v>
      </c>
      <c r="R173" s="71"/>
      <c r="S173" s="72">
        <v>44098</v>
      </c>
      <c r="T173" s="72">
        <v>44098</v>
      </c>
      <c r="U173" s="72">
        <v>42915</v>
      </c>
      <c r="V173" s="72">
        <v>42920</v>
      </c>
      <c r="W173" s="71"/>
      <c r="X173" s="71"/>
      <c r="Y173" s="71"/>
      <c r="Z173" s="72">
        <v>44098</v>
      </c>
      <c r="AA173" s="71"/>
      <c r="AB173" s="72">
        <v>43739</v>
      </c>
      <c r="AC173" s="71"/>
      <c r="AD173" s="71"/>
      <c r="AE173" s="72">
        <v>42901</v>
      </c>
      <c r="AF173" s="71"/>
      <c r="AG173" s="72">
        <v>44134</v>
      </c>
      <c r="AH173" s="72">
        <v>44134</v>
      </c>
      <c r="AI173" s="72">
        <v>43370</v>
      </c>
      <c r="AJ173" s="72">
        <v>43370</v>
      </c>
      <c r="AK173" s="71"/>
      <c r="AL173" s="71"/>
      <c r="AM173" s="71"/>
      <c r="AN173" s="71"/>
      <c r="AO173" s="71"/>
      <c r="AP173" s="71"/>
      <c r="AQ173" s="71"/>
      <c r="AR173" s="71"/>
      <c r="AS173" s="71"/>
      <c r="AT173" s="71"/>
      <c r="AU173" s="71"/>
      <c r="AV173" s="71"/>
      <c r="AW173" s="71"/>
      <c r="AX173" s="71"/>
      <c r="AY173" s="71"/>
      <c r="AZ173" s="71"/>
      <c r="BA173" s="71"/>
      <c r="BB173" s="71"/>
      <c r="BC173" s="71"/>
      <c r="BD173" s="71"/>
      <c r="BE173" s="72">
        <v>44098</v>
      </c>
      <c r="BF173" s="71"/>
      <c r="BG173" s="71"/>
      <c r="BH173" s="71"/>
      <c r="BI173" s="71"/>
      <c r="BJ173" s="71"/>
      <c r="BK173" s="70"/>
      <c r="BL173" s="70"/>
      <c r="BM173" s="70"/>
      <c r="BN173" s="70"/>
      <c r="BO173" s="70"/>
    </row>
    <row r="174" spans="1:67" x14ac:dyDescent="0.4">
      <c r="A174" s="86">
        <v>4720000</v>
      </c>
      <c r="B174" s="74" t="s">
        <v>169</v>
      </c>
      <c r="C174" s="71">
        <v>44468</v>
      </c>
      <c r="D174" s="71">
        <v>44294</v>
      </c>
      <c r="E174" s="71">
        <v>44477</v>
      </c>
      <c r="F174" s="72">
        <v>44294</v>
      </c>
      <c r="G174" s="71">
        <v>44482</v>
      </c>
      <c r="H174" s="71">
        <v>44489</v>
      </c>
      <c r="I174" s="71">
        <v>44375</v>
      </c>
      <c r="J174" s="71">
        <v>44462</v>
      </c>
      <c r="K174" s="71">
        <v>44360</v>
      </c>
      <c r="L174" s="71">
        <v>44363</v>
      </c>
      <c r="M174" s="71">
        <v>44440</v>
      </c>
      <c r="N174" s="71">
        <v>44302</v>
      </c>
      <c r="O174" s="71">
        <v>44489</v>
      </c>
      <c r="P174" s="71">
        <v>44293</v>
      </c>
      <c r="Q174" s="71">
        <v>44491</v>
      </c>
      <c r="R174" s="71"/>
      <c r="S174" s="71">
        <v>44376</v>
      </c>
      <c r="T174" s="71">
        <v>44293</v>
      </c>
      <c r="U174" s="71">
        <v>44483</v>
      </c>
      <c r="V174" s="71">
        <v>44376</v>
      </c>
      <c r="W174" s="71"/>
      <c r="X174" s="71"/>
      <c r="Y174" s="71"/>
      <c r="Z174" s="71"/>
      <c r="AA174" s="71"/>
      <c r="AB174" s="71">
        <v>44365</v>
      </c>
      <c r="AC174" s="71">
        <v>44365</v>
      </c>
      <c r="AD174" s="71">
        <v>44375</v>
      </c>
      <c r="AE174" s="71">
        <v>44489</v>
      </c>
      <c r="AF174" s="71">
        <v>44365</v>
      </c>
      <c r="AG174" s="71">
        <v>44385</v>
      </c>
      <c r="AH174" s="71">
        <v>44489</v>
      </c>
      <c r="AI174" s="71">
        <v>44272</v>
      </c>
      <c r="AJ174" s="71">
        <v>44294</v>
      </c>
      <c r="AK174" s="71">
        <v>44365</v>
      </c>
      <c r="AL174" s="71">
        <v>44491</v>
      </c>
      <c r="AM174" s="71">
        <v>44489</v>
      </c>
      <c r="AN174" s="71"/>
      <c r="AO174" s="71"/>
      <c r="AP174" s="71"/>
      <c r="AQ174" s="71"/>
      <c r="AR174" s="71">
        <v>44375</v>
      </c>
      <c r="AS174" s="71"/>
      <c r="AT174" s="71"/>
      <c r="AU174" s="71">
        <v>44375</v>
      </c>
      <c r="AV174" s="71"/>
      <c r="AW174" s="71">
        <v>44365</v>
      </c>
      <c r="AX174" s="71"/>
      <c r="AY174" s="71">
        <v>44385</v>
      </c>
      <c r="AZ174" s="71"/>
      <c r="BA174" s="71"/>
      <c r="BB174" s="71">
        <v>44385</v>
      </c>
      <c r="BC174" s="71"/>
      <c r="BD174" s="71"/>
      <c r="BE174" s="71"/>
      <c r="BF174" s="71"/>
      <c r="BG174" s="71"/>
      <c r="BH174" s="71"/>
      <c r="BI174" s="71"/>
      <c r="BJ174" s="71"/>
      <c r="BK174" s="70"/>
      <c r="BL174" s="70"/>
      <c r="BM174" s="70"/>
      <c r="BN174" s="70"/>
      <c r="BO174" s="70"/>
    </row>
    <row r="175" spans="1:67" x14ac:dyDescent="0.4">
      <c r="A175" s="86">
        <v>4730000</v>
      </c>
      <c r="B175" s="74" t="s">
        <v>170</v>
      </c>
      <c r="C175" s="71">
        <v>44455</v>
      </c>
      <c r="D175" s="71">
        <v>44455</v>
      </c>
      <c r="E175" s="71">
        <v>44455</v>
      </c>
      <c r="F175" s="71">
        <v>44456</v>
      </c>
      <c r="G175" s="71">
        <v>44455</v>
      </c>
      <c r="H175" s="71">
        <v>44455</v>
      </c>
      <c r="I175" s="71">
        <v>44455</v>
      </c>
      <c r="J175" s="71">
        <v>44456</v>
      </c>
      <c r="K175" s="71">
        <v>44456</v>
      </c>
      <c r="L175" s="71">
        <v>44455</v>
      </c>
      <c r="M175" s="71">
        <v>44456</v>
      </c>
      <c r="N175" s="71">
        <v>44455</v>
      </c>
      <c r="O175" s="71"/>
      <c r="P175" s="71">
        <v>44456</v>
      </c>
      <c r="Q175" s="71">
        <v>44455</v>
      </c>
      <c r="R175" s="71"/>
      <c r="S175" s="71">
        <v>44455</v>
      </c>
      <c r="T175" s="71">
        <v>44455</v>
      </c>
      <c r="U175" s="71">
        <v>44455</v>
      </c>
      <c r="V175" s="71">
        <v>44456</v>
      </c>
      <c r="W175" s="71"/>
      <c r="X175" s="71"/>
      <c r="Y175" s="71">
        <v>44455</v>
      </c>
      <c r="Z175" s="71"/>
      <c r="AA175" s="71"/>
      <c r="AB175" s="71">
        <v>44455</v>
      </c>
      <c r="AC175" s="71">
        <v>44455</v>
      </c>
      <c r="AD175" s="71">
        <v>44455</v>
      </c>
      <c r="AE175" s="71">
        <v>44455</v>
      </c>
      <c r="AF175" s="71"/>
      <c r="AG175" s="71">
        <v>44455</v>
      </c>
      <c r="AH175" s="71"/>
      <c r="AI175" s="71">
        <v>44455</v>
      </c>
      <c r="AJ175" s="71">
        <v>44455</v>
      </c>
      <c r="AK175" s="71"/>
      <c r="AL175" s="71"/>
      <c r="AM175" s="71">
        <v>44455</v>
      </c>
      <c r="AN175" s="71">
        <v>44456</v>
      </c>
      <c r="AO175" s="71"/>
      <c r="AP175" s="71">
        <v>44455</v>
      </c>
      <c r="AQ175" s="71"/>
      <c r="AR175" s="71">
        <v>44455</v>
      </c>
      <c r="AS175" s="71">
        <v>44455</v>
      </c>
      <c r="AT175" s="71"/>
      <c r="AU175" s="71">
        <v>44456</v>
      </c>
      <c r="AV175" s="71"/>
      <c r="AW175" s="71">
        <v>44456</v>
      </c>
      <c r="AX175" s="71"/>
      <c r="AY175" s="71"/>
      <c r="AZ175" s="71"/>
      <c r="BA175" s="71">
        <v>44455</v>
      </c>
      <c r="BB175" s="71">
        <v>44456</v>
      </c>
      <c r="BC175" s="71"/>
      <c r="BD175" s="71"/>
      <c r="BE175" s="71">
        <v>44456</v>
      </c>
      <c r="BF175" s="71"/>
      <c r="BG175" s="71">
        <v>44455</v>
      </c>
      <c r="BH175" s="71">
        <v>44485</v>
      </c>
      <c r="BI175" s="71"/>
      <c r="BJ175" s="71"/>
      <c r="BK175" s="70"/>
      <c r="BL175" s="70"/>
      <c r="BM175" s="70"/>
      <c r="BN175" s="70"/>
      <c r="BO175" s="70"/>
    </row>
    <row r="176" spans="1:67" x14ac:dyDescent="0.4">
      <c r="A176" s="86">
        <v>4740000</v>
      </c>
      <c r="B176" s="74" t="s">
        <v>171</v>
      </c>
      <c r="C176" s="71">
        <v>44433</v>
      </c>
      <c r="D176" s="71">
        <v>44387</v>
      </c>
      <c r="E176" s="71">
        <v>44441</v>
      </c>
      <c r="F176" s="71">
        <v>44489</v>
      </c>
      <c r="G176" s="71">
        <v>44503</v>
      </c>
      <c r="H176" s="71">
        <v>44387</v>
      </c>
      <c r="I176" s="71">
        <v>44432</v>
      </c>
      <c r="J176" s="71">
        <v>44441</v>
      </c>
      <c r="K176" s="71">
        <v>44432</v>
      </c>
      <c r="L176" s="71">
        <v>44392</v>
      </c>
      <c r="M176" s="71">
        <v>44432</v>
      </c>
      <c r="N176" s="71">
        <v>44391</v>
      </c>
      <c r="O176" s="71"/>
      <c r="P176" s="71">
        <v>44391</v>
      </c>
      <c r="Q176" s="71">
        <v>44173</v>
      </c>
      <c r="R176" s="71"/>
      <c r="S176" s="71">
        <v>44389</v>
      </c>
      <c r="T176" s="71">
        <v>44387</v>
      </c>
      <c r="U176" s="71">
        <v>44392</v>
      </c>
      <c r="V176" s="71">
        <v>44386</v>
      </c>
      <c r="W176" s="71"/>
      <c r="X176" s="71"/>
      <c r="Y176" s="71"/>
      <c r="Z176" s="71"/>
      <c r="AA176" s="71">
        <v>44389</v>
      </c>
      <c r="AB176" s="71">
        <v>44391</v>
      </c>
      <c r="AC176" s="71">
        <v>44187</v>
      </c>
      <c r="AD176" s="71">
        <v>44387</v>
      </c>
      <c r="AE176" s="71">
        <v>44394</v>
      </c>
      <c r="AF176" s="71"/>
      <c r="AG176" s="71"/>
      <c r="AH176" s="71"/>
      <c r="AI176" s="71"/>
      <c r="AJ176" s="71">
        <v>44387</v>
      </c>
      <c r="AK176" s="71"/>
      <c r="AL176" s="71"/>
      <c r="AM176" s="71"/>
      <c r="AN176" s="71"/>
      <c r="AO176" s="71"/>
      <c r="AP176" s="71"/>
      <c r="AQ176" s="71">
        <v>44187</v>
      </c>
      <c r="AR176" s="71"/>
      <c r="AS176" s="71">
        <v>44441</v>
      </c>
      <c r="AT176" s="71"/>
      <c r="AU176" s="71">
        <v>44427</v>
      </c>
      <c r="AV176" s="71">
        <v>44251</v>
      </c>
      <c r="AW176" s="71">
        <v>44387</v>
      </c>
      <c r="AX176" s="71"/>
      <c r="AY176" s="71"/>
      <c r="AZ176" s="71"/>
      <c r="BA176" s="71"/>
      <c r="BB176" s="71">
        <v>44427</v>
      </c>
      <c r="BC176" s="71"/>
      <c r="BD176" s="71"/>
      <c r="BE176" s="71"/>
      <c r="BF176" s="71"/>
      <c r="BG176" s="71">
        <v>44357</v>
      </c>
      <c r="BH176" s="71">
        <v>44494</v>
      </c>
      <c r="BI176" s="71"/>
      <c r="BJ176" s="71"/>
      <c r="BK176" s="70"/>
      <c r="BL176" s="70"/>
      <c r="BM176" s="70"/>
      <c r="BN176" s="70"/>
      <c r="BO176" s="70"/>
    </row>
    <row r="177" spans="1:67" x14ac:dyDescent="0.4">
      <c r="A177" s="86">
        <v>4750000</v>
      </c>
      <c r="B177" s="74" t="s">
        <v>172</v>
      </c>
      <c r="C177" s="71">
        <v>44434</v>
      </c>
      <c r="D177" s="71">
        <v>44442</v>
      </c>
      <c r="E177" s="71">
        <v>44434</v>
      </c>
      <c r="F177" s="71">
        <v>44425</v>
      </c>
      <c r="G177" s="71">
        <v>44428</v>
      </c>
      <c r="H177" s="71">
        <v>44427</v>
      </c>
      <c r="I177" s="71">
        <v>44434</v>
      </c>
      <c r="J177" s="71">
        <v>44434</v>
      </c>
      <c r="K177" s="71">
        <v>44425</v>
      </c>
      <c r="L177" s="71">
        <v>44427</v>
      </c>
      <c r="M177" s="71">
        <v>44440</v>
      </c>
      <c r="N177" s="71">
        <v>44427</v>
      </c>
      <c r="O177" s="71"/>
      <c r="P177" s="71">
        <v>44482</v>
      </c>
      <c r="Q177" s="71">
        <v>44420</v>
      </c>
      <c r="R177" s="71"/>
      <c r="S177" s="71">
        <v>44428</v>
      </c>
      <c r="T177" s="71">
        <v>44483</v>
      </c>
      <c r="U177" s="71">
        <v>44481</v>
      </c>
      <c r="V177" s="71">
        <v>44425</v>
      </c>
      <c r="W177" s="71"/>
      <c r="X177" s="71"/>
      <c r="Y177" s="71"/>
      <c r="Z177" s="71"/>
      <c r="AA177" s="71">
        <v>44428</v>
      </c>
      <c r="AB177" s="71">
        <v>44481</v>
      </c>
      <c r="AC177" s="71">
        <v>44481</v>
      </c>
      <c r="AD177" s="71">
        <v>44483</v>
      </c>
      <c r="AE177" s="71">
        <v>44427</v>
      </c>
      <c r="AF177" s="71"/>
      <c r="AG177" s="71"/>
      <c r="AH177" s="71"/>
      <c r="AI177" s="71">
        <v>44425</v>
      </c>
      <c r="AJ177" s="71">
        <v>44425</v>
      </c>
      <c r="AK177" s="71"/>
      <c r="AL177" s="71"/>
      <c r="AM177" s="71"/>
      <c r="AN177" s="71"/>
      <c r="AO177" s="71"/>
      <c r="AP177" s="71"/>
      <c r="AQ177" s="71">
        <v>44482</v>
      </c>
      <c r="AR177" s="71">
        <v>44434</v>
      </c>
      <c r="AS177" s="71"/>
      <c r="AT177" s="71"/>
      <c r="AU177" s="71">
        <v>44420</v>
      </c>
      <c r="AV177" s="71"/>
      <c r="AW177" s="71">
        <v>44435</v>
      </c>
      <c r="AX177" s="71"/>
      <c r="AY177" s="71"/>
      <c r="AZ177" s="71"/>
      <c r="BA177" s="71">
        <v>44434</v>
      </c>
      <c r="BB177" s="71">
        <v>44425</v>
      </c>
      <c r="BC177" s="71"/>
      <c r="BD177" s="71"/>
      <c r="BE177" s="71"/>
      <c r="BF177" s="71"/>
      <c r="BG177" s="71"/>
      <c r="BH177" s="71">
        <v>44494</v>
      </c>
      <c r="BI177" s="71"/>
      <c r="BJ177" s="71"/>
      <c r="BK177" s="70"/>
      <c r="BL177" s="70"/>
      <c r="BM177" s="70"/>
      <c r="BN177" s="70"/>
      <c r="BO177" s="70"/>
    </row>
    <row r="178" spans="1:67" x14ac:dyDescent="0.4">
      <c r="A178" s="86">
        <v>4760000</v>
      </c>
      <c r="B178" s="74" t="s">
        <v>173</v>
      </c>
      <c r="C178" s="71">
        <v>44490</v>
      </c>
      <c r="D178" s="71">
        <v>44490</v>
      </c>
      <c r="E178" s="71">
        <v>44490</v>
      </c>
      <c r="F178" s="71">
        <v>44490</v>
      </c>
      <c r="G178" s="71">
        <v>44490</v>
      </c>
      <c r="H178" s="71">
        <v>44490</v>
      </c>
      <c r="I178" s="71">
        <v>44490</v>
      </c>
      <c r="J178" s="71">
        <v>44490</v>
      </c>
      <c r="K178" s="71">
        <v>44490</v>
      </c>
      <c r="L178" s="71"/>
      <c r="M178" s="71"/>
      <c r="N178" s="71">
        <v>44490</v>
      </c>
      <c r="O178" s="71"/>
      <c r="P178" s="71">
        <v>44490</v>
      </c>
      <c r="Q178" s="71"/>
      <c r="R178" s="71"/>
      <c r="S178" s="71">
        <v>44490</v>
      </c>
      <c r="T178" s="71">
        <v>44490</v>
      </c>
      <c r="U178" s="71">
        <v>44490</v>
      </c>
      <c r="V178" s="71">
        <v>44490</v>
      </c>
      <c r="W178" s="71"/>
      <c r="X178" s="71"/>
      <c r="Y178" s="71">
        <v>44490</v>
      </c>
      <c r="Z178" s="71"/>
      <c r="AA178" s="71"/>
      <c r="AB178" s="71">
        <v>44490</v>
      </c>
      <c r="AC178" s="71">
        <v>44490</v>
      </c>
      <c r="AD178" s="71">
        <v>44490</v>
      </c>
      <c r="AE178" s="71">
        <v>44490</v>
      </c>
      <c r="AF178" s="71"/>
      <c r="AG178" s="71"/>
      <c r="AH178" s="71"/>
      <c r="AI178" s="71">
        <v>44490</v>
      </c>
      <c r="AJ178" s="71">
        <v>44490</v>
      </c>
      <c r="AK178" s="71"/>
      <c r="AL178" s="71"/>
      <c r="AM178" s="71">
        <v>44490</v>
      </c>
      <c r="AN178" s="71"/>
      <c r="AO178" s="71"/>
      <c r="AP178" s="71"/>
      <c r="AQ178" s="71"/>
      <c r="AR178" s="71"/>
      <c r="AS178" s="71"/>
      <c r="AT178" s="71"/>
      <c r="AU178" s="71">
        <v>44490</v>
      </c>
      <c r="AV178" s="71"/>
      <c r="AW178" s="71">
        <v>44490</v>
      </c>
      <c r="AX178" s="71"/>
      <c r="AY178" s="71"/>
      <c r="AZ178" s="71"/>
      <c r="BA178" s="71"/>
      <c r="BB178" s="71"/>
      <c r="BC178" s="71"/>
      <c r="BD178" s="71"/>
      <c r="BE178" s="71"/>
      <c r="BF178" s="71"/>
      <c r="BG178" s="71"/>
      <c r="BH178" s="71">
        <v>44490</v>
      </c>
      <c r="BI178" s="71"/>
      <c r="BJ178" s="71"/>
      <c r="BK178" s="70"/>
      <c r="BL178" s="70"/>
      <c r="BM178" s="70"/>
      <c r="BN178" s="70"/>
      <c r="BO178" s="70"/>
    </row>
    <row r="179" spans="1:67" x14ac:dyDescent="0.4">
      <c r="A179" s="86">
        <v>4770000</v>
      </c>
      <c r="B179" s="74" t="s">
        <v>174</v>
      </c>
      <c r="C179" s="71">
        <v>44490</v>
      </c>
      <c r="D179" s="71">
        <v>44490</v>
      </c>
      <c r="E179" s="71">
        <v>44490</v>
      </c>
      <c r="F179" s="71">
        <v>44490</v>
      </c>
      <c r="G179" s="71">
        <v>44490</v>
      </c>
      <c r="H179" s="71">
        <v>44490</v>
      </c>
      <c r="I179" s="71">
        <v>44491</v>
      </c>
      <c r="J179" s="71">
        <v>44490</v>
      </c>
      <c r="K179" s="71">
        <v>44491</v>
      </c>
      <c r="L179" s="71">
        <v>44491</v>
      </c>
      <c r="M179" s="71">
        <v>44490</v>
      </c>
      <c r="N179" s="71">
        <v>44490</v>
      </c>
      <c r="O179" s="71"/>
      <c r="P179" s="71">
        <v>44497</v>
      </c>
      <c r="Q179" s="71"/>
      <c r="R179" s="71"/>
      <c r="S179" s="71">
        <v>44490</v>
      </c>
      <c r="T179" s="71">
        <v>44490</v>
      </c>
      <c r="U179" s="71">
        <v>44491</v>
      </c>
      <c r="V179" s="71">
        <v>44490</v>
      </c>
      <c r="W179" s="71"/>
      <c r="X179" s="71"/>
      <c r="Y179" s="71">
        <v>44491</v>
      </c>
      <c r="Z179" s="71"/>
      <c r="AA179" s="71">
        <v>44490</v>
      </c>
      <c r="AB179" s="71">
        <v>44490</v>
      </c>
      <c r="AC179" s="71"/>
      <c r="AD179" s="71">
        <v>44490</v>
      </c>
      <c r="AE179" s="71">
        <v>44502</v>
      </c>
      <c r="AF179" s="71"/>
      <c r="AG179" s="71"/>
      <c r="AH179" s="71">
        <v>44490</v>
      </c>
      <c r="AI179" s="71">
        <v>44490</v>
      </c>
      <c r="AJ179" s="71">
        <v>44490</v>
      </c>
      <c r="AK179" s="71"/>
      <c r="AL179" s="71"/>
      <c r="AM179" s="71">
        <v>44497</v>
      </c>
      <c r="AN179" s="71"/>
      <c r="AO179" s="71"/>
      <c r="AP179" s="71"/>
      <c r="AQ179" s="71"/>
      <c r="AR179" s="71"/>
      <c r="AS179" s="71"/>
      <c r="AT179" s="71"/>
      <c r="AU179" s="71">
        <v>44490</v>
      </c>
      <c r="AV179" s="71"/>
      <c r="AW179" s="71">
        <v>44497</v>
      </c>
      <c r="AX179" s="71"/>
      <c r="AY179" s="71"/>
      <c r="AZ179" s="71">
        <v>44490</v>
      </c>
      <c r="BA179" s="71">
        <v>44490</v>
      </c>
      <c r="BB179" s="71">
        <v>44490</v>
      </c>
      <c r="BC179" s="71"/>
      <c r="BD179" s="71"/>
      <c r="BE179" s="71">
        <v>44497</v>
      </c>
      <c r="BF179" s="71"/>
      <c r="BG179" s="71"/>
      <c r="BH179" s="71">
        <v>44490</v>
      </c>
      <c r="BI179" s="71"/>
      <c r="BJ179" s="71"/>
      <c r="BK179" s="70"/>
      <c r="BL179" s="70"/>
      <c r="BM179" s="70"/>
      <c r="BN179" s="70"/>
      <c r="BO179" s="70"/>
    </row>
    <row r="180" spans="1:67" x14ac:dyDescent="0.4">
      <c r="A180" s="86">
        <v>4780000</v>
      </c>
      <c r="B180" s="74" t="s">
        <v>175</v>
      </c>
      <c r="C180" s="71">
        <v>44494</v>
      </c>
      <c r="D180" s="71">
        <v>44186</v>
      </c>
      <c r="E180" s="71">
        <v>44494</v>
      </c>
      <c r="F180" s="72">
        <v>44186</v>
      </c>
      <c r="G180" s="72">
        <v>44186</v>
      </c>
      <c r="H180" s="71">
        <v>44183</v>
      </c>
      <c r="I180" s="71">
        <v>44494</v>
      </c>
      <c r="J180" s="71">
        <v>44494</v>
      </c>
      <c r="K180" s="71"/>
      <c r="L180" s="71">
        <v>44497</v>
      </c>
      <c r="M180" s="71">
        <v>44497</v>
      </c>
      <c r="N180" s="71">
        <v>44186</v>
      </c>
      <c r="O180" s="71">
        <v>44186</v>
      </c>
      <c r="P180" s="71">
        <v>44186</v>
      </c>
      <c r="Q180" s="71"/>
      <c r="R180" s="71"/>
      <c r="S180" s="71">
        <v>44186</v>
      </c>
      <c r="T180" s="71">
        <v>44494</v>
      </c>
      <c r="U180" s="71">
        <v>44186</v>
      </c>
      <c r="V180" s="71">
        <v>44183</v>
      </c>
      <c r="W180" s="71"/>
      <c r="X180" s="71"/>
      <c r="Y180" s="71"/>
      <c r="Z180" s="71">
        <v>44172</v>
      </c>
      <c r="AA180" s="71">
        <v>44186</v>
      </c>
      <c r="AB180" s="71">
        <v>44186</v>
      </c>
      <c r="AC180" s="71">
        <v>44186</v>
      </c>
      <c r="AD180" s="71">
        <v>44186</v>
      </c>
      <c r="AE180" s="71">
        <v>44186</v>
      </c>
      <c r="AF180" s="71"/>
      <c r="AG180" s="71"/>
      <c r="AH180" s="71">
        <v>44494</v>
      </c>
      <c r="AI180" s="71">
        <v>44172</v>
      </c>
      <c r="AJ180" s="71">
        <v>44172</v>
      </c>
      <c r="AK180" s="71"/>
      <c r="AL180" s="71"/>
      <c r="AM180" s="72">
        <v>44186</v>
      </c>
      <c r="AN180" s="71"/>
      <c r="AO180" s="71"/>
      <c r="AP180" s="71"/>
      <c r="AQ180" s="71"/>
      <c r="AR180" s="71"/>
      <c r="AS180" s="71"/>
      <c r="AT180" s="71">
        <v>44495</v>
      </c>
      <c r="AU180" s="71">
        <v>44494</v>
      </c>
      <c r="AV180" s="71">
        <v>44186</v>
      </c>
      <c r="AW180" s="71">
        <v>44186</v>
      </c>
      <c r="AX180" s="71"/>
      <c r="AY180" s="71"/>
      <c r="AZ180" s="71"/>
      <c r="BA180" s="71"/>
      <c r="BB180" s="71">
        <v>44495</v>
      </c>
      <c r="BC180" s="71"/>
      <c r="BD180" s="71"/>
      <c r="BE180" s="71"/>
      <c r="BF180" s="71"/>
      <c r="BG180" s="71">
        <v>44494</v>
      </c>
      <c r="BH180" s="71">
        <v>44496</v>
      </c>
      <c r="BI180" s="71"/>
      <c r="BJ180" s="71"/>
      <c r="BK180" s="70"/>
      <c r="BL180" s="70"/>
      <c r="BM180" s="70"/>
      <c r="BN180" s="70"/>
      <c r="BO180" s="70"/>
    </row>
    <row r="181" spans="1:67" x14ac:dyDescent="0.4">
      <c r="A181" s="86">
        <v>4790000</v>
      </c>
      <c r="B181" s="74" t="s">
        <v>176</v>
      </c>
      <c r="C181" s="71">
        <v>44320</v>
      </c>
      <c r="D181" s="71">
        <v>44336</v>
      </c>
      <c r="E181" s="71">
        <v>44320</v>
      </c>
      <c r="F181" s="71">
        <v>44439</v>
      </c>
      <c r="G181" s="71">
        <v>44439</v>
      </c>
      <c r="H181" s="71">
        <v>44320</v>
      </c>
      <c r="I181" s="71">
        <v>44340</v>
      </c>
      <c r="J181" s="71">
        <v>44439</v>
      </c>
      <c r="K181" s="71">
        <v>44439</v>
      </c>
      <c r="L181" s="71">
        <v>44340</v>
      </c>
      <c r="M181" s="71">
        <v>44439</v>
      </c>
      <c r="N181" s="71">
        <v>44362</v>
      </c>
      <c r="O181" s="71"/>
      <c r="P181" s="71">
        <v>44368</v>
      </c>
      <c r="Q181" s="71">
        <v>44368</v>
      </c>
      <c r="R181" s="71"/>
      <c r="S181" s="71">
        <v>44368</v>
      </c>
      <c r="T181" s="71">
        <v>44362</v>
      </c>
      <c r="U181" s="71">
        <v>44368</v>
      </c>
      <c r="V181" s="71">
        <v>44368</v>
      </c>
      <c r="W181" s="71"/>
      <c r="X181" s="71"/>
      <c r="Y181" s="71"/>
      <c r="Z181" s="71">
        <v>44368</v>
      </c>
      <c r="AA181" s="71">
        <v>44368</v>
      </c>
      <c r="AB181" s="71">
        <v>44368</v>
      </c>
      <c r="AC181" s="71">
        <v>44362</v>
      </c>
      <c r="AD181" s="71">
        <v>44368</v>
      </c>
      <c r="AE181" s="71"/>
      <c r="AF181" s="71"/>
      <c r="AG181" s="71"/>
      <c r="AH181" s="71">
        <v>44355</v>
      </c>
      <c r="AI181" s="71">
        <v>44340</v>
      </c>
      <c r="AJ181" s="71">
        <v>44340</v>
      </c>
      <c r="AK181" s="71"/>
      <c r="AL181" s="71"/>
      <c r="AM181" s="71">
        <v>44336</v>
      </c>
      <c r="AN181" s="71"/>
      <c r="AO181" s="71"/>
      <c r="AP181" s="71"/>
      <c r="AQ181" s="71"/>
      <c r="AR181" s="71">
        <v>44355</v>
      </c>
      <c r="AS181" s="71"/>
      <c r="AT181" s="71"/>
      <c r="AU181" s="71">
        <v>44355</v>
      </c>
      <c r="AV181" s="71"/>
      <c r="AW181" s="71">
        <v>44368</v>
      </c>
      <c r="AX181" s="71"/>
      <c r="AY181" s="71"/>
      <c r="AZ181" s="71"/>
      <c r="BA181" s="71"/>
      <c r="BB181" s="71">
        <v>44355</v>
      </c>
      <c r="BC181" s="71"/>
      <c r="BD181" s="71"/>
      <c r="BE181" s="71"/>
      <c r="BF181" s="71"/>
      <c r="BG181" s="71">
        <v>44355</v>
      </c>
      <c r="BH181" s="71"/>
      <c r="BI181" s="71"/>
      <c r="BJ181" s="71"/>
      <c r="BK181" s="70"/>
      <c r="BL181" s="70"/>
      <c r="BM181" s="70"/>
      <c r="BN181" s="70"/>
      <c r="BO181" s="70"/>
    </row>
    <row r="182" spans="1:67" x14ac:dyDescent="0.4">
      <c r="A182" s="86">
        <v>6460000</v>
      </c>
      <c r="B182" s="74" t="s">
        <v>177</v>
      </c>
      <c r="C182" s="71"/>
      <c r="D182" s="72">
        <v>43633</v>
      </c>
      <c r="E182" s="71"/>
      <c r="F182" s="72">
        <v>44153</v>
      </c>
      <c r="G182" s="72">
        <v>44153</v>
      </c>
      <c r="H182" s="71"/>
      <c r="I182" s="71">
        <v>44490</v>
      </c>
      <c r="J182" s="71"/>
      <c r="K182" s="71"/>
      <c r="L182" s="71"/>
      <c r="M182" s="71"/>
      <c r="N182" s="71"/>
      <c r="O182" s="71"/>
      <c r="P182" s="71"/>
      <c r="Q182" s="71"/>
      <c r="R182" s="71"/>
      <c r="S182" s="72">
        <v>44127</v>
      </c>
      <c r="T182" s="71"/>
      <c r="U182" s="71">
        <v>44189</v>
      </c>
      <c r="V182" s="72">
        <v>43630</v>
      </c>
      <c r="W182" s="71"/>
      <c r="X182" s="71"/>
      <c r="Y182" s="71"/>
      <c r="Z182" s="71"/>
      <c r="AA182" s="71"/>
      <c r="AB182" s="71">
        <v>44495</v>
      </c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  <c r="AV182" s="71"/>
      <c r="AW182" s="71"/>
      <c r="AX182" s="71"/>
      <c r="AY182" s="71"/>
      <c r="AZ182" s="71"/>
      <c r="BA182" s="71"/>
      <c r="BB182" s="71"/>
      <c r="BC182" s="71"/>
      <c r="BD182" s="71"/>
      <c r="BE182" s="71"/>
      <c r="BF182" s="71"/>
      <c r="BG182" s="71"/>
      <c r="BH182" s="71"/>
      <c r="BI182" s="71">
        <v>44221</v>
      </c>
      <c r="BJ182" s="71"/>
      <c r="BK182" s="70"/>
      <c r="BL182" s="70"/>
      <c r="BM182" s="70"/>
      <c r="BN182" s="70"/>
      <c r="BO182" s="70"/>
    </row>
    <row r="183" spans="1:67" x14ac:dyDescent="0.4">
      <c r="A183" s="86">
        <v>4800000</v>
      </c>
      <c r="B183" s="74" t="s">
        <v>178</v>
      </c>
      <c r="C183" s="71">
        <v>44489</v>
      </c>
      <c r="D183" s="71">
        <v>44489</v>
      </c>
      <c r="E183" s="71">
        <v>44489</v>
      </c>
      <c r="F183" s="71">
        <v>44488</v>
      </c>
      <c r="G183" s="71">
        <v>44488</v>
      </c>
      <c r="H183" s="71">
        <v>44489</v>
      </c>
      <c r="I183" s="71">
        <v>44488</v>
      </c>
      <c r="J183" s="71">
        <v>44489</v>
      </c>
      <c r="K183" s="71">
        <v>44489</v>
      </c>
      <c r="L183" s="71">
        <v>44489</v>
      </c>
      <c r="M183" s="71">
        <v>44488</v>
      </c>
      <c r="N183" s="71">
        <v>44491</v>
      </c>
      <c r="O183" s="71">
        <v>44467</v>
      </c>
      <c r="P183" s="72">
        <v>44118</v>
      </c>
      <c r="Q183" s="71">
        <v>44489</v>
      </c>
      <c r="R183" s="71">
        <v>44488</v>
      </c>
      <c r="S183" s="71">
        <v>44488</v>
      </c>
      <c r="T183" s="71"/>
      <c r="U183" s="71">
        <v>44489</v>
      </c>
      <c r="V183" s="71">
        <v>44489</v>
      </c>
      <c r="W183" s="71"/>
      <c r="X183" s="71">
        <v>44489</v>
      </c>
      <c r="Y183" s="71"/>
      <c r="Z183" s="71">
        <v>44488</v>
      </c>
      <c r="AA183" s="71">
        <v>44489</v>
      </c>
      <c r="AB183" s="71">
        <v>44489</v>
      </c>
      <c r="AC183" s="71">
        <v>44498</v>
      </c>
      <c r="AD183" s="71">
        <v>44489</v>
      </c>
      <c r="AE183" s="71">
        <v>44490</v>
      </c>
      <c r="AF183" s="71"/>
      <c r="AG183" s="71">
        <v>44488</v>
      </c>
      <c r="AH183" s="71">
        <v>44489</v>
      </c>
      <c r="AI183" s="71">
        <v>44488</v>
      </c>
      <c r="AJ183" s="71">
        <v>44488</v>
      </c>
      <c r="AK183" s="71"/>
      <c r="AL183" s="71"/>
      <c r="AM183" s="71">
        <v>44498</v>
      </c>
      <c r="AN183" s="71"/>
      <c r="AO183" s="71"/>
      <c r="AP183" s="71">
        <v>44498</v>
      </c>
      <c r="AQ183" s="71"/>
      <c r="AR183" s="71"/>
      <c r="AS183" s="71"/>
      <c r="AT183" s="71"/>
      <c r="AU183" s="71">
        <v>44489</v>
      </c>
      <c r="AV183" s="71"/>
      <c r="AW183" s="71">
        <v>44489</v>
      </c>
      <c r="AX183" s="71"/>
      <c r="AY183" s="71"/>
      <c r="AZ183" s="71"/>
      <c r="BA183" s="71">
        <v>44489</v>
      </c>
      <c r="BB183" s="71">
        <v>44490</v>
      </c>
      <c r="BC183" s="71"/>
      <c r="BD183" s="71"/>
      <c r="BE183" s="71">
        <v>44488</v>
      </c>
      <c r="BF183" s="71"/>
      <c r="BG183" s="71">
        <v>44489</v>
      </c>
      <c r="BH183" s="71"/>
      <c r="BI183" s="71"/>
      <c r="BJ183" s="71"/>
      <c r="BK183" s="70"/>
      <c r="BL183" s="70"/>
      <c r="BM183" s="70"/>
      <c r="BN183" s="70"/>
      <c r="BO183" s="70"/>
    </row>
    <row r="184" spans="1:67" x14ac:dyDescent="0.4">
      <c r="A184" s="86">
        <v>4810000</v>
      </c>
      <c r="B184" s="74" t="s">
        <v>179</v>
      </c>
      <c r="C184" s="71">
        <v>44372</v>
      </c>
      <c r="D184" s="72">
        <v>43406</v>
      </c>
      <c r="E184" s="71">
        <v>44476</v>
      </c>
      <c r="F184" s="72">
        <v>43629</v>
      </c>
      <c r="G184" s="71">
        <v>44503</v>
      </c>
      <c r="H184" s="71">
        <v>44494</v>
      </c>
      <c r="I184" s="71">
        <v>44475</v>
      </c>
      <c r="J184" s="72">
        <v>44127</v>
      </c>
      <c r="K184" s="72">
        <v>44174</v>
      </c>
      <c r="L184" s="72">
        <v>44134</v>
      </c>
      <c r="M184" s="71">
        <v>44497</v>
      </c>
      <c r="N184" s="71">
        <v>44474</v>
      </c>
      <c r="O184" s="71">
        <v>44404</v>
      </c>
      <c r="P184" s="72">
        <v>43629</v>
      </c>
      <c r="Q184" s="72">
        <v>43738</v>
      </c>
      <c r="R184" s="72">
        <v>43545</v>
      </c>
      <c r="S184" s="71">
        <v>44397</v>
      </c>
      <c r="T184" s="71">
        <v>44392</v>
      </c>
      <c r="U184" s="71">
        <v>44491</v>
      </c>
      <c r="V184" s="71">
        <v>44385</v>
      </c>
      <c r="W184" s="71">
        <v>44434</v>
      </c>
      <c r="X184" s="71">
        <v>44397</v>
      </c>
      <c r="Y184" s="71"/>
      <c r="Z184" s="71">
        <v>44137</v>
      </c>
      <c r="AA184" s="71">
        <v>44468</v>
      </c>
      <c r="AB184" s="71">
        <v>44482</v>
      </c>
      <c r="AC184" s="72">
        <v>44134</v>
      </c>
      <c r="AD184" s="72">
        <v>44133</v>
      </c>
      <c r="AE184" s="71">
        <v>44179</v>
      </c>
      <c r="AF184" s="72">
        <v>43082</v>
      </c>
      <c r="AG184" s="72">
        <v>44134</v>
      </c>
      <c r="AH184" s="72">
        <v>44134</v>
      </c>
      <c r="AI184" s="71">
        <v>44168</v>
      </c>
      <c r="AJ184" s="71">
        <v>44167</v>
      </c>
      <c r="AK184" s="71"/>
      <c r="AL184" s="71"/>
      <c r="AM184" s="72">
        <v>44134</v>
      </c>
      <c r="AN184" s="72">
        <v>44145</v>
      </c>
      <c r="AO184" s="71"/>
      <c r="AP184" s="71"/>
      <c r="AQ184" s="71">
        <v>44397</v>
      </c>
      <c r="AR184" s="71"/>
      <c r="AS184" s="72">
        <v>44133</v>
      </c>
      <c r="AT184" s="71"/>
      <c r="AU184" s="71">
        <v>44476</v>
      </c>
      <c r="AV184" s="71"/>
      <c r="AW184" s="72">
        <v>44134</v>
      </c>
      <c r="AX184" s="71">
        <v>44413</v>
      </c>
      <c r="AY184" s="71">
        <v>44491</v>
      </c>
      <c r="AZ184" s="71"/>
      <c r="BA184" s="71">
        <v>44411</v>
      </c>
      <c r="BB184" s="71">
        <v>44490</v>
      </c>
      <c r="BC184" s="71">
        <v>44491</v>
      </c>
      <c r="BD184" s="71">
        <v>44491</v>
      </c>
      <c r="BE184" s="72">
        <v>44137</v>
      </c>
      <c r="BF184" s="71"/>
      <c r="BG184" s="71">
        <v>44497</v>
      </c>
      <c r="BH184" s="71"/>
      <c r="BI184" s="71"/>
      <c r="BJ184" s="71"/>
      <c r="BK184" s="70"/>
      <c r="BL184" s="70"/>
      <c r="BM184" s="70"/>
      <c r="BN184" s="70"/>
      <c r="BO184" s="70"/>
    </row>
    <row r="185" spans="1:67" x14ac:dyDescent="0.4">
      <c r="A185" s="86">
        <v>4820000</v>
      </c>
      <c r="B185" s="74" t="s">
        <v>180</v>
      </c>
      <c r="C185" s="71">
        <v>44449</v>
      </c>
      <c r="D185" s="71">
        <v>44453</v>
      </c>
      <c r="E185" s="71">
        <v>44453</v>
      </c>
      <c r="F185" s="71">
        <v>44501</v>
      </c>
      <c r="G185" s="71">
        <v>44501</v>
      </c>
      <c r="H185" s="71">
        <v>44412</v>
      </c>
      <c r="I185" s="71">
        <v>44412</v>
      </c>
      <c r="J185" s="71">
        <v>44491</v>
      </c>
      <c r="K185" s="71">
        <v>44413</v>
      </c>
      <c r="L185" s="71">
        <v>44412</v>
      </c>
      <c r="M185" s="71">
        <v>44494</v>
      </c>
      <c r="N185" s="71">
        <v>44417</v>
      </c>
      <c r="O185" s="71">
        <v>44413</v>
      </c>
      <c r="P185" s="71">
        <v>44413</v>
      </c>
      <c r="Q185" s="71">
        <v>44412</v>
      </c>
      <c r="R185" s="71">
        <v>44413</v>
      </c>
      <c r="S185" s="71">
        <v>44413</v>
      </c>
      <c r="T185" s="71">
        <v>44412</v>
      </c>
      <c r="U185" s="71">
        <v>44417</v>
      </c>
      <c r="V185" s="71">
        <v>44167</v>
      </c>
      <c r="W185" s="71"/>
      <c r="X185" s="71"/>
      <c r="Y185" s="71"/>
      <c r="Z185" s="71">
        <v>44412</v>
      </c>
      <c r="AA185" s="71">
        <v>44412</v>
      </c>
      <c r="AB185" s="71">
        <v>44412</v>
      </c>
      <c r="AC185" s="71">
        <v>44412</v>
      </c>
      <c r="AD185" s="71">
        <v>44453</v>
      </c>
      <c r="AE185" s="71">
        <v>44413</v>
      </c>
      <c r="AF185" s="71"/>
      <c r="AG185" s="71">
        <v>44453</v>
      </c>
      <c r="AH185" s="71">
        <v>44413</v>
      </c>
      <c r="AI185" s="71">
        <v>44412</v>
      </c>
      <c r="AJ185" s="71">
        <v>44412</v>
      </c>
      <c r="AK185" s="71">
        <v>44413</v>
      </c>
      <c r="AL185" s="71">
        <v>44494</v>
      </c>
      <c r="AM185" s="71">
        <v>44491</v>
      </c>
      <c r="AN185" s="71">
        <v>44362</v>
      </c>
      <c r="AO185" s="71"/>
      <c r="AP185" s="71">
        <v>44413</v>
      </c>
      <c r="AQ185" s="71">
        <v>44413</v>
      </c>
      <c r="AR185" s="71"/>
      <c r="AS185" s="71">
        <v>44362</v>
      </c>
      <c r="AT185" s="71"/>
      <c r="AU185" s="71">
        <v>44413</v>
      </c>
      <c r="AV185" s="71">
        <v>44494</v>
      </c>
      <c r="AW185" s="71">
        <v>44413</v>
      </c>
      <c r="AX185" s="71">
        <v>44413</v>
      </c>
      <c r="AY185" s="71">
        <v>44412</v>
      </c>
      <c r="AZ185" s="71"/>
      <c r="BA185" s="71">
        <v>44412</v>
      </c>
      <c r="BB185" s="71">
        <v>44412</v>
      </c>
      <c r="BC185" s="71">
        <v>44412</v>
      </c>
      <c r="BD185" s="71"/>
      <c r="BE185" s="71">
        <v>44491</v>
      </c>
      <c r="BF185" s="71"/>
      <c r="BG185" s="71">
        <v>44362</v>
      </c>
      <c r="BH185" s="71"/>
      <c r="BI185" s="71"/>
      <c r="BJ185" s="71"/>
      <c r="BK185" s="70"/>
      <c r="BL185" s="70"/>
      <c r="BM185" s="70"/>
      <c r="BN185" s="70"/>
      <c r="BO185" s="70"/>
    </row>
    <row r="186" spans="1:67" x14ac:dyDescent="0.4">
      <c r="A186" s="86">
        <v>4830000</v>
      </c>
      <c r="B186" s="74" t="s">
        <v>199</v>
      </c>
      <c r="C186" s="72">
        <v>44026</v>
      </c>
      <c r="D186" s="72">
        <v>43733</v>
      </c>
      <c r="E186" s="72">
        <v>44026</v>
      </c>
      <c r="F186" s="72">
        <v>43740</v>
      </c>
      <c r="G186" s="71"/>
      <c r="H186" s="72">
        <v>43733</v>
      </c>
      <c r="I186" s="72">
        <v>44026</v>
      </c>
      <c r="J186" s="72">
        <v>42843</v>
      </c>
      <c r="K186" s="71"/>
      <c r="L186" s="72">
        <v>44027</v>
      </c>
      <c r="M186" s="72">
        <v>43734</v>
      </c>
      <c r="N186" s="71"/>
      <c r="O186" s="72">
        <v>44026</v>
      </c>
      <c r="P186" s="72">
        <v>43745</v>
      </c>
      <c r="Q186" s="71"/>
      <c r="R186" s="71"/>
      <c r="S186" s="72">
        <v>44026</v>
      </c>
      <c r="T186" s="72">
        <v>44026</v>
      </c>
      <c r="U186" s="71"/>
      <c r="V186" s="71"/>
      <c r="W186" s="71"/>
      <c r="X186" s="71"/>
      <c r="Y186" s="71"/>
      <c r="Z186" s="71"/>
      <c r="AA186" s="72">
        <v>44026</v>
      </c>
      <c r="AB186" s="72">
        <v>44026</v>
      </c>
      <c r="AC186" s="72">
        <v>44026</v>
      </c>
      <c r="AD186" s="71"/>
      <c r="AE186" s="71"/>
      <c r="AF186" s="71"/>
      <c r="AG186" s="71"/>
      <c r="AH186" s="71"/>
      <c r="AI186" s="72">
        <v>44026</v>
      </c>
      <c r="AJ186" s="72">
        <v>44026</v>
      </c>
      <c r="AK186" s="71"/>
      <c r="AL186" s="71"/>
      <c r="AM186" s="72">
        <v>44026</v>
      </c>
      <c r="AN186" s="71"/>
      <c r="AO186" s="71"/>
      <c r="AP186" s="71"/>
      <c r="AQ186" s="71"/>
      <c r="AR186" s="71"/>
      <c r="AS186" s="71"/>
      <c r="AT186" s="71"/>
      <c r="AU186" s="72">
        <v>43738</v>
      </c>
      <c r="AV186" s="71"/>
      <c r="AW186" s="72">
        <v>44026</v>
      </c>
      <c r="AX186" s="71"/>
      <c r="AY186" s="71"/>
      <c r="AZ186" s="71"/>
      <c r="BA186" s="72">
        <v>44026</v>
      </c>
      <c r="BB186" s="71"/>
      <c r="BC186" s="71"/>
      <c r="BD186" s="71"/>
      <c r="BE186" s="71"/>
      <c r="BF186" s="71"/>
      <c r="BG186" s="71"/>
      <c r="BH186" s="71"/>
      <c r="BI186" s="71"/>
      <c r="BJ186" s="71"/>
      <c r="BK186" s="70"/>
      <c r="BL186" s="70"/>
      <c r="BM186" s="70"/>
      <c r="BN186" s="70"/>
      <c r="BO186" s="70"/>
    </row>
    <row r="187" spans="1:67" x14ac:dyDescent="0.4">
      <c r="A187" s="86">
        <v>4840000</v>
      </c>
      <c r="B187" s="74" t="s">
        <v>181</v>
      </c>
      <c r="C187" s="71">
        <v>44465</v>
      </c>
      <c r="D187" s="71">
        <v>44467</v>
      </c>
      <c r="E187" s="71">
        <v>44465</v>
      </c>
      <c r="F187" s="71">
        <v>44434</v>
      </c>
      <c r="G187" s="71">
        <v>44476</v>
      </c>
      <c r="H187" s="71">
        <v>44467</v>
      </c>
      <c r="I187" s="71">
        <v>44271</v>
      </c>
      <c r="J187" s="71">
        <v>44463</v>
      </c>
      <c r="K187" s="71">
        <v>44427</v>
      </c>
      <c r="L187" s="71">
        <v>44284</v>
      </c>
      <c r="M187" s="71">
        <v>44449</v>
      </c>
      <c r="N187" s="71">
        <v>44467</v>
      </c>
      <c r="O187" s="71">
        <v>44476</v>
      </c>
      <c r="P187" s="71">
        <v>44467</v>
      </c>
      <c r="Q187" s="71">
        <v>44337</v>
      </c>
      <c r="R187" s="71">
        <v>44288</v>
      </c>
      <c r="S187" s="71"/>
      <c r="T187" s="71">
        <v>44467</v>
      </c>
      <c r="U187" s="71">
        <v>44467</v>
      </c>
      <c r="V187" s="71">
        <v>44467</v>
      </c>
      <c r="W187" s="71"/>
      <c r="X187" s="71">
        <v>44467</v>
      </c>
      <c r="Y187" s="71"/>
      <c r="Z187" s="71">
        <v>44438</v>
      </c>
      <c r="AA187" s="71">
        <v>44454</v>
      </c>
      <c r="AB187" s="71">
        <v>44467</v>
      </c>
      <c r="AC187" s="71">
        <v>44495</v>
      </c>
      <c r="AD187" s="71">
        <v>44272</v>
      </c>
      <c r="AE187" s="71">
        <v>44467</v>
      </c>
      <c r="AF187" s="71"/>
      <c r="AG187" s="71">
        <v>44465</v>
      </c>
      <c r="AH187" s="71">
        <v>44465</v>
      </c>
      <c r="AI187" s="71">
        <v>44270</v>
      </c>
      <c r="AJ187" s="71">
        <v>44270</v>
      </c>
      <c r="AK187" s="71"/>
      <c r="AL187" s="71"/>
      <c r="AM187" s="71">
        <v>44468</v>
      </c>
      <c r="AN187" s="71"/>
      <c r="AO187" s="71"/>
      <c r="AP187" s="71">
        <v>44454</v>
      </c>
      <c r="AQ187" s="71"/>
      <c r="AR187" s="71"/>
      <c r="AS187" s="71"/>
      <c r="AT187" s="71"/>
      <c r="AU187" s="71">
        <v>44465</v>
      </c>
      <c r="AV187" s="71"/>
      <c r="AW187" s="71">
        <v>44237</v>
      </c>
      <c r="AX187" s="71">
        <v>44495</v>
      </c>
      <c r="AY187" s="71">
        <v>44383</v>
      </c>
      <c r="AZ187" s="71"/>
      <c r="BA187" s="71">
        <v>44465</v>
      </c>
      <c r="BB187" s="71">
        <v>44465</v>
      </c>
      <c r="BC187" s="71">
        <v>44465</v>
      </c>
      <c r="BD187" s="71"/>
      <c r="BE187" s="71"/>
      <c r="BF187" s="71"/>
      <c r="BG187" s="71">
        <v>44330</v>
      </c>
      <c r="BH187" s="71"/>
      <c r="BI187" s="71"/>
      <c r="BJ187" s="71"/>
      <c r="BK187" s="70"/>
      <c r="BL187" s="70"/>
      <c r="BM187" s="70"/>
      <c r="BN187" s="70"/>
      <c r="BO187" s="70"/>
    </row>
    <row r="188" spans="1:67" x14ac:dyDescent="0.4">
      <c r="A188" s="86">
        <v>4850000</v>
      </c>
      <c r="B188" s="74" t="s">
        <v>182</v>
      </c>
      <c r="C188" s="71">
        <v>44421</v>
      </c>
      <c r="D188" s="71">
        <v>44180</v>
      </c>
      <c r="E188" s="71">
        <v>44421</v>
      </c>
      <c r="F188" s="71">
        <v>44501</v>
      </c>
      <c r="G188" s="71">
        <v>44501</v>
      </c>
      <c r="H188" s="71">
        <v>44494</v>
      </c>
      <c r="I188" s="71">
        <v>44333</v>
      </c>
      <c r="J188" s="71">
        <v>44468</v>
      </c>
      <c r="K188" s="71"/>
      <c r="L188" s="71">
        <v>44263</v>
      </c>
      <c r="M188" s="71">
        <v>44501</v>
      </c>
      <c r="N188" s="71">
        <v>44368</v>
      </c>
      <c r="O188" s="71">
        <v>44433</v>
      </c>
      <c r="P188" s="71">
        <v>44468</v>
      </c>
      <c r="Q188" s="71">
        <v>44376</v>
      </c>
      <c r="R188" s="71">
        <v>44468</v>
      </c>
      <c r="S188" s="71">
        <v>44462</v>
      </c>
      <c r="T188" s="71">
        <v>44468</v>
      </c>
      <c r="U188" s="71">
        <v>44488</v>
      </c>
      <c r="V188" s="71">
        <v>44433</v>
      </c>
      <c r="W188" s="71"/>
      <c r="X188" s="71"/>
      <c r="Y188" s="71"/>
      <c r="Z188" s="71">
        <v>44468</v>
      </c>
      <c r="AA188" s="71"/>
      <c r="AB188" s="71">
        <v>44468</v>
      </c>
      <c r="AC188" s="71">
        <v>44376</v>
      </c>
      <c r="AD188" s="71">
        <v>44378</v>
      </c>
      <c r="AE188" s="71">
        <v>44462</v>
      </c>
      <c r="AF188" s="71"/>
      <c r="AG188" s="71"/>
      <c r="AH188" s="71">
        <v>44433</v>
      </c>
      <c r="AI188" s="71">
        <v>44378</v>
      </c>
      <c r="AJ188" s="71">
        <v>44378</v>
      </c>
      <c r="AK188" s="71"/>
      <c r="AL188" s="71"/>
      <c r="AM188" s="71">
        <v>44488</v>
      </c>
      <c r="AN188" s="71">
        <v>44488</v>
      </c>
      <c r="AO188" s="71"/>
      <c r="AP188" s="71">
        <v>44433</v>
      </c>
      <c r="AQ188" s="71"/>
      <c r="AR188" s="71"/>
      <c r="AS188" s="71">
        <v>44421</v>
      </c>
      <c r="AT188" s="71"/>
      <c r="AU188" s="71">
        <v>44421</v>
      </c>
      <c r="AV188" s="71"/>
      <c r="AW188" s="71">
        <v>44376</v>
      </c>
      <c r="AX188" s="71">
        <v>44480</v>
      </c>
      <c r="AY188" s="71"/>
      <c r="AZ188" s="71"/>
      <c r="BA188" s="71"/>
      <c r="BB188" s="71">
        <v>44494</v>
      </c>
      <c r="BC188" s="71"/>
      <c r="BD188" s="71"/>
      <c r="BE188" s="71"/>
      <c r="BF188" s="71"/>
      <c r="BG188" s="71">
        <v>44421</v>
      </c>
      <c r="BH188" s="71"/>
      <c r="BI188" s="71"/>
      <c r="BJ188" s="71"/>
      <c r="BK188" s="70"/>
      <c r="BL188" s="70"/>
      <c r="BM188" s="70"/>
      <c r="BN188" s="70"/>
      <c r="BO188" s="70"/>
    </row>
    <row r="189" spans="1:67" x14ac:dyDescent="0.4">
      <c r="A189" s="86">
        <v>4860000</v>
      </c>
      <c r="B189" s="74" t="s">
        <v>183</v>
      </c>
      <c r="C189" s="71">
        <v>44491</v>
      </c>
      <c r="D189" s="71">
        <v>44491</v>
      </c>
      <c r="E189" s="71">
        <v>44491</v>
      </c>
      <c r="F189" s="71">
        <v>44491</v>
      </c>
      <c r="G189" s="71">
        <v>44491</v>
      </c>
      <c r="H189" s="71">
        <v>44491</v>
      </c>
      <c r="I189" s="71">
        <v>44491</v>
      </c>
      <c r="J189" s="71">
        <v>44491</v>
      </c>
      <c r="K189" s="71"/>
      <c r="L189" s="71">
        <v>44491</v>
      </c>
      <c r="M189" s="71">
        <v>44491</v>
      </c>
      <c r="N189" s="71">
        <v>44491</v>
      </c>
      <c r="O189" s="71">
        <v>44491</v>
      </c>
      <c r="P189" s="71">
        <v>44448</v>
      </c>
      <c r="Q189" s="71">
        <v>44491</v>
      </c>
      <c r="R189" s="71"/>
      <c r="S189" s="71">
        <v>44448</v>
      </c>
      <c r="T189" s="71">
        <v>44491</v>
      </c>
      <c r="U189" s="71">
        <v>44491</v>
      </c>
      <c r="V189" s="71">
        <v>44491</v>
      </c>
      <c r="W189" s="71"/>
      <c r="X189" s="71"/>
      <c r="Y189" s="71">
        <v>44491</v>
      </c>
      <c r="Z189" s="71">
        <v>44491</v>
      </c>
      <c r="AA189" s="71"/>
      <c r="AB189" s="71">
        <v>44491</v>
      </c>
      <c r="AC189" s="71">
        <v>44448</v>
      </c>
      <c r="AD189" s="71">
        <v>44491</v>
      </c>
      <c r="AE189" s="71"/>
      <c r="AF189" s="71"/>
      <c r="AG189" s="71"/>
      <c r="AH189" s="71">
        <v>44491</v>
      </c>
      <c r="AI189" s="71">
        <v>44491</v>
      </c>
      <c r="AJ189" s="71">
        <v>44491</v>
      </c>
      <c r="AK189" s="71"/>
      <c r="AL189" s="71"/>
      <c r="AM189" s="71"/>
      <c r="AN189" s="71">
        <v>44491</v>
      </c>
      <c r="AO189" s="71"/>
      <c r="AP189" s="71">
        <v>44491</v>
      </c>
      <c r="AQ189" s="71"/>
      <c r="AR189" s="71">
        <v>44491</v>
      </c>
      <c r="AS189" s="71">
        <v>44491</v>
      </c>
      <c r="AT189" s="71"/>
      <c r="AU189" s="71">
        <v>44491</v>
      </c>
      <c r="AV189" s="71"/>
      <c r="AW189" s="71">
        <v>44491</v>
      </c>
      <c r="AX189" s="71">
        <v>44475</v>
      </c>
      <c r="AY189" s="71"/>
      <c r="AZ189" s="71"/>
      <c r="BA189" s="71">
        <v>44491</v>
      </c>
      <c r="BB189" s="71">
        <v>44491</v>
      </c>
      <c r="BC189" s="71"/>
      <c r="BD189" s="71"/>
      <c r="BE189" s="71">
        <v>44491</v>
      </c>
      <c r="BF189" s="71"/>
      <c r="BG189" s="71">
        <v>44491</v>
      </c>
      <c r="BH189" s="71">
        <v>44491</v>
      </c>
      <c r="BI189" s="71"/>
      <c r="BJ189" s="71">
        <v>44491</v>
      </c>
      <c r="BK189" s="70"/>
      <c r="BL189" s="70"/>
      <c r="BM189" s="70"/>
      <c r="BN189" s="70"/>
      <c r="BO189" s="70"/>
    </row>
    <row r="190" spans="1:67" x14ac:dyDescent="0.4">
      <c r="A190" s="86">
        <v>4870000</v>
      </c>
      <c r="B190" s="74" t="s">
        <v>184</v>
      </c>
      <c r="C190" s="71">
        <v>44490</v>
      </c>
      <c r="D190" s="71">
        <v>44490</v>
      </c>
      <c r="E190" s="71"/>
      <c r="F190" s="72">
        <v>44187</v>
      </c>
      <c r="G190" s="72">
        <v>44187</v>
      </c>
      <c r="H190" s="71">
        <v>44187</v>
      </c>
      <c r="I190" s="71">
        <v>44187</v>
      </c>
      <c r="J190" s="72">
        <v>44187</v>
      </c>
      <c r="K190" s="71">
        <v>44490</v>
      </c>
      <c r="L190" s="71">
        <v>44187</v>
      </c>
      <c r="M190" s="72">
        <v>44187</v>
      </c>
      <c r="N190" s="71">
        <v>44187</v>
      </c>
      <c r="O190" s="71"/>
      <c r="P190" s="71">
        <v>44187</v>
      </c>
      <c r="Q190" s="71">
        <v>44187</v>
      </c>
      <c r="R190" s="71"/>
      <c r="S190" s="71">
        <v>44187</v>
      </c>
      <c r="T190" s="71">
        <v>44187</v>
      </c>
      <c r="U190" s="71">
        <v>44187</v>
      </c>
      <c r="V190" s="71">
        <v>44187</v>
      </c>
      <c r="W190" s="71"/>
      <c r="X190" s="71"/>
      <c r="Y190" s="71">
        <v>44490</v>
      </c>
      <c r="Z190" s="71"/>
      <c r="AA190" s="71">
        <v>44187</v>
      </c>
      <c r="AB190" s="71">
        <v>44490</v>
      </c>
      <c r="AC190" s="72">
        <v>43725</v>
      </c>
      <c r="AD190" s="71">
        <v>44187</v>
      </c>
      <c r="AE190" s="71">
        <v>44187</v>
      </c>
      <c r="AF190" s="71">
        <v>44490</v>
      </c>
      <c r="AG190" s="71"/>
      <c r="AH190" s="72">
        <v>44187</v>
      </c>
      <c r="AI190" s="71">
        <v>44187</v>
      </c>
      <c r="AJ190" s="71">
        <v>44502</v>
      </c>
      <c r="AK190" s="71"/>
      <c r="AL190" s="71"/>
      <c r="AM190" s="71"/>
      <c r="AN190" s="71">
        <v>44502</v>
      </c>
      <c r="AO190" s="71"/>
      <c r="AP190" s="71">
        <v>44490</v>
      </c>
      <c r="AQ190" s="71"/>
      <c r="AR190" s="71">
        <v>44491</v>
      </c>
      <c r="AS190" s="71"/>
      <c r="AT190" s="71"/>
      <c r="AU190" s="72">
        <v>44187</v>
      </c>
      <c r="AV190" s="71"/>
      <c r="AW190" s="71">
        <v>44502</v>
      </c>
      <c r="AX190" s="71"/>
      <c r="AY190" s="72">
        <v>44026</v>
      </c>
      <c r="AZ190" s="71"/>
      <c r="BA190" s="71">
        <v>44491</v>
      </c>
      <c r="BB190" s="71">
        <v>44491</v>
      </c>
      <c r="BC190" s="71"/>
      <c r="BD190" s="71"/>
      <c r="BE190" s="71"/>
      <c r="BF190" s="71"/>
      <c r="BG190" s="71">
        <v>44491</v>
      </c>
      <c r="BH190" s="71"/>
      <c r="BI190" s="71"/>
      <c r="BJ190" s="71"/>
      <c r="BK190" s="70"/>
      <c r="BL190" s="70"/>
      <c r="BM190" s="70"/>
      <c r="BN190" s="70"/>
      <c r="BO190" s="70"/>
    </row>
    <row r="191" spans="1:67" x14ac:dyDescent="0.4">
      <c r="A191" s="86">
        <v>4880000</v>
      </c>
      <c r="B191" s="74" t="s">
        <v>185</v>
      </c>
      <c r="C191" s="71">
        <v>44464</v>
      </c>
      <c r="D191" s="71">
        <v>44491</v>
      </c>
      <c r="E191" s="71">
        <v>44464</v>
      </c>
      <c r="F191" s="71">
        <v>44491</v>
      </c>
      <c r="G191" s="71">
        <v>44490</v>
      </c>
      <c r="H191" s="71">
        <v>44490</v>
      </c>
      <c r="I191" s="71">
        <v>44490</v>
      </c>
      <c r="J191" s="71">
        <v>44490</v>
      </c>
      <c r="K191" s="71">
        <v>44491</v>
      </c>
      <c r="L191" s="71">
        <v>44490</v>
      </c>
      <c r="M191" s="71"/>
      <c r="N191" s="71"/>
      <c r="O191" s="71">
        <v>44489</v>
      </c>
      <c r="P191" s="71"/>
      <c r="Q191" s="71">
        <v>44490</v>
      </c>
      <c r="R191" s="71">
        <v>44489</v>
      </c>
      <c r="S191" s="71">
        <v>44489</v>
      </c>
      <c r="T191" s="71">
        <v>44489</v>
      </c>
      <c r="U191" s="71">
        <v>44489</v>
      </c>
      <c r="V191" s="71">
        <v>44491</v>
      </c>
      <c r="W191" s="71"/>
      <c r="X191" s="71"/>
      <c r="Y191" s="71"/>
      <c r="Z191" s="71">
        <v>44489</v>
      </c>
      <c r="AA191" s="71">
        <v>44489</v>
      </c>
      <c r="AB191" s="71">
        <v>44489</v>
      </c>
      <c r="AC191" s="71"/>
      <c r="AD191" s="71">
        <v>44489</v>
      </c>
      <c r="AE191" s="71"/>
      <c r="AF191" s="71"/>
      <c r="AG191" s="71"/>
      <c r="AH191" s="71"/>
      <c r="AI191" s="71">
        <v>44489</v>
      </c>
      <c r="AJ191" s="71">
        <v>44489</v>
      </c>
      <c r="AK191" s="71"/>
      <c r="AL191" s="71"/>
      <c r="AM191" s="71"/>
      <c r="AN191" s="71"/>
      <c r="AO191" s="71"/>
      <c r="AP191" s="71"/>
      <c r="AQ191" s="71"/>
      <c r="AR191" s="71">
        <v>44464</v>
      </c>
      <c r="AS191" s="71"/>
      <c r="AT191" s="71"/>
      <c r="AU191" s="71">
        <v>44489</v>
      </c>
      <c r="AV191" s="71"/>
      <c r="AW191" s="71">
        <v>44464</v>
      </c>
      <c r="AX191" s="71"/>
      <c r="AY191" s="71"/>
      <c r="AZ191" s="71"/>
      <c r="BA191" s="71"/>
      <c r="BB191" s="71"/>
      <c r="BC191" s="71"/>
      <c r="BD191" s="71"/>
      <c r="BE191" s="71"/>
      <c r="BF191" s="71"/>
      <c r="BG191" s="71">
        <v>44464</v>
      </c>
      <c r="BH191" s="71"/>
      <c r="BI191" s="71"/>
      <c r="BJ191" s="71"/>
      <c r="BK191" s="70"/>
      <c r="BL191" s="70"/>
      <c r="BM191" s="70"/>
      <c r="BN191" s="70"/>
      <c r="BO191" s="70"/>
    </row>
    <row r="192" spans="1:67" x14ac:dyDescent="0.4">
      <c r="A192" s="86">
        <v>4890000</v>
      </c>
      <c r="B192" s="74" t="s">
        <v>186</v>
      </c>
      <c r="C192" s="71">
        <v>44406</v>
      </c>
      <c r="D192" s="71">
        <v>44390</v>
      </c>
      <c r="E192" s="71">
        <v>44340</v>
      </c>
      <c r="F192" s="71"/>
      <c r="G192" s="71"/>
      <c r="H192" s="71"/>
      <c r="I192" s="71">
        <v>44313</v>
      </c>
      <c r="J192" s="71">
        <v>44487</v>
      </c>
      <c r="K192" s="71">
        <v>44487</v>
      </c>
      <c r="L192" s="71">
        <v>44314</v>
      </c>
      <c r="M192" s="71">
        <v>44498</v>
      </c>
      <c r="N192" s="71">
        <v>44187</v>
      </c>
      <c r="O192" s="71"/>
      <c r="P192" s="71"/>
      <c r="Q192" s="71">
        <v>44406</v>
      </c>
      <c r="R192" s="71">
        <v>44391</v>
      </c>
      <c r="S192" s="71">
        <v>44391</v>
      </c>
      <c r="T192" s="71">
        <v>44494</v>
      </c>
      <c r="U192" s="71">
        <v>44390</v>
      </c>
      <c r="V192" s="71"/>
      <c r="W192" s="71"/>
      <c r="X192" s="71"/>
      <c r="Y192" s="71"/>
      <c r="Z192" s="71">
        <v>44494</v>
      </c>
      <c r="AA192" s="71"/>
      <c r="AB192" s="71">
        <v>44187</v>
      </c>
      <c r="AC192" s="71">
        <v>44497</v>
      </c>
      <c r="AD192" s="71">
        <v>44497</v>
      </c>
      <c r="AE192" s="71">
        <v>44494</v>
      </c>
      <c r="AF192" s="71"/>
      <c r="AG192" s="71"/>
      <c r="AH192" s="71">
        <v>44497</v>
      </c>
      <c r="AI192" s="71">
        <v>44390</v>
      </c>
      <c r="AJ192" s="71">
        <v>44390</v>
      </c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>
        <v>44340</v>
      </c>
      <c r="AV192" s="71"/>
      <c r="AW192" s="71">
        <v>44494</v>
      </c>
      <c r="AX192" s="71"/>
      <c r="AY192" s="71"/>
      <c r="AZ192" s="71"/>
      <c r="BA192" s="71"/>
      <c r="BB192" s="71">
        <v>44336</v>
      </c>
      <c r="BC192" s="71"/>
      <c r="BD192" s="71"/>
      <c r="BE192" s="71"/>
      <c r="BF192" s="71"/>
      <c r="BG192" s="71">
        <v>44336</v>
      </c>
      <c r="BH192" s="71"/>
      <c r="BI192" s="71"/>
      <c r="BJ192" s="71"/>
      <c r="BK192" s="70"/>
      <c r="BL192" s="70"/>
      <c r="BM192" s="70"/>
      <c r="BN192" s="70"/>
      <c r="BO192" s="70"/>
    </row>
    <row r="193" spans="1:67" x14ac:dyDescent="0.4">
      <c r="A193" s="86">
        <v>4900000</v>
      </c>
      <c r="B193" s="74" t="s">
        <v>187</v>
      </c>
      <c r="C193" s="71">
        <v>44462</v>
      </c>
      <c r="D193" s="71">
        <v>44186</v>
      </c>
      <c r="E193" s="71">
        <v>44462</v>
      </c>
      <c r="F193" s="71">
        <v>44453</v>
      </c>
      <c r="G193" s="71">
        <v>44453</v>
      </c>
      <c r="H193" s="71">
        <v>44186</v>
      </c>
      <c r="I193" s="71">
        <v>44462</v>
      </c>
      <c r="J193" s="71">
        <v>44453</v>
      </c>
      <c r="K193" s="71">
        <v>44453</v>
      </c>
      <c r="L193" s="71">
        <v>44462</v>
      </c>
      <c r="M193" s="71">
        <v>44453</v>
      </c>
      <c r="N193" s="71">
        <v>44187</v>
      </c>
      <c r="O193" s="71">
        <v>44186</v>
      </c>
      <c r="P193" s="71">
        <v>44186</v>
      </c>
      <c r="Q193" s="71">
        <v>44186</v>
      </c>
      <c r="R193" s="71">
        <v>44186</v>
      </c>
      <c r="S193" s="71">
        <v>44186</v>
      </c>
      <c r="T193" s="71">
        <v>44186</v>
      </c>
      <c r="U193" s="71">
        <v>44186</v>
      </c>
      <c r="V193" s="71">
        <v>44186</v>
      </c>
      <c r="W193" s="71"/>
      <c r="X193" s="71"/>
      <c r="Y193" s="71"/>
      <c r="Z193" s="71">
        <v>44186</v>
      </c>
      <c r="AA193" s="71"/>
      <c r="AB193" s="71">
        <v>44186</v>
      </c>
      <c r="AC193" s="71">
        <v>44186</v>
      </c>
      <c r="AD193" s="71">
        <v>44186</v>
      </c>
      <c r="AE193" s="71">
        <v>44187</v>
      </c>
      <c r="AF193" s="71"/>
      <c r="AG193" s="71"/>
      <c r="AH193" s="71">
        <v>44462</v>
      </c>
      <c r="AI193" s="71">
        <v>44186</v>
      </c>
      <c r="AJ193" s="71">
        <v>44186</v>
      </c>
      <c r="AK193" s="71">
        <v>44468</v>
      </c>
      <c r="AL193" s="71"/>
      <c r="AM193" s="71">
        <v>44462</v>
      </c>
      <c r="AN193" s="71"/>
      <c r="AO193" s="71"/>
      <c r="AP193" s="71"/>
      <c r="AQ193" s="71"/>
      <c r="AR193" s="71">
        <v>44462</v>
      </c>
      <c r="AS193" s="71"/>
      <c r="AT193" s="71"/>
      <c r="AU193" s="71">
        <v>44462</v>
      </c>
      <c r="AV193" s="71">
        <v>44186</v>
      </c>
      <c r="AW193" s="71">
        <v>44186</v>
      </c>
      <c r="AX193" s="71"/>
      <c r="AY193" s="71"/>
      <c r="AZ193" s="71"/>
      <c r="BA193" s="71">
        <v>44468</v>
      </c>
      <c r="BB193" s="71">
        <v>44462</v>
      </c>
      <c r="BC193" s="71"/>
      <c r="BD193" s="71"/>
      <c r="BE193" s="71"/>
      <c r="BF193" s="71"/>
      <c r="BG193" s="71">
        <v>44462</v>
      </c>
      <c r="BH193" s="71">
        <v>44488</v>
      </c>
      <c r="BI193" s="71"/>
      <c r="BJ193" s="71">
        <v>44488</v>
      </c>
      <c r="BK193" s="70"/>
      <c r="BL193" s="70"/>
      <c r="BM193" s="70"/>
      <c r="BN193" s="70"/>
      <c r="BO193" s="70"/>
    </row>
    <row r="194" spans="1:67" x14ac:dyDescent="0.4">
      <c r="A194" s="86">
        <v>4910000</v>
      </c>
      <c r="B194" s="74" t="s">
        <v>188</v>
      </c>
      <c r="C194" s="71">
        <v>44341</v>
      </c>
      <c r="D194" s="71">
        <v>44497</v>
      </c>
      <c r="E194" s="71">
        <v>44497</v>
      </c>
      <c r="F194" s="71"/>
      <c r="G194" s="71">
        <v>44433</v>
      </c>
      <c r="H194" s="71"/>
      <c r="I194" s="71">
        <v>44369</v>
      </c>
      <c r="J194" s="71"/>
      <c r="K194" s="71">
        <v>44343</v>
      </c>
      <c r="L194" s="71"/>
      <c r="M194" s="71">
        <v>44489</v>
      </c>
      <c r="N194" s="71"/>
      <c r="O194" s="71"/>
      <c r="P194" s="71">
        <v>44497</v>
      </c>
      <c r="Q194" s="71"/>
      <c r="R194" s="71"/>
      <c r="S194" s="71"/>
      <c r="T194" s="71">
        <v>44489</v>
      </c>
      <c r="U194" s="71">
        <v>44337</v>
      </c>
      <c r="V194" s="71">
        <v>44390</v>
      </c>
      <c r="W194" s="71"/>
      <c r="X194" s="71"/>
      <c r="Y194" s="71"/>
      <c r="Z194" s="71"/>
      <c r="AA194" s="71">
        <v>44497</v>
      </c>
      <c r="AB194" s="71">
        <v>44497</v>
      </c>
      <c r="AC194" s="71"/>
      <c r="AD194" s="71"/>
      <c r="AE194" s="71"/>
      <c r="AF194" s="71"/>
      <c r="AG194" s="71"/>
      <c r="AH194" s="71">
        <v>44341</v>
      </c>
      <c r="AI194" s="71">
        <v>44390</v>
      </c>
      <c r="AJ194" s="71">
        <v>44390</v>
      </c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  <c r="AV194" s="71"/>
      <c r="AW194" s="71"/>
      <c r="AX194" s="71"/>
      <c r="AY194" s="71"/>
      <c r="AZ194" s="71"/>
      <c r="BA194" s="71"/>
      <c r="BB194" s="71">
        <v>44497</v>
      </c>
      <c r="BC194" s="71"/>
      <c r="BD194" s="71"/>
      <c r="BE194" s="71"/>
      <c r="BF194" s="71"/>
      <c r="BG194" s="71"/>
      <c r="BH194" s="71"/>
      <c r="BI194" s="71"/>
      <c r="BJ194" s="71"/>
      <c r="BK194" s="70"/>
      <c r="BL194" s="70"/>
      <c r="BM194" s="70"/>
      <c r="BN194" s="70"/>
      <c r="BO194" s="70"/>
    </row>
    <row r="195" spans="1:67" x14ac:dyDescent="0.4">
      <c r="A195" s="86">
        <v>4920000</v>
      </c>
      <c r="B195" s="74" t="s">
        <v>189</v>
      </c>
      <c r="C195" s="71">
        <v>44322</v>
      </c>
      <c r="D195" s="71">
        <v>44466</v>
      </c>
      <c r="E195" s="71">
        <v>44446</v>
      </c>
      <c r="F195" s="71">
        <v>44431</v>
      </c>
      <c r="G195" s="71">
        <v>44449</v>
      </c>
      <c r="H195" s="71">
        <v>44186</v>
      </c>
      <c r="I195" s="71">
        <v>44504</v>
      </c>
      <c r="J195" s="71">
        <v>44449</v>
      </c>
      <c r="K195" s="72">
        <v>44235</v>
      </c>
      <c r="L195" s="71">
        <v>44449</v>
      </c>
      <c r="M195" s="71">
        <v>44449</v>
      </c>
      <c r="N195" s="71">
        <v>44187</v>
      </c>
      <c r="O195" s="71">
        <v>44432</v>
      </c>
      <c r="P195" s="71">
        <v>44243</v>
      </c>
      <c r="Q195" s="71">
        <v>44314</v>
      </c>
      <c r="R195" s="71"/>
      <c r="S195" s="71"/>
      <c r="T195" s="71">
        <v>44187</v>
      </c>
      <c r="U195" s="71">
        <v>44327</v>
      </c>
      <c r="V195" s="71">
        <v>44235</v>
      </c>
      <c r="W195" s="71"/>
      <c r="X195" s="71"/>
      <c r="Y195" s="71"/>
      <c r="Z195" s="71">
        <v>44235</v>
      </c>
      <c r="AA195" s="71"/>
      <c r="AB195" s="71">
        <v>44232</v>
      </c>
      <c r="AC195" s="71">
        <v>44187</v>
      </c>
      <c r="AD195" s="71"/>
      <c r="AE195" s="71">
        <v>44243</v>
      </c>
      <c r="AF195" s="71"/>
      <c r="AG195" s="71"/>
      <c r="AH195" s="72">
        <v>44186</v>
      </c>
      <c r="AI195" s="71">
        <v>44449</v>
      </c>
      <c r="AJ195" s="71">
        <v>44503</v>
      </c>
      <c r="AK195" s="71"/>
      <c r="AL195" s="71"/>
      <c r="AM195" s="71"/>
      <c r="AN195" s="71"/>
      <c r="AO195" s="71"/>
      <c r="AP195" s="71">
        <v>44463</v>
      </c>
      <c r="AQ195" s="71">
        <v>44299</v>
      </c>
      <c r="AR195" s="72">
        <v>44306</v>
      </c>
      <c r="AS195" s="71"/>
      <c r="AT195" s="71"/>
      <c r="AU195" s="71">
        <v>44322</v>
      </c>
      <c r="AV195" s="71"/>
      <c r="AW195" s="71">
        <v>44249</v>
      </c>
      <c r="AX195" s="71">
        <v>44232</v>
      </c>
      <c r="AY195" s="71">
        <v>44449</v>
      </c>
      <c r="AZ195" s="71"/>
      <c r="BA195" s="71"/>
      <c r="BB195" s="71">
        <v>44432</v>
      </c>
      <c r="BC195" s="71"/>
      <c r="BD195" s="71"/>
      <c r="BE195" s="71"/>
      <c r="BF195" s="71"/>
      <c r="BG195" s="71"/>
      <c r="BH195" s="71">
        <v>44187</v>
      </c>
      <c r="BI195" s="71"/>
      <c r="BJ195" s="71"/>
      <c r="BK195" s="70"/>
      <c r="BL195" s="70"/>
      <c r="BM195" s="70"/>
      <c r="BN195" s="70"/>
      <c r="BO195" s="70"/>
    </row>
    <row r="196" spans="1:67" x14ac:dyDescent="0.4">
      <c r="A196" s="86">
        <v>4930000</v>
      </c>
      <c r="B196" s="74" t="s">
        <v>190</v>
      </c>
      <c r="C196" s="71">
        <v>44426</v>
      </c>
      <c r="D196" s="71">
        <v>44431</v>
      </c>
      <c r="E196" s="71">
        <v>44431</v>
      </c>
      <c r="F196" s="71">
        <v>44431</v>
      </c>
      <c r="G196" s="71">
        <v>44431</v>
      </c>
      <c r="H196" s="71">
        <v>44431</v>
      </c>
      <c r="I196" s="71">
        <v>44431</v>
      </c>
      <c r="J196" s="71">
        <v>44431</v>
      </c>
      <c r="K196" s="71">
        <v>44420</v>
      </c>
      <c r="L196" s="71">
        <v>44431</v>
      </c>
      <c r="M196" s="71">
        <v>44431</v>
      </c>
      <c r="N196" s="71">
        <v>44426</v>
      </c>
      <c r="O196" s="71"/>
      <c r="P196" s="71">
        <v>44334</v>
      </c>
      <c r="Q196" s="71">
        <v>44431</v>
      </c>
      <c r="R196" s="71"/>
      <c r="S196" s="71">
        <v>44431</v>
      </c>
      <c r="T196" s="71">
        <v>44431</v>
      </c>
      <c r="U196" s="71">
        <v>44431</v>
      </c>
      <c r="V196" s="71">
        <v>44431</v>
      </c>
      <c r="W196" s="71"/>
      <c r="X196" s="71"/>
      <c r="Y196" s="71"/>
      <c r="Z196" s="71">
        <v>44426</v>
      </c>
      <c r="AA196" s="71">
        <v>44420</v>
      </c>
      <c r="AB196" s="71">
        <v>44420</v>
      </c>
      <c r="AC196" s="71">
        <v>44431</v>
      </c>
      <c r="AD196" s="71">
        <v>44431</v>
      </c>
      <c r="AE196" s="71">
        <v>44431</v>
      </c>
      <c r="AF196" s="71"/>
      <c r="AG196" s="71"/>
      <c r="AH196" s="71">
        <v>44426</v>
      </c>
      <c r="AI196" s="71">
        <v>44420</v>
      </c>
      <c r="AJ196" s="71">
        <v>44420</v>
      </c>
      <c r="AK196" s="71"/>
      <c r="AL196" s="71"/>
      <c r="AM196" s="71">
        <v>44431</v>
      </c>
      <c r="AN196" s="71"/>
      <c r="AO196" s="71"/>
      <c r="AP196" s="71">
        <v>44426</v>
      </c>
      <c r="AQ196" s="71"/>
      <c r="AR196" s="72">
        <v>44266</v>
      </c>
      <c r="AS196" s="71">
        <v>44431</v>
      </c>
      <c r="AT196" s="71"/>
      <c r="AU196" s="71">
        <v>44426</v>
      </c>
      <c r="AV196" s="71"/>
      <c r="AW196" s="71">
        <v>44426</v>
      </c>
      <c r="AX196" s="71"/>
      <c r="AY196" s="71"/>
      <c r="AZ196" s="71"/>
      <c r="BA196" s="71"/>
      <c r="BB196" s="71">
        <v>44431</v>
      </c>
      <c r="BC196" s="71">
        <v>44426</v>
      </c>
      <c r="BD196" s="71"/>
      <c r="BE196" s="71"/>
      <c r="BF196" s="71"/>
      <c r="BG196" s="71">
        <v>44426</v>
      </c>
      <c r="BH196" s="71"/>
      <c r="BI196" s="71"/>
      <c r="BJ196" s="71"/>
      <c r="BK196" s="70"/>
      <c r="BL196" s="70"/>
      <c r="BM196" s="70"/>
      <c r="BN196" s="70"/>
      <c r="BO196" s="70"/>
    </row>
    <row r="197" spans="1:67" x14ac:dyDescent="0.4">
      <c r="A197" s="86">
        <v>4940000</v>
      </c>
      <c r="B197" s="74" t="s">
        <v>191</v>
      </c>
      <c r="C197" s="71">
        <v>44425</v>
      </c>
      <c r="D197" s="71">
        <v>44160</v>
      </c>
      <c r="E197" s="71">
        <v>44425</v>
      </c>
      <c r="F197" s="71">
        <v>44491</v>
      </c>
      <c r="G197" s="71">
        <v>44503</v>
      </c>
      <c r="H197" s="71">
        <v>44158</v>
      </c>
      <c r="I197" s="71">
        <v>44330</v>
      </c>
      <c r="J197" s="71">
        <v>44504</v>
      </c>
      <c r="K197" s="71"/>
      <c r="L197" s="71">
        <v>44504</v>
      </c>
      <c r="M197" s="71">
        <v>44491</v>
      </c>
      <c r="N197" s="71">
        <v>44160</v>
      </c>
      <c r="O197" s="71"/>
      <c r="P197" s="71">
        <v>44158</v>
      </c>
      <c r="Q197" s="71">
        <v>44160</v>
      </c>
      <c r="R197" s="71"/>
      <c r="S197" s="71">
        <v>44504</v>
      </c>
      <c r="T197" s="71">
        <v>44158</v>
      </c>
      <c r="U197" s="71">
        <v>44162</v>
      </c>
      <c r="V197" s="71">
        <v>44158</v>
      </c>
      <c r="W197" s="71"/>
      <c r="X197" s="71"/>
      <c r="Y197" s="71"/>
      <c r="Z197" s="71">
        <v>44160</v>
      </c>
      <c r="AA197" s="71"/>
      <c r="AB197" s="71">
        <v>44503</v>
      </c>
      <c r="AC197" s="71">
        <v>44503</v>
      </c>
      <c r="AD197" s="71">
        <v>44155</v>
      </c>
      <c r="AE197" s="71">
        <v>44504</v>
      </c>
      <c r="AF197" s="71"/>
      <c r="AG197" s="71">
        <v>44425</v>
      </c>
      <c r="AH197" s="71">
        <v>44425</v>
      </c>
      <c r="AI197" s="71">
        <v>44160</v>
      </c>
      <c r="AJ197" s="71">
        <v>44160</v>
      </c>
      <c r="AK197" s="71"/>
      <c r="AL197" s="71"/>
      <c r="AM197" s="71">
        <v>44425</v>
      </c>
      <c r="AN197" s="71">
        <v>44425</v>
      </c>
      <c r="AO197" s="71"/>
      <c r="AP197" s="71"/>
      <c r="AQ197" s="71"/>
      <c r="AR197" s="71"/>
      <c r="AS197" s="71"/>
      <c r="AT197" s="71"/>
      <c r="AU197" s="71">
        <v>44425</v>
      </c>
      <c r="AV197" s="71"/>
      <c r="AW197" s="71">
        <v>44161</v>
      </c>
      <c r="AX197" s="71"/>
      <c r="AY197" s="71"/>
      <c r="AZ197" s="71"/>
      <c r="BA197" s="71">
        <v>44425</v>
      </c>
      <c r="BB197" s="71"/>
      <c r="BC197" s="71"/>
      <c r="BD197" s="71"/>
      <c r="BE197" s="71"/>
      <c r="BF197" s="71"/>
      <c r="BG197" s="71">
        <v>44425</v>
      </c>
      <c r="BH197" s="71"/>
      <c r="BI197" s="71"/>
      <c r="BJ197" s="71"/>
      <c r="BK197" s="70"/>
      <c r="BL197" s="70"/>
      <c r="BM197" s="70"/>
      <c r="BN197" s="70"/>
      <c r="BO197" s="70"/>
    </row>
    <row r="198" spans="1:67" x14ac:dyDescent="0.4">
      <c r="A198" s="86">
        <v>4950000</v>
      </c>
      <c r="B198" s="74" t="s">
        <v>192</v>
      </c>
      <c r="C198" s="71">
        <v>44435</v>
      </c>
      <c r="D198" s="71">
        <v>44418</v>
      </c>
      <c r="E198" s="71">
        <v>44435</v>
      </c>
      <c r="F198" s="71">
        <v>44432</v>
      </c>
      <c r="G198" s="71">
        <v>44446</v>
      </c>
      <c r="H198" s="71">
        <v>44435</v>
      </c>
      <c r="I198" s="71">
        <v>44447</v>
      </c>
      <c r="J198" s="71">
        <v>44448</v>
      </c>
      <c r="K198" s="71"/>
      <c r="L198" s="71">
        <v>44448</v>
      </c>
      <c r="M198" s="71">
        <v>44432</v>
      </c>
      <c r="N198" s="71"/>
      <c r="O198" s="71"/>
      <c r="P198" s="71">
        <v>44445</v>
      </c>
      <c r="Q198" s="71">
        <v>44448</v>
      </c>
      <c r="R198" s="71">
        <v>44432</v>
      </c>
      <c r="S198" s="71">
        <v>44432</v>
      </c>
      <c r="T198" s="71">
        <v>44435</v>
      </c>
      <c r="U198" s="71">
        <v>44448</v>
      </c>
      <c r="V198" s="71">
        <v>44435</v>
      </c>
      <c r="W198" s="71"/>
      <c r="X198" s="71"/>
      <c r="Y198" s="71"/>
      <c r="Z198" s="71"/>
      <c r="AA198" s="71">
        <v>44435</v>
      </c>
      <c r="AB198" s="71">
        <v>44435</v>
      </c>
      <c r="AC198" s="71">
        <v>44435</v>
      </c>
      <c r="AD198" s="71"/>
      <c r="AE198" s="71">
        <v>44435</v>
      </c>
      <c r="AF198" s="71">
        <v>44446</v>
      </c>
      <c r="AG198" s="71"/>
      <c r="AH198" s="71">
        <v>44435</v>
      </c>
      <c r="AI198" s="71">
        <v>44448</v>
      </c>
      <c r="AJ198" s="71">
        <v>44448</v>
      </c>
      <c r="AK198" s="71"/>
      <c r="AL198" s="71"/>
      <c r="AM198" s="71"/>
      <c r="AN198" s="71"/>
      <c r="AO198" s="71"/>
      <c r="AP198" s="71"/>
      <c r="AQ198" s="71"/>
      <c r="AR198" s="71"/>
      <c r="AS198" s="71">
        <v>44446</v>
      </c>
      <c r="AT198" s="71"/>
      <c r="AU198" s="71">
        <v>44446</v>
      </c>
      <c r="AV198" s="71"/>
      <c r="AW198" s="71">
        <v>44446</v>
      </c>
      <c r="AX198" s="71"/>
      <c r="AY198" s="71"/>
      <c r="AZ198" s="71"/>
      <c r="BA198" s="71"/>
      <c r="BB198" s="71">
        <v>44448</v>
      </c>
      <c r="BC198" s="71"/>
      <c r="BD198" s="71">
        <v>44446</v>
      </c>
      <c r="BE198" s="71">
        <v>44446</v>
      </c>
      <c r="BF198" s="71"/>
      <c r="BG198" s="71"/>
      <c r="BH198" s="71"/>
      <c r="BI198" s="71"/>
      <c r="BJ198" s="71"/>
      <c r="BK198" s="70"/>
      <c r="BL198" s="70"/>
      <c r="BM198" s="70"/>
      <c r="BN198" s="70"/>
      <c r="BO198" s="70"/>
    </row>
    <row r="199" spans="1:67" x14ac:dyDescent="0.4">
      <c r="A199" s="86">
        <v>4960000</v>
      </c>
      <c r="B199" s="74" t="s">
        <v>193</v>
      </c>
      <c r="C199" s="71">
        <v>44391</v>
      </c>
      <c r="D199" s="71">
        <v>44464</v>
      </c>
      <c r="E199" s="71">
        <v>44382</v>
      </c>
      <c r="F199" s="71">
        <v>44464</v>
      </c>
      <c r="G199" s="71">
        <v>44452</v>
      </c>
      <c r="H199" s="71">
        <v>44464</v>
      </c>
      <c r="I199" s="71">
        <v>44355</v>
      </c>
      <c r="J199" s="71">
        <v>44464</v>
      </c>
      <c r="K199" s="71">
        <v>44341</v>
      </c>
      <c r="L199" s="71">
        <v>44355</v>
      </c>
      <c r="M199" s="71">
        <v>44452</v>
      </c>
      <c r="N199" s="71">
        <v>44464</v>
      </c>
      <c r="O199" s="71"/>
      <c r="P199" s="71">
        <v>44464</v>
      </c>
      <c r="Q199" s="71">
        <v>44400</v>
      </c>
      <c r="R199" s="71">
        <v>44391</v>
      </c>
      <c r="S199" s="71">
        <v>44464</v>
      </c>
      <c r="T199" s="71">
        <v>44464</v>
      </c>
      <c r="U199" s="71"/>
      <c r="V199" s="71">
        <v>44464</v>
      </c>
      <c r="W199" s="71"/>
      <c r="X199" s="71">
        <v>44464</v>
      </c>
      <c r="Y199" s="71"/>
      <c r="Z199" s="71">
        <v>44464</v>
      </c>
      <c r="AA199" s="71">
        <v>44464</v>
      </c>
      <c r="AB199" s="71">
        <v>44391</v>
      </c>
      <c r="AC199" s="71">
        <v>44464</v>
      </c>
      <c r="AD199" s="71">
        <v>44400</v>
      </c>
      <c r="AE199" s="71">
        <v>44477</v>
      </c>
      <c r="AF199" s="71">
        <v>44391</v>
      </c>
      <c r="AG199" s="71"/>
      <c r="AH199" s="71">
        <v>44357</v>
      </c>
      <c r="AI199" s="71">
        <v>44396</v>
      </c>
      <c r="AJ199" s="71">
        <v>44396</v>
      </c>
      <c r="AK199" s="71"/>
      <c r="AL199" s="71"/>
      <c r="AM199" s="71"/>
      <c r="AN199" s="71">
        <v>44393</v>
      </c>
      <c r="AO199" s="71"/>
      <c r="AP199" s="71">
        <v>44391</v>
      </c>
      <c r="AQ199" s="71">
        <v>44391</v>
      </c>
      <c r="AR199" s="71"/>
      <c r="AS199" s="71">
        <v>44391</v>
      </c>
      <c r="AT199" s="71"/>
      <c r="AU199" s="71">
        <v>44356</v>
      </c>
      <c r="AV199" s="71"/>
      <c r="AW199" s="71">
        <v>44362</v>
      </c>
      <c r="AX199" s="71">
        <v>44464</v>
      </c>
      <c r="AY199" s="71"/>
      <c r="AZ199" s="71"/>
      <c r="BA199" s="71">
        <v>44393</v>
      </c>
      <c r="BB199" s="71">
        <v>44356</v>
      </c>
      <c r="BC199" s="71"/>
      <c r="BD199" s="71"/>
      <c r="BE199" s="71"/>
      <c r="BF199" s="71"/>
      <c r="BG199" s="71">
        <v>44391</v>
      </c>
      <c r="BH199" s="71"/>
      <c r="BI199" s="71"/>
      <c r="BJ199" s="71"/>
      <c r="BK199" s="70"/>
      <c r="BL199" s="70"/>
      <c r="BM199" s="70"/>
      <c r="BN199" s="70"/>
      <c r="BO199" s="70"/>
    </row>
    <row r="200" spans="1:67" x14ac:dyDescent="0.4">
      <c r="A200" s="86">
        <v>4970000</v>
      </c>
      <c r="B200" s="74" t="s">
        <v>194</v>
      </c>
      <c r="C200" s="71">
        <v>44467</v>
      </c>
      <c r="D200" s="71">
        <v>44259</v>
      </c>
      <c r="E200" s="71">
        <v>44455</v>
      </c>
      <c r="F200" s="72">
        <v>44403</v>
      </c>
      <c r="G200" s="72">
        <v>44398</v>
      </c>
      <c r="H200" s="71">
        <v>44466</v>
      </c>
      <c r="I200" s="71">
        <v>44404</v>
      </c>
      <c r="J200" s="71">
        <v>44462</v>
      </c>
      <c r="K200" s="71">
        <v>44462</v>
      </c>
      <c r="L200" s="71">
        <v>44463</v>
      </c>
      <c r="M200" s="72">
        <v>44398</v>
      </c>
      <c r="N200" s="71">
        <v>44463</v>
      </c>
      <c r="O200" s="71">
        <v>44454</v>
      </c>
      <c r="P200" s="71">
        <v>44463</v>
      </c>
      <c r="Q200" s="71">
        <v>44455</v>
      </c>
      <c r="R200" s="71">
        <v>44463</v>
      </c>
      <c r="S200" s="71">
        <v>44462</v>
      </c>
      <c r="T200" s="71">
        <v>44467</v>
      </c>
      <c r="U200" s="72">
        <v>44102</v>
      </c>
      <c r="V200" s="71">
        <v>44463</v>
      </c>
      <c r="W200" s="71"/>
      <c r="X200" s="71"/>
      <c r="Y200" s="71">
        <v>44455</v>
      </c>
      <c r="Z200" s="71">
        <v>44466</v>
      </c>
      <c r="AA200" s="71">
        <v>44463</v>
      </c>
      <c r="AB200" s="71">
        <v>44414</v>
      </c>
      <c r="AC200" s="71">
        <v>44463</v>
      </c>
      <c r="AD200" s="71">
        <v>44466</v>
      </c>
      <c r="AE200" s="72">
        <v>44102</v>
      </c>
      <c r="AF200" s="71"/>
      <c r="AG200" s="71">
        <v>44455</v>
      </c>
      <c r="AH200" s="71">
        <v>44463</v>
      </c>
      <c r="AI200" s="71">
        <v>44454</v>
      </c>
      <c r="AJ200" s="71">
        <v>44467</v>
      </c>
      <c r="AK200" s="71"/>
      <c r="AL200" s="71"/>
      <c r="AM200" s="71"/>
      <c r="AN200" s="71">
        <v>44462</v>
      </c>
      <c r="AO200" s="71"/>
      <c r="AP200" s="71"/>
      <c r="AQ200" s="71"/>
      <c r="AR200" s="71">
        <v>44455</v>
      </c>
      <c r="AS200" s="71"/>
      <c r="AT200" s="71"/>
      <c r="AU200" s="71">
        <v>44463</v>
      </c>
      <c r="AV200" s="72">
        <v>44102</v>
      </c>
      <c r="AW200" s="71">
        <v>44454</v>
      </c>
      <c r="AX200" s="71"/>
      <c r="AY200" s="71"/>
      <c r="AZ200" s="71"/>
      <c r="BA200" s="71">
        <v>44455</v>
      </c>
      <c r="BB200" s="71">
        <v>44455</v>
      </c>
      <c r="BC200" s="71"/>
      <c r="BD200" s="71"/>
      <c r="BE200" s="71"/>
      <c r="BF200" s="71"/>
      <c r="BG200" s="71"/>
      <c r="BH200" s="71"/>
      <c r="BI200" s="71"/>
      <c r="BJ200" s="71"/>
      <c r="BK200" s="70"/>
      <c r="BL200" s="70"/>
      <c r="BM200" s="70"/>
      <c r="BN200" s="70"/>
      <c r="BO200" s="70"/>
    </row>
    <row r="201" spans="1:67" x14ac:dyDescent="0.4">
      <c r="A201" s="86">
        <v>4980000</v>
      </c>
      <c r="B201" s="74" t="s">
        <v>195</v>
      </c>
      <c r="C201" s="71">
        <v>44489</v>
      </c>
      <c r="D201" s="71">
        <v>44186</v>
      </c>
      <c r="E201" s="71">
        <v>44364</v>
      </c>
      <c r="F201" s="71">
        <v>44448</v>
      </c>
      <c r="G201" s="71">
        <v>44482</v>
      </c>
      <c r="H201" s="71">
        <v>44264</v>
      </c>
      <c r="I201" s="71">
        <v>44307</v>
      </c>
      <c r="J201" s="71">
        <v>44449</v>
      </c>
      <c r="K201" s="71">
        <v>44364</v>
      </c>
      <c r="L201" s="71">
        <v>44186</v>
      </c>
      <c r="M201" s="71">
        <v>44449</v>
      </c>
      <c r="N201" s="71">
        <v>44273</v>
      </c>
      <c r="O201" s="71"/>
      <c r="P201" s="71">
        <v>44270</v>
      </c>
      <c r="Q201" s="71">
        <v>44264</v>
      </c>
      <c r="R201" s="71">
        <v>44383</v>
      </c>
      <c r="S201" s="71">
        <v>44186</v>
      </c>
      <c r="T201" s="71">
        <v>44364</v>
      </c>
      <c r="U201" s="71">
        <v>44186</v>
      </c>
      <c r="V201" s="71">
        <v>44264</v>
      </c>
      <c r="W201" s="71"/>
      <c r="X201" s="71"/>
      <c r="Y201" s="71"/>
      <c r="Z201" s="71"/>
      <c r="AA201" s="71">
        <v>44154</v>
      </c>
      <c r="AB201" s="71">
        <v>44487</v>
      </c>
      <c r="AC201" s="71">
        <v>44186</v>
      </c>
      <c r="AD201" s="71">
        <v>44371</v>
      </c>
      <c r="AE201" s="71">
        <v>44186</v>
      </c>
      <c r="AF201" s="71"/>
      <c r="AG201" s="71"/>
      <c r="AH201" s="71">
        <v>44490</v>
      </c>
      <c r="AI201" s="71">
        <v>44186</v>
      </c>
      <c r="AJ201" s="71">
        <v>44186</v>
      </c>
      <c r="AK201" s="71"/>
      <c r="AL201" s="71"/>
      <c r="AM201" s="71"/>
      <c r="AN201" s="71"/>
      <c r="AO201" s="71"/>
      <c r="AP201" s="71">
        <v>44489</v>
      </c>
      <c r="AQ201" s="71">
        <v>44489</v>
      </c>
      <c r="AR201" s="71">
        <v>44491</v>
      </c>
      <c r="AS201" s="71"/>
      <c r="AT201" s="71"/>
      <c r="AU201" s="71">
        <v>44449</v>
      </c>
      <c r="AV201" s="71">
        <v>44489</v>
      </c>
      <c r="AW201" s="71">
        <v>44489</v>
      </c>
      <c r="AX201" s="71">
        <v>44488</v>
      </c>
      <c r="AY201" s="71"/>
      <c r="AZ201" s="71"/>
      <c r="BA201" s="71"/>
      <c r="BB201" s="71">
        <v>44382</v>
      </c>
      <c r="BC201" s="71"/>
      <c r="BD201" s="71"/>
      <c r="BE201" s="71"/>
      <c r="BF201" s="71"/>
      <c r="BG201" s="71">
        <v>44489</v>
      </c>
      <c r="BH201" s="71"/>
      <c r="BI201" s="71"/>
      <c r="BJ201" s="71"/>
      <c r="BK201" s="70"/>
      <c r="BL201" s="70"/>
      <c r="BM201" s="70"/>
      <c r="BN201" s="70"/>
      <c r="BO201" s="70"/>
    </row>
    <row r="202" spans="1:67" x14ac:dyDescent="0.4">
      <c r="A202" s="86">
        <v>4990000</v>
      </c>
      <c r="B202" s="74" t="s">
        <v>196</v>
      </c>
      <c r="C202" s="71">
        <v>44397</v>
      </c>
      <c r="D202" s="72">
        <v>44103</v>
      </c>
      <c r="E202" s="72">
        <v>44102</v>
      </c>
      <c r="F202" s="72">
        <v>43746</v>
      </c>
      <c r="G202" s="72">
        <v>43746</v>
      </c>
      <c r="H202" s="72">
        <v>43746</v>
      </c>
      <c r="I202" s="72">
        <v>44102</v>
      </c>
      <c r="J202" s="72">
        <v>43745</v>
      </c>
      <c r="K202" s="71"/>
      <c r="L202" s="72">
        <v>44102</v>
      </c>
      <c r="M202" s="71"/>
      <c r="N202" s="72">
        <v>44102</v>
      </c>
      <c r="O202" s="71"/>
      <c r="P202" s="72">
        <v>44103</v>
      </c>
      <c r="Q202" s="72">
        <v>44102</v>
      </c>
      <c r="R202" s="72">
        <v>44102</v>
      </c>
      <c r="S202" s="72">
        <v>44102</v>
      </c>
      <c r="T202" s="72">
        <v>44102</v>
      </c>
      <c r="U202" s="72">
        <v>44103</v>
      </c>
      <c r="V202" s="71"/>
      <c r="W202" s="71"/>
      <c r="X202" s="71"/>
      <c r="Y202" s="71"/>
      <c r="Z202" s="72">
        <v>44102</v>
      </c>
      <c r="AA202" s="71">
        <v>44487</v>
      </c>
      <c r="AB202" s="71">
        <v>44483</v>
      </c>
      <c r="AC202" s="72">
        <v>44102</v>
      </c>
      <c r="AD202" s="72">
        <v>44102</v>
      </c>
      <c r="AE202" s="72">
        <v>44102</v>
      </c>
      <c r="AF202" s="71"/>
      <c r="AG202" s="71"/>
      <c r="AH202" s="72">
        <v>44102</v>
      </c>
      <c r="AI202" s="72">
        <v>44102</v>
      </c>
      <c r="AJ202" s="72">
        <v>44102</v>
      </c>
      <c r="AK202" s="71"/>
      <c r="AL202" s="71"/>
      <c r="AM202" s="72">
        <v>44102</v>
      </c>
      <c r="AN202" s="71"/>
      <c r="AO202" s="71"/>
      <c r="AP202" s="71"/>
      <c r="AQ202" s="71"/>
      <c r="AR202" s="71"/>
      <c r="AS202" s="71"/>
      <c r="AT202" s="71"/>
      <c r="AU202" s="72">
        <v>44102</v>
      </c>
      <c r="AV202" s="71"/>
      <c r="AW202" s="72">
        <v>44102</v>
      </c>
      <c r="AX202" s="72">
        <v>44102</v>
      </c>
      <c r="AY202" s="71"/>
      <c r="AZ202" s="71"/>
      <c r="BA202" s="72">
        <v>44102</v>
      </c>
      <c r="BB202" s="72">
        <v>44102</v>
      </c>
      <c r="BC202" s="71"/>
      <c r="BD202" s="71"/>
      <c r="BE202" s="72">
        <v>43746</v>
      </c>
      <c r="BF202" s="71"/>
      <c r="BG202" s="72">
        <v>44102</v>
      </c>
      <c r="BH202" s="72">
        <v>44103</v>
      </c>
      <c r="BI202" s="71"/>
      <c r="BJ202" s="71"/>
      <c r="BK202" s="70"/>
      <c r="BL202" s="70"/>
      <c r="BM202" s="70"/>
      <c r="BN202" s="70"/>
      <c r="BO202" s="70"/>
    </row>
    <row r="203" spans="1:67" x14ac:dyDescent="0.4">
      <c r="A203" s="86">
        <v>5000000</v>
      </c>
      <c r="B203" s="74" t="s">
        <v>197</v>
      </c>
      <c r="C203" s="71">
        <v>44353</v>
      </c>
      <c r="D203" s="71">
        <v>44162</v>
      </c>
      <c r="E203" s="71">
        <v>44353</v>
      </c>
      <c r="F203" s="71">
        <v>44426</v>
      </c>
      <c r="G203" s="71">
        <v>44463</v>
      </c>
      <c r="H203" s="71">
        <v>44162</v>
      </c>
      <c r="I203" s="71">
        <v>44366</v>
      </c>
      <c r="J203" s="71">
        <v>44426</v>
      </c>
      <c r="K203" s="71"/>
      <c r="L203" s="71">
        <v>44366</v>
      </c>
      <c r="M203" s="71"/>
      <c r="N203" s="71">
        <v>44162</v>
      </c>
      <c r="O203" s="71"/>
      <c r="P203" s="71">
        <v>44162</v>
      </c>
      <c r="Q203" s="71"/>
      <c r="R203" s="71"/>
      <c r="S203" s="71">
        <v>44245</v>
      </c>
      <c r="T203" s="71">
        <v>44161</v>
      </c>
      <c r="U203" s="71"/>
      <c r="V203" s="71">
        <v>44222</v>
      </c>
      <c r="W203" s="71"/>
      <c r="X203" s="71"/>
      <c r="Y203" s="71"/>
      <c r="Z203" s="71">
        <v>44162</v>
      </c>
      <c r="AA203" s="71"/>
      <c r="AB203" s="71">
        <v>44161</v>
      </c>
      <c r="AC203" s="71">
        <v>44162</v>
      </c>
      <c r="AD203" s="71"/>
      <c r="AE203" s="71">
        <v>44231</v>
      </c>
      <c r="AF203" s="71"/>
      <c r="AG203" s="71"/>
      <c r="AH203" s="71"/>
      <c r="AI203" s="71"/>
      <c r="AJ203" s="71">
        <v>44162</v>
      </c>
      <c r="AK203" s="71"/>
      <c r="AL203" s="71"/>
      <c r="AM203" s="71">
        <v>44353</v>
      </c>
      <c r="AN203" s="71"/>
      <c r="AO203" s="71"/>
      <c r="AP203" s="71"/>
      <c r="AQ203" s="71"/>
      <c r="AR203" s="71"/>
      <c r="AS203" s="71"/>
      <c r="AT203" s="71"/>
      <c r="AU203" s="71">
        <v>44341</v>
      </c>
      <c r="AV203" s="71"/>
      <c r="AW203" s="71"/>
      <c r="AX203" s="71"/>
      <c r="AY203" s="71"/>
      <c r="AZ203" s="71"/>
      <c r="BA203" s="71"/>
      <c r="BB203" s="71"/>
      <c r="BC203" s="71"/>
      <c r="BD203" s="71"/>
      <c r="BE203" s="71">
        <v>44353</v>
      </c>
      <c r="BF203" s="71"/>
      <c r="BG203" s="71">
        <v>44463</v>
      </c>
      <c r="BH203" s="71"/>
      <c r="BI203" s="71"/>
      <c r="BJ203" s="71"/>
      <c r="BK203" s="70"/>
      <c r="BL203" s="70"/>
      <c r="BM203" s="70"/>
      <c r="BN203" s="70"/>
      <c r="BO203" s="70"/>
    </row>
    <row r="204" spans="1:67" x14ac:dyDescent="0.4">
      <c r="A204" s="86">
        <v>5010000</v>
      </c>
      <c r="B204" s="74" t="s">
        <v>198</v>
      </c>
      <c r="C204" s="71"/>
      <c r="D204" s="71">
        <v>44329</v>
      </c>
      <c r="E204" s="71">
        <v>44329</v>
      </c>
      <c r="F204" s="71">
        <v>44467</v>
      </c>
      <c r="G204" s="71"/>
      <c r="H204" s="71">
        <v>44251</v>
      </c>
      <c r="I204" s="71">
        <v>44497</v>
      </c>
      <c r="J204" s="71"/>
      <c r="K204" s="72">
        <v>43949</v>
      </c>
      <c r="L204" s="71">
        <v>44329</v>
      </c>
      <c r="M204" s="71"/>
      <c r="N204" s="71">
        <v>44180</v>
      </c>
      <c r="O204" s="71">
        <v>44329</v>
      </c>
      <c r="P204" s="71">
        <v>44329</v>
      </c>
      <c r="Q204" s="71"/>
      <c r="R204" s="71"/>
      <c r="S204" s="71">
        <v>44467</v>
      </c>
      <c r="T204" s="71">
        <v>44467</v>
      </c>
      <c r="U204" s="71">
        <v>44188</v>
      </c>
      <c r="V204" s="71">
        <v>44329</v>
      </c>
      <c r="W204" s="71"/>
      <c r="X204" s="71"/>
      <c r="Y204" s="71"/>
      <c r="Z204" s="71"/>
      <c r="AA204" s="71">
        <v>44497</v>
      </c>
      <c r="AB204" s="71">
        <v>44175</v>
      </c>
      <c r="AC204" s="71">
        <v>44329</v>
      </c>
      <c r="AD204" s="71">
        <v>44475</v>
      </c>
      <c r="AE204" s="71">
        <v>44497</v>
      </c>
      <c r="AF204" s="71"/>
      <c r="AG204" s="71"/>
      <c r="AH204" s="71">
        <v>44497</v>
      </c>
      <c r="AI204" s="71"/>
      <c r="AJ204" s="71">
        <v>44467</v>
      </c>
      <c r="AK204" s="71"/>
      <c r="AL204" s="71"/>
      <c r="AM204" s="71"/>
      <c r="AN204" s="71"/>
      <c r="AO204" s="71"/>
      <c r="AP204" s="71"/>
      <c r="AQ204" s="71"/>
      <c r="AR204" s="71"/>
      <c r="AS204" s="71">
        <v>44329</v>
      </c>
      <c r="AT204" s="71"/>
      <c r="AU204" s="71">
        <v>44483</v>
      </c>
      <c r="AV204" s="71"/>
      <c r="AW204" s="71"/>
      <c r="AX204" s="71"/>
      <c r="AY204" s="71"/>
      <c r="AZ204" s="71"/>
      <c r="BA204" s="71"/>
      <c r="BB204" s="71"/>
      <c r="BC204" s="71"/>
      <c r="BD204" s="71"/>
      <c r="BE204" s="71"/>
      <c r="BF204" s="71"/>
      <c r="BG204" s="71"/>
      <c r="BH204" s="71"/>
      <c r="BI204" s="71"/>
      <c r="BJ204" s="71"/>
      <c r="BK204" s="70"/>
      <c r="BL204" s="70"/>
      <c r="BM204" s="70"/>
      <c r="BN204" s="70"/>
      <c r="BO204" s="70"/>
    </row>
    <row r="205" spans="1:67" x14ac:dyDescent="0.4">
      <c r="A205" s="86">
        <v>6470000</v>
      </c>
      <c r="B205" s="74" t="s">
        <v>200</v>
      </c>
      <c r="C205" s="71"/>
      <c r="D205" s="71"/>
      <c r="E205" s="71"/>
      <c r="F205" s="71"/>
      <c r="G205" s="71"/>
      <c r="H205" s="71"/>
      <c r="I205" s="71">
        <v>44446</v>
      </c>
      <c r="J205" s="71"/>
      <c r="K205" s="71">
        <v>44447</v>
      </c>
      <c r="L205" s="71">
        <v>44447</v>
      </c>
      <c r="M205" s="71">
        <v>44448</v>
      </c>
      <c r="N205" s="71"/>
      <c r="O205" s="71">
        <v>44161</v>
      </c>
      <c r="P205" s="71"/>
      <c r="Q205" s="71"/>
      <c r="R205" s="71"/>
      <c r="S205" s="71">
        <v>44448</v>
      </c>
      <c r="T205" s="71"/>
      <c r="U205" s="71"/>
      <c r="V205" s="71"/>
      <c r="W205" s="71"/>
      <c r="X205" s="71"/>
      <c r="Y205" s="71"/>
      <c r="Z205" s="71"/>
      <c r="AA205" s="71"/>
      <c r="AB205" s="71">
        <v>44496</v>
      </c>
      <c r="AC205" s="71"/>
      <c r="AD205" s="71"/>
      <c r="AE205" s="71"/>
      <c r="AF205" s="71"/>
      <c r="AG205" s="71"/>
      <c r="AH205" s="71"/>
      <c r="AI205" s="71"/>
      <c r="AJ205" s="71"/>
      <c r="AK205" s="71"/>
      <c r="AL205" s="71"/>
      <c r="AM205" s="71"/>
      <c r="AN205" s="71"/>
      <c r="AO205" s="71"/>
      <c r="AP205" s="71"/>
      <c r="AQ205" s="71"/>
      <c r="AR205" s="71"/>
      <c r="AS205" s="71"/>
      <c r="AT205" s="71"/>
      <c r="AU205" s="71"/>
      <c r="AV205" s="71"/>
      <c r="AW205" s="71"/>
      <c r="AX205" s="71"/>
      <c r="AY205" s="71"/>
      <c r="AZ205" s="71"/>
      <c r="BA205" s="71"/>
      <c r="BB205" s="71"/>
      <c r="BC205" s="71"/>
      <c r="BD205" s="71"/>
      <c r="BE205" s="71"/>
      <c r="BF205" s="71"/>
      <c r="BG205" s="71"/>
      <c r="BH205" s="71"/>
      <c r="BI205" s="71"/>
      <c r="BJ205" s="71">
        <v>44326</v>
      </c>
      <c r="BK205" s="70"/>
      <c r="BL205" s="70"/>
      <c r="BM205" s="70"/>
      <c r="BN205" s="70"/>
      <c r="BO205" s="70"/>
    </row>
    <row r="206" spans="1:67" x14ac:dyDescent="0.4">
      <c r="A206" s="86">
        <v>5020000</v>
      </c>
      <c r="B206" s="74" t="s">
        <v>201</v>
      </c>
      <c r="C206" s="71">
        <v>44329</v>
      </c>
      <c r="D206" s="71">
        <v>44235</v>
      </c>
      <c r="E206" s="71">
        <v>44327</v>
      </c>
      <c r="F206" s="71">
        <v>44489</v>
      </c>
      <c r="G206" s="71">
        <v>44414</v>
      </c>
      <c r="H206" s="71">
        <v>44497</v>
      </c>
      <c r="I206" s="71">
        <v>44327</v>
      </c>
      <c r="J206" s="71">
        <v>44466</v>
      </c>
      <c r="K206" s="71">
        <v>44453</v>
      </c>
      <c r="L206" s="71">
        <v>44327</v>
      </c>
      <c r="M206" s="71">
        <v>44491</v>
      </c>
      <c r="N206" s="72">
        <v>44134</v>
      </c>
      <c r="O206" s="71">
        <v>44462</v>
      </c>
      <c r="P206" s="71">
        <v>44483</v>
      </c>
      <c r="Q206" s="71">
        <v>44474</v>
      </c>
      <c r="R206" s="72">
        <v>44133</v>
      </c>
      <c r="S206" s="71">
        <v>44236</v>
      </c>
      <c r="T206" s="71">
        <v>44453</v>
      </c>
      <c r="U206" s="71">
        <v>44196</v>
      </c>
      <c r="V206" s="71">
        <v>44454</v>
      </c>
      <c r="W206" s="71"/>
      <c r="X206" s="71"/>
      <c r="Y206" s="71">
        <v>44327</v>
      </c>
      <c r="Z206" s="72">
        <v>44133</v>
      </c>
      <c r="AA206" s="72">
        <v>44131</v>
      </c>
      <c r="AB206" s="71">
        <v>44356</v>
      </c>
      <c r="AC206" s="71">
        <v>44467</v>
      </c>
      <c r="AD206" s="71"/>
      <c r="AE206" s="71">
        <v>44357</v>
      </c>
      <c r="AF206" s="71"/>
      <c r="AG206" s="71">
        <v>44357</v>
      </c>
      <c r="AH206" s="71">
        <v>44454</v>
      </c>
      <c r="AI206" s="71">
        <v>44236</v>
      </c>
      <c r="AJ206" s="71">
        <v>44356</v>
      </c>
      <c r="AK206" s="71"/>
      <c r="AL206" s="71"/>
      <c r="AM206" s="71">
        <v>44484</v>
      </c>
      <c r="AN206" s="71">
        <v>44327</v>
      </c>
      <c r="AO206" s="71"/>
      <c r="AP206" s="71">
        <v>44488</v>
      </c>
      <c r="AQ206" s="72">
        <v>44132</v>
      </c>
      <c r="AR206" s="71">
        <v>44328</v>
      </c>
      <c r="AS206" s="71">
        <v>44328</v>
      </c>
      <c r="AT206" s="71"/>
      <c r="AU206" s="71">
        <v>44469</v>
      </c>
      <c r="AV206" s="71"/>
      <c r="AW206" s="72">
        <v>44133</v>
      </c>
      <c r="AX206" s="71"/>
      <c r="AY206" s="71">
        <v>44329</v>
      </c>
      <c r="AZ206" s="71"/>
      <c r="BA206" s="71">
        <v>44327</v>
      </c>
      <c r="BB206" s="71">
        <v>44501</v>
      </c>
      <c r="BC206" s="71"/>
      <c r="BD206" s="71"/>
      <c r="BE206" s="72">
        <v>44307</v>
      </c>
      <c r="BF206" s="71"/>
      <c r="BG206" s="71">
        <v>44327</v>
      </c>
      <c r="BH206" s="71"/>
      <c r="BI206" s="71"/>
      <c r="BJ206" s="71"/>
      <c r="BK206" s="70"/>
      <c r="BL206" s="70"/>
      <c r="BM206" s="70"/>
      <c r="BN206" s="70"/>
      <c r="BO206" s="70"/>
    </row>
    <row r="207" spans="1:67" x14ac:dyDescent="0.4">
      <c r="A207" s="86">
        <v>5050000</v>
      </c>
      <c r="B207" s="74" t="s">
        <v>202</v>
      </c>
      <c r="C207" s="71">
        <v>44489</v>
      </c>
      <c r="D207" s="71">
        <v>44490</v>
      </c>
      <c r="E207" s="71">
        <v>44475</v>
      </c>
      <c r="F207" s="71">
        <v>44477</v>
      </c>
      <c r="G207" s="71">
        <v>44477</v>
      </c>
      <c r="H207" s="71">
        <v>44482</v>
      </c>
      <c r="I207" s="71">
        <v>44477</v>
      </c>
      <c r="J207" s="71">
        <v>44477</v>
      </c>
      <c r="K207" s="71">
        <v>44468</v>
      </c>
      <c r="L207" s="71">
        <v>44477</v>
      </c>
      <c r="M207" s="71">
        <v>44477</v>
      </c>
      <c r="N207" s="71">
        <v>44476</v>
      </c>
      <c r="O207" s="71"/>
      <c r="P207" s="71">
        <v>44477</v>
      </c>
      <c r="Q207" s="71"/>
      <c r="R207" s="71">
        <v>44470</v>
      </c>
      <c r="S207" s="71">
        <v>44482</v>
      </c>
      <c r="T207" s="71">
        <v>44481</v>
      </c>
      <c r="U207" s="71">
        <v>44477</v>
      </c>
      <c r="V207" s="72">
        <v>44131</v>
      </c>
      <c r="W207" s="71"/>
      <c r="X207" s="71">
        <v>44484</v>
      </c>
      <c r="Y207" s="71"/>
      <c r="Z207" s="71"/>
      <c r="AA207" s="71">
        <v>44470</v>
      </c>
      <c r="AB207" s="71">
        <v>44475</v>
      </c>
      <c r="AC207" s="71">
        <v>44477</v>
      </c>
      <c r="AD207" s="71">
        <v>44477</v>
      </c>
      <c r="AE207" s="71"/>
      <c r="AF207" s="71"/>
      <c r="AG207" s="71">
        <v>44474</v>
      </c>
      <c r="AH207" s="71">
        <v>44481</v>
      </c>
      <c r="AI207" s="71">
        <v>44481</v>
      </c>
      <c r="AJ207" s="71">
        <v>44481</v>
      </c>
      <c r="AK207" s="71"/>
      <c r="AL207" s="71"/>
      <c r="AM207" s="71">
        <v>44482</v>
      </c>
      <c r="AN207" s="71"/>
      <c r="AO207" s="71"/>
      <c r="AP207" s="71"/>
      <c r="AQ207" s="71"/>
      <c r="AR207" s="71"/>
      <c r="AS207" s="71"/>
      <c r="AT207" s="71"/>
      <c r="AU207" s="71">
        <v>44482</v>
      </c>
      <c r="AV207" s="71"/>
      <c r="AW207" s="71">
        <v>44481</v>
      </c>
      <c r="AX207" s="71">
        <v>44470</v>
      </c>
      <c r="AY207" s="71">
        <v>44469</v>
      </c>
      <c r="AZ207" s="71"/>
      <c r="BA207" s="71"/>
      <c r="BB207" s="71">
        <v>44470</v>
      </c>
      <c r="BC207" s="71">
        <v>44477</v>
      </c>
      <c r="BD207" s="71"/>
      <c r="BE207" s="71"/>
      <c r="BF207" s="71"/>
      <c r="BG207" s="71"/>
      <c r="BH207" s="71"/>
      <c r="BI207" s="71"/>
      <c r="BJ207" s="71"/>
      <c r="BK207" s="70"/>
      <c r="BL207" s="70"/>
      <c r="BM207" s="70"/>
      <c r="BN207" s="70"/>
      <c r="BO207" s="70"/>
    </row>
    <row r="208" spans="1:67" x14ac:dyDescent="0.4">
      <c r="A208" s="86">
        <v>5060000</v>
      </c>
      <c r="B208" s="74" t="s">
        <v>203</v>
      </c>
      <c r="C208" s="71">
        <v>44473</v>
      </c>
      <c r="D208" s="71">
        <v>44456</v>
      </c>
      <c r="E208" s="71">
        <v>44466</v>
      </c>
      <c r="F208" s="71">
        <v>44472</v>
      </c>
      <c r="G208" s="71">
        <v>44466</v>
      </c>
      <c r="H208" s="71">
        <v>44454</v>
      </c>
      <c r="I208" s="71">
        <v>44456</v>
      </c>
      <c r="J208" s="71">
        <v>44467</v>
      </c>
      <c r="K208" s="71">
        <v>44456</v>
      </c>
      <c r="L208" s="72">
        <v>43907</v>
      </c>
      <c r="M208" s="71">
        <v>44469</v>
      </c>
      <c r="N208" s="71">
        <v>44452</v>
      </c>
      <c r="O208" s="71"/>
      <c r="P208" s="71">
        <v>44466</v>
      </c>
      <c r="Q208" s="72">
        <v>43725</v>
      </c>
      <c r="R208" s="71">
        <v>44479</v>
      </c>
      <c r="S208" s="71">
        <v>44469</v>
      </c>
      <c r="T208" s="71">
        <v>44466</v>
      </c>
      <c r="U208" s="71">
        <v>44456</v>
      </c>
      <c r="V208" s="71">
        <v>44466</v>
      </c>
      <c r="W208" s="71"/>
      <c r="X208" s="71"/>
      <c r="Y208" s="71">
        <v>44467</v>
      </c>
      <c r="Z208" s="71">
        <v>44466</v>
      </c>
      <c r="AA208" s="71">
        <v>44466</v>
      </c>
      <c r="AB208" s="71">
        <v>44452</v>
      </c>
      <c r="AC208" s="71"/>
      <c r="AD208" s="71">
        <v>44491</v>
      </c>
      <c r="AE208" s="71"/>
      <c r="AF208" s="71"/>
      <c r="AG208" s="71">
        <v>44464</v>
      </c>
      <c r="AH208" s="71">
        <v>44467</v>
      </c>
      <c r="AI208" s="71">
        <v>44466</v>
      </c>
      <c r="AJ208" s="71">
        <v>44466</v>
      </c>
      <c r="AK208" s="71"/>
      <c r="AL208" s="71"/>
      <c r="AM208" s="71">
        <v>44467</v>
      </c>
      <c r="AN208" s="71"/>
      <c r="AO208" s="71"/>
      <c r="AP208" s="71"/>
      <c r="AQ208" s="71">
        <v>44454</v>
      </c>
      <c r="AR208" s="71">
        <v>44468</v>
      </c>
      <c r="AS208" s="71"/>
      <c r="AT208" s="71"/>
      <c r="AU208" s="71">
        <v>44469</v>
      </c>
      <c r="AV208" s="71"/>
      <c r="AW208" s="71">
        <v>44455</v>
      </c>
      <c r="AX208" s="71"/>
      <c r="AY208" s="71"/>
      <c r="AZ208" s="71"/>
      <c r="BA208" s="71"/>
      <c r="BB208" s="71">
        <v>44454</v>
      </c>
      <c r="BC208" s="71"/>
      <c r="BD208" s="71"/>
      <c r="BE208" s="71"/>
      <c r="BF208" s="71"/>
      <c r="BG208" s="71">
        <v>44468</v>
      </c>
      <c r="BH208" s="72">
        <v>43735</v>
      </c>
      <c r="BI208" s="71"/>
      <c r="BJ208" s="71"/>
      <c r="BK208" s="70"/>
      <c r="BL208" s="70"/>
      <c r="BM208" s="70"/>
      <c r="BN208" s="70"/>
      <c r="BO208" s="70"/>
    </row>
    <row r="209" spans="1:67" x14ac:dyDescent="0.4">
      <c r="A209" s="86">
        <v>5070000</v>
      </c>
      <c r="B209" s="74" t="s">
        <v>204</v>
      </c>
      <c r="C209" s="71">
        <v>44452</v>
      </c>
      <c r="D209" s="71">
        <v>44438</v>
      </c>
      <c r="E209" s="71">
        <v>44438</v>
      </c>
      <c r="F209" s="71">
        <v>44447</v>
      </c>
      <c r="G209" s="71">
        <v>44445</v>
      </c>
      <c r="H209" s="71">
        <v>44438</v>
      </c>
      <c r="I209" s="71">
        <v>44413</v>
      </c>
      <c r="J209" s="71">
        <v>44433</v>
      </c>
      <c r="K209" s="71">
        <v>44433</v>
      </c>
      <c r="L209" s="71">
        <v>44161</v>
      </c>
      <c r="M209" s="71">
        <v>44452</v>
      </c>
      <c r="N209" s="71">
        <v>44166</v>
      </c>
      <c r="O209" s="71">
        <v>44483</v>
      </c>
      <c r="P209" s="71">
        <v>44452</v>
      </c>
      <c r="Q209" s="71"/>
      <c r="R209" s="71"/>
      <c r="S209" s="71">
        <v>44497</v>
      </c>
      <c r="T209" s="71">
        <v>44439</v>
      </c>
      <c r="U209" s="71">
        <v>44440</v>
      </c>
      <c r="V209" s="71"/>
      <c r="W209" s="71"/>
      <c r="X209" s="71">
        <v>44377</v>
      </c>
      <c r="Y209" s="71"/>
      <c r="Z209" s="71">
        <v>44377</v>
      </c>
      <c r="AA209" s="71">
        <v>44382</v>
      </c>
      <c r="AB209" s="71">
        <v>44440</v>
      </c>
      <c r="AC209" s="71">
        <v>44434</v>
      </c>
      <c r="AD209" s="71"/>
      <c r="AE209" s="71">
        <v>44400</v>
      </c>
      <c r="AF209" s="71"/>
      <c r="AG209" s="71"/>
      <c r="AH209" s="71">
        <v>44452</v>
      </c>
      <c r="AI209" s="71"/>
      <c r="AJ209" s="71">
        <v>44377</v>
      </c>
      <c r="AK209" s="71"/>
      <c r="AL209" s="71"/>
      <c r="AM209" s="71">
        <v>44348</v>
      </c>
      <c r="AN209" s="71"/>
      <c r="AO209" s="71"/>
      <c r="AP209" s="71"/>
      <c r="AQ209" s="71"/>
      <c r="AR209" s="71"/>
      <c r="AS209" s="71"/>
      <c r="AT209" s="71"/>
      <c r="AU209" s="71">
        <v>44446</v>
      </c>
      <c r="AV209" s="71"/>
      <c r="AW209" s="71"/>
      <c r="AX209" s="71"/>
      <c r="AY209" s="71"/>
      <c r="AZ209" s="71"/>
      <c r="BA209" s="71">
        <v>44383</v>
      </c>
      <c r="BB209" s="71">
        <v>44340</v>
      </c>
      <c r="BC209" s="71"/>
      <c r="BD209" s="71"/>
      <c r="BE209" s="71"/>
      <c r="BF209" s="71"/>
      <c r="BG209" s="71">
        <v>44497</v>
      </c>
      <c r="BH209" s="71"/>
      <c r="BI209" s="71"/>
      <c r="BJ209" s="71"/>
      <c r="BK209" s="70"/>
      <c r="BL209" s="70"/>
      <c r="BM209" s="70"/>
      <c r="BN209" s="70"/>
      <c r="BO209" s="70"/>
    </row>
    <row r="210" spans="1:67" x14ac:dyDescent="0.4">
      <c r="A210" s="86">
        <v>5080000</v>
      </c>
      <c r="B210" s="74" t="s">
        <v>216</v>
      </c>
      <c r="C210" s="71">
        <v>44357</v>
      </c>
      <c r="D210" s="71">
        <v>44356</v>
      </c>
      <c r="E210" s="71">
        <v>44490</v>
      </c>
      <c r="F210" s="71">
        <v>44417</v>
      </c>
      <c r="G210" s="71">
        <v>44484</v>
      </c>
      <c r="H210" s="71">
        <v>44497</v>
      </c>
      <c r="I210" s="71">
        <v>44305</v>
      </c>
      <c r="J210" s="71">
        <v>44425</v>
      </c>
      <c r="K210" s="71">
        <v>44489</v>
      </c>
      <c r="L210" s="71">
        <v>44490</v>
      </c>
      <c r="M210" s="71">
        <v>44419</v>
      </c>
      <c r="N210" s="71">
        <v>44370</v>
      </c>
      <c r="O210" s="71">
        <v>44369</v>
      </c>
      <c r="P210" s="71">
        <v>44356</v>
      </c>
      <c r="Q210" s="71">
        <v>44375</v>
      </c>
      <c r="R210" s="71">
        <v>44362</v>
      </c>
      <c r="S210" s="71">
        <v>44438</v>
      </c>
      <c r="T210" s="71">
        <v>44491</v>
      </c>
      <c r="U210" s="71">
        <v>44490</v>
      </c>
      <c r="V210" s="71">
        <v>44490</v>
      </c>
      <c r="W210" s="71"/>
      <c r="X210" s="71"/>
      <c r="Y210" s="71"/>
      <c r="Z210" s="71">
        <v>44490</v>
      </c>
      <c r="AA210" s="71">
        <v>44490</v>
      </c>
      <c r="AB210" s="71">
        <v>44375</v>
      </c>
      <c r="AC210" s="71"/>
      <c r="AD210" s="71">
        <v>44490</v>
      </c>
      <c r="AE210" s="71"/>
      <c r="AF210" s="71"/>
      <c r="AG210" s="71">
        <v>44489</v>
      </c>
      <c r="AH210" s="71">
        <v>44490</v>
      </c>
      <c r="AI210" s="71">
        <v>44495</v>
      </c>
      <c r="AJ210" s="71">
        <v>44375</v>
      </c>
      <c r="AK210" s="71">
        <v>44496</v>
      </c>
      <c r="AL210" s="71"/>
      <c r="AM210" s="71">
        <v>44417</v>
      </c>
      <c r="AN210" s="71"/>
      <c r="AO210" s="71"/>
      <c r="AP210" s="71"/>
      <c r="AQ210" s="71"/>
      <c r="AR210" s="71">
        <v>44357</v>
      </c>
      <c r="AS210" s="71"/>
      <c r="AT210" s="71"/>
      <c r="AU210" s="71">
        <v>44361</v>
      </c>
      <c r="AV210" s="71"/>
      <c r="AW210" s="71">
        <v>44496</v>
      </c>
      <c r="AX210" s="71">
        <v>44497</v>
      </c>
      <c r="AY210" s="71">
        <v>44490</v>
      </c>
      <c r="AZ210" s="71"/>
      <c r="BA210" s="71"/>
      <c r="BB210" s="71"/>
      <c r="BC210" s="71">
        <v>44496</v>
      </c>
      <c r="BD210" s="71"/>
      <c r="BE210" s="71"/>
      <c r="BF210" s="71"/>
      <c r="BG210" s="71"/>
      <c r="BH210" s="71">
        <v>44497</v>
      </c>
      <c r="BI210" s="71"/>
      <c r="BJ210" s="71"/>
      <c r="BK210" s="70"/>
      <c r="BL210" s="70"/>
      <c r="BM210" s="70"/>
      <c r="BN210" s="70"/>
      <c r="BO210" s="70"/>
    </row>
    <row r="211" spans="1:67" x14ac:dyDescent="0.4">
      <c r="A211" s="86">
        <v>5090000</v>
      </c>
      <c r="B211" s="74" t="s">
        <v>217</v>
      </c>
      <c r="C211" s="72">
        <v>44092</v>
      </c>
      <c r="D211" s="71">
        <v>44377</v>
      </c>
      <c r="E211" s="72">
        <v>44064</v>
      </c>
      <c r="F211" s="71">
        <v>44497</v>
      </c>
      <c r="G211" s="71">
        <v>44489</v>
      </c>
      <c r="H211" s="71">
        <v>44496</v>
      </c>
      <c r="I211" s="71">
        <v>44491</v>
      </c>
      <c r="J211" s="71">
        <v>44495</v>
      </c>
      <c r="K211" s="71"/>
      <c r="L211" s="71">
        <v>44497</v>
      </c>
      <c r="M211" s="71">
        <v>44498</v>
      </c>
      <c r="N211" s="71">
        <v>44494</v>
      </c>
      <c r="O211" s="72">
        <v>44022</v>
      </c>
      <c r="P211" s="72">
        <v>42884</v>
      </c>
      <c r="Q211" s="71">
        <v>44496</v>
      </c>
      <c r="R211" s="72">
        <v>44034</v>
      </c>
      <c r="S211" s="72">
        <v>44034</v>
      </c>
      <c r="T211" s="71">
        <v>44498</v>
      </c>
      <c r="U211" s="72">
        <v>44034</v>
      </c>
      <c r="V211" s="71">
        <v>44498</v>
      </c>
      <c r="W211" s="71"/>
      <c r="X211" s="71"/>
      <c r="Y211" s="71"/>
      <c r="Z211" s="71"/>
      <c r="AA211" s="71"/>
      <c r="AB211" s="71">
        <v>44484</v>
      </c>
      <c r="AC211" s="71">
        <v>44498</v>
      </c>
      <c r="AD211" s="71">
        <v>44153</v>
      </c>
      <c r="AE211" s="71">
        <v>44497</v>
      </c>
      <c r="AF211" s="71"/>
      <c r="AG211" s="71"/>
      <c r="AH211" s="72">
        <v>44089</v>
      </c>
      <c r="AI211" s="72">
        <v>44026</v>
      </c>
      <c r="AJ211" s="72">
        <v>44026</v>
      </c>
      <c r="AK211" s="71"/>
      <c r="AL211" s="71"/>
      <c r="AM211" s="72">
        <v>44033</v>
      </c>
      <c r="AN211" s="71"/>
      <c r="AO211" s="71"/>
      <c r="AP211" s="71"/>
      <c r="AQ211" s="71"/>
      <c r="AR211" s="72">
        <v>44153</v>
      </c>
      <c r="AS211" s="71"/>
      <c r="AT211" s="71"/>
      <c r="AU211" s="72">
        <v>44034</v>
      </c>
      <c r="AV211" s="71"/>
      <c r="AW211" s="72">
        <v>44034</v>
      </c>
      <c r="AX211" s="71"/>
      <c r="AY211" s="71"/>
      <c r="AZ211" s="71"/>
      <c r="BA211" s="72">
        <v>44092</v>
      </c>
      <c r="BB211" s="71">
        <v>44496</v>
      </c>
      <c r="BC211" s="71"/>
      <c r="BD211" s="71">
        <v>44482</v>
      </c>
      <c r="BE211" s="71">
        <v>44497</v>
      </c>
      <c r="BF211" s="71"/>
      <c r="BG211" s="71"/>
      <c r="BH211" s="71">
        <v>44497</v>
      </c>
      <c r="BI211" s="71"/>
      <c r="BJ211" s="71"/>
      <c r="BK211" s="70"/>
      <c r="BL211" s="70"/>
      <c r="BM211" s="70"/>
      <c r="BN211" s="70"/>
      <c r="BO211" s="70"/>
    </row>
    <row r="212" spans="1:67" x14ac:dyDescent="0.4">
      <c r="A212" s="86">
        <v>5100000</v>
      </c>
      <c r="B212" s="74" t="s">
        <v>205</v>
      </c>
      <c r="C212" s="71">
        <v>44488</v>
      </c>
      <c r="D212" s="71">
        <v>44246</v>
      </c>
      <c r="E212" s="71">
        <v>44372</v>
      </c>
      <c r="F212" s="71">
        <v>44431</v>
      </c>
      <c r="G212" s="71"/>
      <c r="H212" s="71">
        <v>44383</v>
      </c>
      <c r="I212" s="71">
        <v>44385</v>
      </c>
      <c r="J212" s="71">
        <v>44438</v>
      </c>
      <c r="K212" s="71">
        <v>44337</v>
      </c>
      <c r="L212" s="71"/>
      <c r="M212" s="71">
        <v>44488</v>
      </c>
      <c r="N212" s="71">
        <v>44363</v>
      </c>
      <c r="O212" s="71">
        <v>44390</v>
      </c>
      <c r="P212" s="71">
        <v>44365</v>
      </c>
      <c r="Q212" s="71">
        <v>44379</v>
      </c>
      <c r="R212" s="71"/>
      <c r="S212" s="71">
        <v>44390</v>
      </c>
      <c r="T212" s="71">
        <v>44495</v>
      </c>
      <c r="U212" s="71">
        <v>44187</v>
      </c>
      <c r="V212" s="71">
        <v>44391</v>
      </c>
      <c r="W212" s="71"/>
      <c r="X212" s="71"/>
      <c r="Y212" s="71"/>
      <c r="Z212" s="71">
        <v>44494</v>
      </c>
      <c r="AA212" s="71">
        <v>44487</v>
      </c>
      <c r="AB212" s="71">
        <v>44363</v>
      </c>
      <c r="AC212" s="71">
        <v>44495</v>
      </c>
      <c r="AD212" s="71">
        <v>44386</v>
      </c>
      <c r="AE212" s="71">
        <v>44391</v>
      </c>
      <c r="AF212" s="71"/>
      <c r="AG212" s="71">
        <v>44326</v>
      </c>
      <c r="AH212" s="71">
        <v>44368</v>
      </c>
      <c r="AI212" s="71">
        <v>44372</v>
      </c>
      <c r="AJ212" s="71">
        <v>44372</v>
      </c>
      <c r="AK212" s="71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>
        <v>44362</v>
      </c>
      <c r="AV212" s="71"/>
      <c r="AW212" s="71">
        <v>44186</v>
      </c>
      <c r="AX212" s="71"/>
      <c r="AY212" s="71">
        <v>44369</v>
      </c>
      <c r="AZ212" s="71"/>
      <c r="BA212" s="71">
        <v>44372</v>
      </c>
      <c r="BB212" s="71">
        <v>44495</v>
      </c>
      <c r="BC212" s="71"/>
      <c r="BD212" s="71"/>
      <c r="BE212" s="71"/>
      <c r="BF212" s="71"/>
      <c r="BG212" s="71">
        <v>44363</v>
      </c>
      <c r="BH212" s="71"/>
      <c r="BI212" s="71"/>
      <c r="BJ212" s="71"/>
      <c r="BK212" s="70"/>
      <c r="BL212" s="70"/>
      <c r="BM212" s="70"/>
      <c r="BN212" s="70"/>
      <c r="BO212" s="70"/>
    </row>
    <row r="213" spans="1:67" x14ac:dyDescent="0.4">
      <c r="A213" s="86">
        <v>5110000</v>
      </c>
      <c r="B213" s="74" t="s">
        <v>218</v>
      </c>
      <c r="C213" s="71">
        <v>44489</v>
      </c>
      <c r="D213" s="71">
        <v>44488</v>
      </c>
      <c r="E213" s="71">
        <v>44489</v>
      </c>
      <c r="F213" s="71">
        <v>44489</v>
      </c>
      <c r="G213" s="71">
        <v>44489</v>
      </c>
      <c r="H213" s="71">
        <v>44488</v>
      </c>
      <c r="I213" s="71">
        <v>44489</v>
      </c>
      <c r="J213" s="71">
        <v>44489</v>
      </c>
      <c r="K213" s="71">
        <v>44489</v>
      </c>
      <c r="L213" s="71">
        <v>44489</v>
      </c>
      <c r="M213" s="71">
        <v>44490</v>
      </c>
      <c r="N213" s="71">
        <v>44490</v>
      </c>
      <c r="O213" s="71">
        <v>44490</v>
      </c>
      <c r="P213" s="71">
        <v>44490</v>
      </c>
      <c r="Q213" s="71">
        <v>44490</v>
      </c>
      <c r="R213" s="71">
        <v>44490</v>
      </c>
      <c r="S213" s="71">
        <v>44491</v>
      </c>
      <c r="T213" s="71">
        <v>44491</v>
      </c>
      <c r="U213" s="71">
        <v>44491</v>
      </c>
      <c r="V213" s="71">
        <v>44491</v>
      </c>
      <c r="W213" s="71"/>
      <c r="X213" s="71"/>
      <c r="Y213" s="71"/>
      <c r="Z213" s="71">
        <v>44491</v>
      </c>
      <c r="AA213" s="71">
        <v>44491</v>
      </c>
      <c r="AB213" s="71">
        <v>44491</v>
      </c>
      <c r="AC213" s="71">
        <v>44491</v>
      </c>
      <c r="AD213" s="71">
        <v>44491</v>
      </c>
      <c r="AE213" s="71"/>
      <c r="AF213" s="71"/>
      <c r="AG213" s="71"/>
      <c r="AH213" s="71">
        <v>44491</v>
      </c>
      <c r="AI213" s="71">
        <v>44491</v>
      </c>
      <c r="AJ213" s="71">
        <v>44491</v>
      </c>
      <c r="AK213" s="71"/>
      <c r="AL213" s="71"/>
      <c r="AM213" s="71"/>
      <c r="AN213" s="71">
        <v>44491</v>
      </c>
      <c r="AO213" s="71"/>
      <c r="AP213" s="71">
        <v>44491</v>
      </c>
      <c r="AQ213" s="71"/>
      <c r="AR213" s="71">
        <v>44491</v>
      </c>
      <c r="AS213" s="71">
        <v>44491</v>
      </c>
      <c r="AT213" s="71"/>
      <c r="AU213" s="71">
        <v>44491</v>
      </c>
      <c r="AV213" s="71"/>
      <c r="AW213" s="71">
        <v>44491</v>
      </c>
      <c r="AX213" s="71"/>
      <c r="AY213" s="71">
        <v>44491</v>
      </c>
      <c r="AZ213" s="71"/>
      <c r="BA213" s="71">
        <v>44491</v>
      </c>
      <c r="BB213" s="71"/>
      <c r="BC213" s="71">
        <v>44491</v>
      </c>
      <c r="BD213" s="71">
        <v>44491</v>
      </c>
      <c r="BE213" s="71"/>
      <c r="BF213" s="71"/>
      <c r="BG213" s="71">
        <v>44491</v>
      </c>
      <c r="BH213" s="72">
        <v>44027</v>
      </c>
      <c r="BI213" s="71"/>
      <c r="BJ213" s="71"/>
      <c r="BK213" s="70"/>
      <c r="BL213" s="70"/>
      <c r="BM213" s="70"/>
      <c r="BN213" s="70"/>
      <c r="BO213" s="70"/>
    </row>
    <row r="214" spans="1:67" x14ac:dyDescent="0.4">
      <c r="A214" s="86">
        <v>5120000</v>
      </c>
      <c r="B214" s="74" t="s">
        <v>206</v>
      </c>
      <c r="C214" s="71">
        <v>44467</v>
      </c>
      <c r="D214" s="71">
        <v>44491</v>
      </c>
      <c r="E214" s="71">
        <v>44448</v>
      </c>
      <c r="F214" s="71">
        <v>44483</v>
      </c>
      <c r="G214" s="71">
        <v>44448</v>
      </c>
      <c r="H214" s="71">
        <v>44390</v>
      </c>
      <c r="I214" s="71">
        <v>44484</v>
      </c>
      <c r="J214" s="71">
        <v>44433</v>
      </c>
      <c r="K214" s="71">
        <v>44440</v>
      </c>
      <c r="L214" s="71">
        <v>44483</v>
      </c>
      <c r="M214" s="71">
        <v>44439</v>
      </c>
      <c r="N214" s="71">
        <v>44371</v>
      </c>
      <c r="O214" s="71"/>
      <c r="P214" s="71">
        <v>44391</v>
      </c>
      <c r="Q214" s="71">
        <v>44483</v>
      </c>
      <c r="R214" s="71">
        <v>44495</v>
      </c>
      <c r="S214" s="71">
        <v>44386</v>
      </c>
      <c r="T214" s="71">
        <v>44349</v>
      </c>
      <c r="U214" s="71">
        <v>44488</v>
      </c>
      <c r="V214" s="71">
        <v>44489</v>
      </c>
      <c r="W214" s="71"/>
      <c r="X214" s="71"/>
      <c r="Y214" s="71"/>
      <c r="Z214" s="71"/>
      <c r="AA214" s="71">
        <v>44476</v>
      </c>
      <c r="AB214" s="71">
        <v>44390</v>
      </c>
      <c r="AC214" s="71">
        <v>44483</v>
      </c>
      <c r="AD214" s="71">
        <v>44503</v>
      </c>
      <c r="AE214" s="71">
        <v>44386</v>
      </c>
      <c r="AF214" s="71">
        <v>44495</v>
      </c>
      <c r="AG214" s="71"/>
      <c r="AH214" s="71">
        <v>44456</v>
      </c>
      <c r="AI214" s="71">
        <v>44386</v>
      </c>
      <c r="AJ214" s="71">
        <v>44377</v>
      </c>
      <c r="AK214" s="71">
        <v>44386</v>
      </c>
      <c r="AL214" s="71"/>
      <c r="AM214" s="71"/>
      <c r="AN214" s="71"/>
      <c r="AO214" s="71"/>
      <c r="AP214" s="71"/>
      <c r="AQ214" s="71"/>
      <c r="AR214" s="71">
        <v>44491</v>
      </c>
      <c r="AS214" s="71"/>
      <c r="AT214" s="71"/>
      <c r="AU214" s="71">
        <v>44456</v>
      </c>
      <c r="AV214" s="71"/>
      <c r="AW214" s="71">
        <v>44491</v>
      </c>
      <c r="AX214" s="71"/>
      <c r="AY214" s="71">
        <v>44449</v>
      </c>
      <c r="AZ214" s="71"/>
      <c r="BA214" s="71">
        <v>44489</v>
      </c>
      <c r="BB214" s="71">
        <v>44456</v>
      </c>
      <c r="BC214" s="71"/>
      <c r="BD214" s="71"/>
      <c r="BE214" s="71"/>
      <c r="BF214" s="71"/>
      <c r="BG214" s="71">
        <v>44482</v>
      </c>
      <c r="BH214" s="71"/>
      <c r="BI214" s="71"/>
      <c r="BJ214" s="71"/>
      <c r="BK214" s="70"/>
      <c r="BL214" s="70"/>
      <c r="BM214" s="70"/>
      <c r="BN214" s="70"/>
      <c r="BO214" s="70"/>
    </row>
    <row r="215" spans="1:67" x14ac:dyDescent="0.4">
      <c r="A215" s="86">
        <v>5130000</v>
      </c>
      <c r="B215" s="74" t="s">
        <v>207</v>
      </c>
      <c r="C215" s="71">
        <v>44358</v>
      </c>
      <c r="D215" s="71">
        <v>44356</v>
      </c>
      <c r="E215" s="71">
        <v>44357</v>
      </c>
      <c r="F215" s="71">
        <v>44462</v>
      </c>
      <c r="G215" s="71">
        <v>44483</v>
      </c>
      <c r="H215" s="71">
        <v>44357</v>
      </c>
      <c r="I215" s="71">
        <v>44356</v>
      </c>
      <c r="J215" s="71">
        <v>44467</v>
      </c>
      <c r="K215" s="71"/>
      <c r="L215" s="71">
        <v>44354</v>
      </c>
      <c r="M215" s="71">
        <v>44467</v>
      </c>
      <c r="N215" s="71">
        <v>44364</v>
      </c>
      <c r="O215" s="71">
        <v>44172</v>
      </c>
      <c r="P215" s="71">
        <v>44362</v>
      </c>
      <c r="Q215" s="71"/>
      <c r="R215" s="71"/>
      <c r="S215" s="71">
        <v>44361</v>
      </c>
      <c r="T215" s="71">
        <v>44357</v>
      </c>
      <c r="U215" s="71">
        <v>44362</v>
      </c>
      <c r="V215" s="71">
        <v>44361</v>
      </c>
      <c r="W215" s="71"/>
      <c r="X215" s="71"/>
      <c r="Y215" s="71"/>
      <c r="Z215" s="71"/>
      <c r="AA215" s="71">
        <v>44362</v>
      </c>
      <c r="AB215" s="71">
        <v>44362</v>
      </c>
      <c r="AC215" s="71">
        <v>44354</v>
      </c>
      <c r="AD215" s="71"/>
      <c r="AE215" s="71"/>
      <c r="AF215" s="71"/>
      <c r="AG215" s="71">
        <v>44362</v>
      </c>
      <c r="AH215" s="71">
        <v>44357</v>
      </c>
      <c r="AI215" s="71">
        <v>44175</v>
      </c>
      <c r="AJ215" s="71">
        <v>44172</v>
      </c>
      <c r="AK215" s="71"/>
      <c r="AL215" s="71"/>
      <c r="AM215" s="71"/>
      <c r="AN215" s="71"/>
      <c r="AO215" s="71"/>
      <c r="AP215" s="71"/>
      <c r="AQ215" s="71"/>
      <c r="AR215" s="71">
        <v>44356</v>
      </c>
      <c r="AS215" s="71"/>
      <c r="AT215" s="71"/>
      <c r="AU215" s="71">
        <v>44356</v>
      </c>
      <c r="AV215" s="71"/>
      <c r="AW215" s="71">
        <v>44361</v>
      </c>
      <c r="AX215" s="71">
        <v>44363</v>
      </c>
      <c r="AY215" s="71">
        <v>44358</v>
      </c>
      <c r="AZ215" s="71"/>
      <c r="BA215" s="71">
        <v>44357</v>
      </c>
      <c r="BB215" s="71">
        <v>44357</v>
      </c>
      <c r="BC215" s="71">
        <v>44361</v>
      </c>
      <c r="BD215" s="71"/>
      <c r="BE215" s="71"/>
      <c r="BF215" s="71"/>
      <c r="BG215" s="71"/>
      <c r="BH215" s="71"/>
      <c r="BI215" s="71"/>
      <c r="BJ215" s="71"/>
      <c r="BK215" s="70"/>
      <c r="BL215" s="70"/>
      <c r="BM215" s="70"/>
      <c r="BN215" s="70"/>
      <c r="BO215" s="70"/>
    </row>
    <row r="216" spans="1:67" x14ac:dyDescent="0.4">
      <c r="A216" s="86">
        <v>5140000</v>
      </c>
      <c r="B216" s="74" t="s">
        <v>208</v>
      </c>
      <c r="C216" s="71">
        <v>44496</v>
      </c>
      <c r="D216" s="71">
        <v>44496</v>
      </c>
      <c r="E216" s="71">
        <v>44496</v>
      </c>
      <c r="F216" s="71">
        <v>44496</v>
      </c>
      <c r="G216" s="71">
        <v>44496</v>
      </c>
      <c r="H216" s="71"/>
      <c r="I216" s="71">
        <v>44496</v>
      </c>
      <c r="J216" s="71">
        <v>44496</v>
      </c>
      <c r="K216" s="71">
        <v>44496</v>
      </c>
      <c r="L216" s="71"/>
      <c r="M216" s="71">
        <v>44496</v>
      </c>
      <c r="N216" s="72">
        <v>43742</v>
      </c>
      <c r="O216" s="71"/>
      <c r="P216" s="71">
        <v>44496</v>
      </c>
      <c r="Q216" s="71">
        <v>44496</v>
      </c>
      <c r="R216" s="71"/>
      <c r="S216" s="71">
        <v>44496</v>
      </c>
      <c r="T216" s="71">
        <v>44496</v>
      </c>
      <c r="U216" s="71">
        <v>44496</v>
      </c>
      <c r="V216" s="71">
        <v>44496</v>
      </c>
      <c r="W216" s="71"/>
      <c r="X216" s="71"/>
      <c r="Y216" s="71"/>
      <c r="Z216" s="71">
        <v>44496</v>
      </c>
      <c r="AA216" s="71"/>
      <c r="AB216" s="71">
        <v>44496</v>
      </c>
      <c r="AC216" s="71">
        <v>44496</v>
      </c>
      <c r="AD216" s="71">
        <v>44496</v>
      </c>
      <c r="AE216" s="71">
        <v>44496</v>
      </c>
      <c r="AF216" s="71"/>
      <c r="AG216" s="71"/>
      <c r="AH216" s="71"/>
      <c r="AI216" s="71">
        <v>44496</v>
      </c>
      <c r="AJ216" s="71">
        <v>44496</v>
      </c>
      <c r="AK216" s="71"/>
      <c r="AL216" s="71"/>
      <c r="AM216" s="71"/>
      <c r="AN216" s="71"/>
      <c r="AO216" s="71"/>
      <c r="AP216" s="71"/>
      <c r="AQ216" s="71"/>
      <c r="AR216" s="71"/>
      <c r="AS216" s="71"/>
      <c r="AT216" s="71"/>
      <c r="AU216" s="71">
        <v>44496</v>
      </c>
      <c r="AV216" s="71"/>
      <c r="AW216" s="71"/>
      <c r="AX216" s="71"/>
      <c r="AY216" s="71"/>
      <c r="AZ216" s="71"/>
      <c r="BA216" s="71"/>
      <c r="BB216" s="71">
        <v>44496</v>
      </c>
      <c r="BC216" s="71"/>
      <c r="BD216" s="71"/>
      <c r="BE216" s="71"/>
      <c r="BF216" s="71"/>
      <c r="BG216" s="71"/>
      <c r="BH216" s="71">
        <v>44496</v>
      </c>
      <c r="BI216" s="71"/>
      <c r="BJ216" s="71"/>
      <c r="BK216" s="70"/>
      <c r="BL216" s="70"/>
      <c r="BM216" s="70"/>
      <c r="BN216" s="70"/>
      <c r="BO216" s="70"/>
    </row>
    <row r="217" spans="1:67" x14ac:dyDescent="0.4">
      <c r="A217" s="86">
        <v>5150000</v>
      </c>
      <c r="B217" s="74" t="s">
        <v>209</v>
      </c>
      <c r="C217" s="71">
        <v>44393</v>
      </c>
      <c r="D217" s="71">
        <v>44189</v>
      </c>
      <c r="E217" s="71">
        <v>44393</v>
      </c>
      <c r="F217" s="71">
        <v>44498</v>
      </c>
      <c r="G217" s="71">
        <v>44498</v>
      </c>
      <c r="H217" s="71"/>
      <c r="I217" s="71">
        <v>44189</v>
      </c>
      <c r="J217" s="71">
        <v>44498</v>
      </c>
      <c r="K217" s="71">
        <v>44393</v>
      </c>
      <c r="L217" s="71"/>
      <c r="M217" s="71">
        <v>44498</v>
      </c>
      <c r="N217" s="71">
        <v>44189</v>
      </c>
      <c r="O217" s="71"/>
      <c r="P217" s="71"/>
      <c r="Q217" s="71"/>
      <c r="R217" s="71"/>
      <c r="S217" s="71">
        <v>44189</v>
      </c>
      <c r="T217" s="71">
        <v>44189</v>
      </c>
      <c r="U217" s="71">
        <v>44498</v>
      </c>
      <c r="V217" s="71"/>
      <c r="W217" s="71"/>
      <c r="X217" s="71"/>
      <c r="Y217" s="71"/>
      <c r="Z217" s="71">
        <v>44497</v>
      </c>
      <c r="AA217" s="71"/>
      <c r="AB217" s="71">
        <v>44189</v>
      </c>
      <c r="AC217" s="71">
        <v>44189</v>
      </c>
      <c r="AD217" s="71">
        <v>44189</v>
      </c>
      <c r="AE217" s="71">
        <v>44189</v>
      </c>
      <c r="AF217" s="71">
        <v>44393</v>
      </c>
      <c r="AG217" s="71"/>
      <c r="AH217" s="71">
        <v>44498</v>
      </c>
      <c r="AI217" s="71">
        <v>44189</v>
      </c>
      <c r="AJ217" s="71">
        <v>44189</v>
      </c>
      <c r="AK217" s="71"/>
      <c r="AL217" s="71"/>
      <c r="AM217" s="71"/>
      <c r="AN217" s="71"/>
      <c r="AO217" s="71"/>
      <c r="AP217" s="71">
        <v>44393</v>
      </c>
      <c r="AQ217" s="71"/>
      <c r="AR217" s="71"/>
      <c r="AS217" s="71"/>
      <c r="AT217" s="71"/>
      <c r="AU217" s="71">
        <v>44498</v>
      </c>
      <c r="AV217" s="71"/>
      <c r="AW217" s="71">
        <v>44497</v>
      </c>
      <c r="AX217" s="71">
        <v>44189</v>
      </c>
      <c r="AY217" s="71">
        <v>44393</v>
      </c>
      <c r="AZ217" s="71"/>
      <c r="BA217" s="71"/>
      <c r="BB217" s="71">
        <v>44393</v>
      </c>
      <c r="BC217" s="71"/>
      <c r="BD217" s="71"/>
      <c r="BE217" s="71"/>
      <c r="BF217" s="71"/>
      <c r="BG217" s="71">
        <v>44498</v>
      </c>
      <c r="BH217" s="71">
        <v>44497</v>
      </c>
      <c r="BI217" s="71"/>
      <c r="BJ217" s="71"/>
      <c r="BK217" s="70"/>
      <c r="BL217" s="70"/>
      <c r="BM217" s="70"/>
      <c r="BN217" s="70"/>
      <c r="BO217" s="70"/>
    </row>
    <row r="218" spans="1:67" x14ac:dyDescent="0.4">
      <c r="A218" s="86">
        <v>5160000</v>
      </c>
      <c r="B218" s="74" t="s">
        <v>210</v>
      </c>
      <c r="C218" s="71">
        <v>44448</v>
      </c>
      <c r="D218" s="71">
        <v>44462</v>
      </c>
      <c r="E218" s="71">
        <v>44455</v>
      </c>
      <c r="F218" s="71">
        <v>44447</v>
      </c>
      <c r="G218" s="71">
        <v>44463</v>
      </c>
      <c r="H218" s="71">
        <v>44487</v>
      </c>
      <c r="I218" s="71">
        <v>44372</v>
      </c>
      <c r="J218" s="71">
        <v>44467</v>
      </c>
      <c r="K218" s="71">
        <v>44469</v>
      </c>
      <c r="L218" s="71"/>
      <c r="M218" s="71">
        <v>44452</v>
      </c>
      <c r="N218" s="71">
        <v>44454</v>
      </c>
      <c r="O218" s="71"/>
      <c r="P218" s="71">
        <v>44466</v>
      </c>
      <c r="Q218" s="71">
        <v>44372</v>
      </c>
      <c r="R218" s="71"/>
      <c r="S218" s="71">
        <v>44454</v>
      </c>
      <c r="T218" s="71">
        <v>44452</v>
      </c>
      <c r="U218" s="71">
        <v>44463</v>
      </c>
      <c r="V218" s="71">
        <v>44467</v>
      </c>
      <c r="W218" s="71"/>
      <c r="X218" s="71"/>
      <c r="Y218" s="71"/>
      <c r="Z218" s="71"/>
      <c r="AA218" s="71"/>
      <c r="AB218" s="71">
        <v>44454</v>
      </c>
      <c r="AC218" s="71">
        <v>44467</v>
      </c>
      <c r="AD218" s="71">
        <v>44463</v>
      </c>
      <c r="AE218" s="71">
        <v>44487</v>
      </c>
      <c r="AF218" s="71"/>
      <c r="AG218" s="71"/>
      <c r="AH218" s="71"/>
      <c r="AI218" s="71"/>
      <c r="AJ218" s="71">
        <v>44376</v>
      </c>
      <c r="AK218" s="71"/>
      <c r="AL218" s="71"/>
      <c r="AM218" s="71"/>
      <c r="AN218" s="71"/>
      <c r="AO218" s="71"/>
      <c r="AP218" s="71"/>
      <c r="AQ218" s="71"/>
      <c r="AR218" s="71">
        <v>44456</v>
      </c>
      <c r="AS218" s="71"/>
      <c r="AT218" s="71"/>
      <c r="AU218" s="71">
        <v>44375</v>
      </c>
      <c r="AV218" s="71"/>
      <c r="AW218" s="71">
        <v>44456</v>
      </c>
      <c r="AX218" s="71"/>
      <c r="AY218" s="71">
        <v>44463</v>
      </c>
      <c r="AZ218" s="71"/>
      <c r="BA218" s="71"/>
      <c r="BB218" s="71"/>
      <c r="BC218" s="71"/>
      <c r="BD218" s="71"/>
      <c r="BE218" s="71"/>
      <c r="BF218" s="71"/>
      <c r="BG218" s="71">
        <v>44456</v>
      </c>
      <c r="BH218" s="71"/>
      <c r="BI218" s="71"/>
      <c r="BJ218" s="71"/>
      <c r="BK218" s="70"/>
      <c r="BL218" s="70"/>
      <c r="BM218" s="70"/>
      <c r="BN218" s="70"/>
      <c r="BO218" s="70"/>
    </row>
    <row r="219" spans="1:67" x14ac:dyDescent="0.4">
      <c r="A219" s="86">
        <v>5170000</v>
      </c>
      <c r="B219" s="74" t="s">
        <v>211</v>
      </c>
      <c r="C219" s="71">
        <v>44467</v>
      </c>
      <c r="D219" s="71">
        <v>44189</v>
      </c>
      <c r="E219" s="71">
        <v>44467</v>
      </c>
      <c r="F219" s="71">
        <v>44468</v>
      </c>
      <c r="G219" s="71">
        <v>44468</v>
      </c>
      <c r="H219" s="71"/>
      <c r="I219" s="71">
        <v>44468</v>
      </c>
      <c r="J219" s="71">
        <v>44468</v>
      </c>
      <c r="K219" s="71">
        <v>44442</v>
      </c>
      <c r="L219" s="71">
        <v>44468</v>
      </c>
      <c r="M219" s="71">
        <v>44467</v>
      </c>
      <c r="N219" s="71">
        <v>44193</v>
      </c>
      <c r="O219" s="71"/>
      <c r="P219" s="71">
        <v>44189</v>
      </c>
      <c r="Q219" s="71">
        <v>44189</v>
      </c>
      <c r="R219" s="71"/>
      <c r="S219" s="71">
        <v>44189</v>
      </c>
      <c r="T219" s="71">
        <v>44189</v>
      </c>
      <c r="U219" s="71">
        <v>44189</v>
      </c>
      <c r="V219" s="71">
        <v>44431</v>
      </c>
      <c r="W219" s="71"/>
      <c r="X219" s="71"/>
      <c r="Y219" s="71"/>
      <c r="Z219" s="71"/>
      <c r="AA219" s="71"/>
      <c r="AB219" s="71">
        <v>44193</v>
      </c>
      <c r="AC219" s="71">
        <v>44189</v>
      </c>
      <c r="AD219" s="71"/>
      <c r="AE219" s="71">
        <v>44189</v>
      </c>
      <c r="AF219" s="71"/>
      <c r="AG219" s="71"/>
      <c r="AH219" s="71"/>
      <c r="AI219" s="71"/>
      <c r="AJ219" s="71">
        <v>44189</v>
      </c>
      <c r="AK219" s="71"/>
      <c r="AL219" s="71"/>
      <c r="AM219" s="71"/>
      <c r="AN219" s="71"/>
      <c r="AO219" s="71"/>
      <c r="AP219" s="71"/>
      <c r="AQ219" s="71"/>
      <c r="AR219" s="71"/>
      <c r="AS219" s="71"/>
      <c r="AT219" s="71"/>
      <c r="AU219" s="71">
        <v>44467</v>
      </c>
      <c r="AV219" s="71"/>
      <c r="AW219" s="71">
        <v>44179</v>
      </c>
      <c r="AX219" s="71"/>
      <c r="AY219" s="71"/>
      <c r="AZ219" s="71"/>
      <c r="BA219" s="71">
        <v>44468</v>
      </c>
      <c r="BB219" s="71">
        <v>44467</v>
      </c>
      <c r="BC219" s="71"/>
      <c r="BD219" s="71"/>
      <c r="BE219" s="71"/>
      <c r="BF219" s="71"/>
      <c r="BG219" s="71"/>
      <c r="BH219" s="71"/>
      <c r="BI219" s="71"/>
      <c r="BJ219" s="71"/>
      <c r="BK219" s="70"/>
      <c r="BL219" s="70"/>
      <c r="BM219" s="70"/>
      <c r="BN219" s="70"/>
      <c r="BO219" s="70"/>
    </row>
    <row r="220" spans="1:67" x14ac:dyDescent="0.4">
      <c r="A220" s="86">
        <v>5180000</v>
      </c>
      <c r="B220" s="74" t="s">
        <v>219</v>
      </c>
      <c r="C220" s="71">
        <v>44454</v>
      </c>
      <c r="D220" s="71">
        <v>44454</v>
      </c>
      <c r="E220" s="71">
        <v>44454</v>
      </c>
      <c r="F220" s="71">
        <v>44459</v>
      </c>
      <c r="G220" s="71">
        <v>44454</v>
      </c>
      <c r="H220" s="71"/>
      <c r="I220" s="71">
        <v>44462</v>
      </c>
      <c r="J220" s="71">
        <v>44454</v>
      </c>
      <c r="K220" s="71"/>
      <c r="L220" s="71">
        <v>44462</v>
      </c>
      <c r="M220" s="71">
        <v>44454</v>
      </c>
      <c r="N220" s="71">
        <v>44454</v>
      </c>
      <c r="O220" s="71"/>
      <c r="P220" s="71">
        <v>44454</v>
      </c>
      <c r="Q220" s="71">
        <v>44454</v>
      </c>
      <c r="R220" s="71">
        <v>44454</v>
      </c>
      <c r="S220" s="71"/>
      <c r="T220" s="71">
        <v>44454</v>
      </c>
      <c r="U220" s="71">
        <v>44459</v>
      </c>
      <c r="V220" s="71">
        <v>44454</v>
      </c>
      <c r="W220" s="71"/>
      <c r="X220" s="71"/>
      <c r="Y220" s="71">
        <v>44454</v>
      </c>
      <c r="Z220" s="71">
        <v>44454</v>
      </c>
      <c r="AA220" s="71">
        <v>44454</v>
      </c>
      <c r="AB220" s="71">
        <v>44454</v>
      </c>
      <c r="AC220" s="71">
        <v>44459</v>
      </c>
      <c r="AD220" s="71"/>
      <c r="AE220" s="71"/>
      <c r="AF220" s="71"/>
      <c r="AG220" s="71"/>
      <c r="AH220" s="71">
        <v>44454</v>
      </c>
      <c r="AI220" s="71">
        <v>44454</v>
      </c>
      <c r="AJ220" s="71">
        <v>44454</v>
      </c>
      <c r="AK220" s="71">
        <v>44454</v>
      </c>
      <c r="AL220" s="71"/>
      <c r="AM220" s="71"/>
      <c r="AN220" s="71">
        <v>44454</v>
      </c>
      <c r="AO220" s="71"/>
      <c r="AP220" s="71">
        <v>44454</v>
      </c>
      <c r="AQ220" s="71">
        <v>44454</v>
      </c>
      <c r="AR220" s="71">
        <v>44454</v>
      </c>
      <c r="AS220" s="71">
        <v>44454</v>
      </c>
      <c r="AT220" s="71"/>
      <c r="AU220" s="71">
        <v>44454</v>
      </c>
      <c r="AV220" s="71"/>
      <c r="AW220" s="71">
        <v>44454</v>
      </c>
      <c r="AX220" s="71">
        <v>44454</v>
      </c>
      <c r="AY220" s="71"/>
      <c r="AZ220" s="71"/>
      <c r="BA220" s="71">
        <v>44454</v>
      </c>
      <c r="BB220" s="71"/>
      <c r="BC220" s="71"/>
      <c r="BD220" s="71"/>
      <c r="BE220" s="71"/>
      <c r="BF220" s="71"/>
      <c r="BG220" s="71"/>
      <c r="BH220" s="71"/>
      <c r="BI220" s="71"/>
      <c r="BJ220" s="71"/>
      <c r="BK220" s="70"/>
      <c r="BL220" s="70"/>
      <c r="BM220" s="70"/>
      <c r="BN220" s="70"/>
      <c r="BO220" s="70"/>
    </row>
    <row r="221" spans="1:67" x14ac:dyDescent="0.4">
      <c r="A221" s="86">
        <v>5190000</v>
      </c>
      <c r="B221" s="74" t="s">
        <v>214</v>
      </c>
      <c r="C221" s="71">
        <v>44440</v>
      </c>
      <c r="D221" s="71">
        <v>44448</v>
      </c>
      <c r="E221" s="71">
        <v>44434</v>
      </c>
      <c r="F221" s="71">
        <v>44483</v>
      </c>
      <c r="G221" s="71">
        <v>44483</v>
      </c>
      <c r="H221" s="71">
        <v>44428</v>
      </c>
      <c r="I221" s="71">
        <v>44440</v>
      </c>
      <c r="J221" s="71">
        <v>44483</v>
      </c>
      <c r="K221" s="71">
        <v>44448</v>
      </c>
      <c r="L221" s="71">
        <v>44428</v>
      </c>
      <c r="M221" s="71">
        <v>44483</v>
      </c>
      <c r="N221" s="71">
        <v>44434</v>
      </c>
      <c r="O221" s="71"/>
      <c r="P221" s="71">
        <v>44442</v>
      </c>
      <c r="Q221" s="71">
        <v>44428</v>
      </c>
      <c r="R221" s="71">
        <v>44428</v>
      </c>
      <c r="S221" s="71">
        <v>44428</v>
      </c>
      <c r="T221" s="71">
        <v>44428</v>
      </c>
      <c r="U221" s="71">
        <v>44448</v>
      </c>
      <c r="V221" s="71">
        <v>44428</v>
      </c>
      <c r="W221" s="71"/>
      <c r="X221" s="71"/>
      <c r="Y221" s="71"/>
      <c r="Z221" s="71">
        <v>44434</v>
      </c>
      <c r="AA221" s="71">
        <v>44428</v>
      </c>
      <c r="AB221" s="71">
        <v>44428</v>
      </c>
      <c r="AC221" s="71">
        <v>44428</v>
      </c>
      <c r="AD221" s="71"/>
      <c r="AE221" s="71"/>
      <c r="AF221" s="71"/>
      <c r="AG221" s="71"/>
      <c r="AH221" s="71">
        <v>44442</v>
      </c>
      <c r="AI221" s="71">
        <v>44434</v>
      </c>
      <c r="AJ221" s="71">
        <v>44434</v>
      </c>
      <c r="AK221" s="71"/>
      <c r="AL221" s="71"/>
      <c r="AM221" s="71">
        <v>44428</v>
      </c>
      <c r="AN221" s="71">
        <v>44428</v>
      </c>
      <c r="AO221" s="71"/>
      <c r="AP221" s="71"/>
      <c r="AQ221" s="71"/>
      <c r="AR221" s="71"/>
      <c r="AS221" s="71"/>
      <c r="AT221" s="71"/>
      <c r="AU221" s="71">
        <v>44442</v>
      </c>
      <c r="AV221" s="71"/>
      <c r="AW221" s="71">
        <v>44442</v>
      </c>
      <c r="AX221" s="71"/>
      <c r="AY221" s="71"/>
      <c r="AZ221" s="71"/>
      <c r="BA221" s="71">
        <v>44428</v>
      </c>
      <c r="BB221" s="71">
        <v>44428</v>
      </c>
      <c r="BC221" s="71"/>
      <c r="BD221" s="71"/>
      <c r="BE221" s="71"/>
      <c r="BF221" s="71"/>
      <c r="BG221" s="71"/>
      <c r="BH221" s="71"/>
      <c r="BI221" s="71"/>
      <c r="BJ221" s="71"/>
      <c r="BK221" s="70"/>
      <c r="BL221" s="70"/>
      <c r="BM221" s="70"/>
      <c r="BN221" s="70"/>
      <c r="BO221" s="70"/>
    </row>
    <row r="222" spans="1:67" x14ac:dyDescent="0.4">
      <c r="A222" s="86">
        <v>5200000</v>
      </c>
      <c r="B222" s="74" t="s">
        <v>220</v>
      </c>
      <c r="C222" s="71">
        <v>44504</v>
      </c>
      <c r="D222" s="71">
        <v>44504</v>
      </c>
      <c r="E222" s="71">
        <v>44504</v>
      </c>
      <c r="F222" s="71">
        <v>44504</v>
      </c>
      <c r="G222" s="71">
        <v>44498</v>
      </c>
      <c r="H222" s="71">
        <v>44477</v>
      </c>
      <c r="I222" s="71">
        <v>44504</v>
      </c>
      <c r="J222" s="71">
        <v>44495</v>
      </c>
      <c r="K222" s="71">
        <v>44504</v>
      </c>
      <c r="L222" s="71">
        <v>44504</v>
      </c>
      <c r="M222" s="71">
        <v>44504</v>
      </c>
      <c r="N222" s="71">
        <v>44504</v>
      </c>
      <c r="O222" s="71"/>
      <c r="P222" s="71"/>
      <c r="Q222" s="71"/>
      <c r="R222" s="71"/>
      <c r="S222" s="71">
        <v>44504</v>
      </c>
      <c r="T222" s="71">
        <v>44504</v>
      </c>
      <c r="U222" s="71"/>
      <c r="V222" s="71">
        <v>44504</v>
      </c>
      <c r="W222" s="71"/>
      <c r="X222" s="71"/>
      <c r="Y222" s="71"/>
      <c r="Z222" s="71"/>
      <c r="AA222" s="71"/>
      <c r="AB222" s="71">
        <v>44504</v>
      </c>
      <c r="AC222" s="71">
        <v>44488</v>
      </c>
      <c r="AD222" s="71">
        <v>44503</v>
      </c>
      <c r="AE222" s="71">
        <v>44490</v>
      </c>
      <c r="AF222" s="71"/>
      <c r="AG222" s="71"/>
      <c r="AH222" s="71"/>
      <c r="AI222" s="71">
        <v>44504</v>
      </c>
      <c r="AJ222" s="71">
        <v>44504</v>
      </c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  <c r="AV222" s="71"/>
      <c r="AW222" s="71"/>
      <c r="AX222" s="71"/>
      <c r="AY222" s="71"/>
      <c r="AZ222" s="71"/>
      <c r="BA222" s="71"/>
      <c r="BB222" s="71">
        <v>44504</v>
      </c>
      <c r="BC222" s="71"/>
      <c r="BD222" s="71"/>
      <c r="BE222" s="71"/>
      <c r="BF222" s="71"/>
      <c r="BG222" s="71"/>
      <c r="BH222" s="71">
        <v>44504</v>
      </c>
      <c r="BI222" s="71"/>
      <c r="BJ222" s="71"/>
      <c r="BK222" s="70"/>
      <c r="BL222" s="70"/>
      <c r="BM222" s="70"/>
      <c r="BN222" s="70"/>
      <c r="BO222" s="70"/>
    </row>
    <row r="223" spans="1:67" x14ac:dyDescent="0.4">
      <c r="A223" s="86">
        <v>5210000</v>
      </c>
      <c r="B223" s="74" t="s">
        <v>221</v>
      </c>
      <c r="C223" s="71">
        <v>44498</v>
      </c>
      <c r="D223" s="71">
        <v>44498</v>
      </c>
      <c r="E223" s="71">
        <v>44498</v>
      </c>
      <c r="F223" s="71">
        <v>44498</v>
      </c>
      <c r="G223" s="71">
        <v>44498</v>
      </c>
      <c r="H223" s="71">
        <v>44498</v>
      </c>
      <c r="I223" s="71">
        <v>44498</v>
      </c>
      <c r="J223" s="71">
        <v>44498</v>
      </c>
      <c r="K223" s="71">
        <v>44498</v>
      </c>
      <c r="L223" s="71">
        <v>44498</v>
      </c>
      <c r="M223" s="71">
        <v>44498</v>
      </c>
      <c r="N223" s="71">
        <v>44498</v>
      </c>
      <c r="O223" s="71"/>
      <c r="P223" s="72">
        <v>44035</v>
      </c>
      <c r="Q223" s="71"/>
      <c r="R223" s="71"/>
      <c r="S223" s="71">
        <v>44498</v>
      </c>
      <c r="T223" s="71">
        <v>44498</v>
      </c>
      <c r="U223" s="71">
        <v>44498</v>
      </c>
      <c r="V223" s="71">
        <v>44498</v>
      </c>
      <c r="W223" s="71"/>
      <c r="X223" s="71"/>
      <c r="Y223" s="71"/>
      <c r="Z223" s="71"/>
      <c r="AA223" s="71">
        <v>44498</v>
      </c>
      <c r="AB223" s="71">
        <v>44498</v>
      </c>
      <c r="AC223" s="71"/>
      <c r="AD223" s="71"/>
      <c r="AE223" s="71"/>
      <c r="AF223" s="71"/>
      <c r="AG223" s="71"/>
      <c r="AH223" s="71">
        <v>44498</v>
      </c>
      <c r="AI223" s="71"/>
      <c r="AJ223" s="71">
        <v>44498</v>
      </c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>
        <v>44498</v>
      </c>
      <c r="AV223" s="71"/>
      <c r="AW223" s="71">
        <v>44498</v>
      </c>
      <c r="AX223" s="71"/>
      <c r="AY223" s="71"/>
      <c r="AZ223" s="71"/>
      <c r="BA223" s="71">
        <v>44498</v>
      </c>
      <c r="BB223" s="71">
        <v>44498</v>
      </c>
      <c r="BC223" s="71"/>
      <c r="BD223" s="71">
        <v>44498</v>
      </c>
      <c r="BE223" s="71">
        <v>44498</v>
      </c>
      <c r="BF223" s="71"/>
      <c r="BG223" s="72">
        <v>44035</v>
      </c>
      <c r="BH223" s="71">
        <v>44498</v>
      </c>
      <c r="BI223" s="71"/>
      <c r="BJ223" s="71"/>
      <c r="BK223" s="70"/>
      <c r="BL223" s="70"/>
      <c r="BM223" s="70"/>
      <c r="BN223" s="70"/>
      <c r="BO223" s="70"/>
    </row>
    <row r="224" spans="1:67" x14ac:dyDescent="0.4">
      <c r="A224" s="86">
        <v>5220000</v>
      </c>
      <c r="B224" s="74" t="s">
        <v>213</v>
      </c>
      <c r="C224" s="71">
        <v>44498</v>
      </c>
      <c r="D224" s="71">
        <v>44498</v>
      </c>
      <c r="E224" s="71">
        <v>44498</v>
      </c>
      <c r="F224" s="71"/>
      <c r="G224" s="71">
        <v>44494</v>
      </c>
      <c r="H224" s="71">
        <v>44496</v>
      </c>
      <c r="I224" s="71">
        <v>44490</v>
      </c>
      <c r="J224" s="71">
        <v>44494</v>
      </c>
      <c r="K224" s="71">
        <v>44496</v>
      </c>
      <c r="L224" s="71"/>
      <c r="M224" s="72">
        <v>44202</v>
      </c>
      <c r="N224" s="71">
        <v>44491</v>
      </c>
      <c r="O224" s="71"/>
      <c r="P224" s="71">
        <v>44498</v>
      </c>
      <c r="Q224" s="71">
        <v>44498</v>
      </c>
      <c r="R224" s="71"/>
      <c r="S224" s="71">
        <v>44202</v>
      </c>
      <c r="T224" s="71">
        <v>44490</v>
      </c>
      <c r="U224" s="71">
        <v>44495</v>
      </c>
      <c r="V224" s="71">
        <v>44482</v>
      </c>
      <c r="W224" s="71"/>
      <c r="X224" s="71"/>
      <c r="Y224" s="71"/>
      <c r="Z224" s="71">
        <v>44498</v>
      </c>
      <c r="AA224" s="71">
        <v>44483</v>
      </c>
      <c r="AB224" s="71">
        <v>44481</v>
      </c>
      <c r="AC224" s="71">
        <v>44498</v>
      </c>
      <c r="AD224" s="71"/>
      <c r="AE224" s="71">
        <v>44498</v>
      </c>
      <c r="AF224" s="71"/>
      <c r="AG224" s="71"/>
      <c r="AH224" s="71">
        <v>44498</v>
      </c>
      <c r="AI224" s="71">
        <v>44483</v>
      </c>
      <c r="AJ224" s="71">
        <v>44483</v>
      </c>
      <c r="AK224" s="71">
        <v>44498</v>
      </c>
      <c r="AL224" s="71"/>
      <c r="AM224" s="71"/>
      <c r="AN224" s="71"/>
      <c r="AO224" s="71"/>
      <c r="AP224" s="71"/>
      <c r="AQ224" s="71"/>
      <c r="AR224" s="71"/>
      <c r="AS224" s="71"/>
      <c r="AT224" s="71"/>
      <c r="AU224" s="71">
        <v>44498</v>
      </c>
      <c r="AV224" s="71"/>
      <c r="AW224" s="71">
        <v>44498</v>
      </c>
      <c r="AX224" s="71">
        <v>44496</v>
      </c>
      <c r="AY224" s="71">
        <v>44497</v>
      </c>
      <c r="AZ224" s="71"/>
      <c r="BA224" s="71"/>
      <c r="BB224" s="72">
        <v>44202</v>
      </c>
      <c r="BC224" s="71">
        <v>44496</v>
      </c>
      <c r="BD224" s="71"/>
      <c r="BE224" s="71"/>
      <c r="BF224" s="71"/>
      <c r="BG224" s="71"/>
      <c r="BH224" s="71"/>
      <c r="BI224" s="71"/>
      <c r="BJ224" s="71"/>
      <c r="BK224" s="70"/>
      <c r="BL224" s="70"/>
      <c r="BM224" s="70"/>
      <c r="BN224" s="70"/>
      <c r="BO224" s="70"/>
    </row>
    <row r="225" spans="1:67" x14ac:dyDescent="0.4">
      <c r="A225" s="86">
        <v>5230000</v>
      </c>
      <c r="B225" s="74" t="s">
        <v>212</v>
      </c>
      <c r="C225" s="71">
        <v>44503</v>
      </c>
      <c r="D225" s="71">
        <v>44456</v>
      </c>
      <c r="E225" s="71">
        <v>44440</v>
      </c>
      <c r="F225" s="71">
        <v>44457</v>
      </c>
      <c r="G225" s="71"/>
      <c r="H225" s="71">
        <v>44498</v>
      </c>
      <c r="I225" s="71">
        <v>44397</v>
      </c>
      <c r="J225" s="71">
        <v>44414</v>
      </c>
      <c r="K225" s="71">
        <v>44454</v>
      </c>
      <c r="L225" s="71"/>
      <c r="M225" s="71">
        <v>44417</v>
      </c>
      <c r="N225" s="71">
        <v>44457</v>
      </c>
      <c r="O225" s="71">
        <v>44383</v>
      </c>
      <c r="P225" s="71">
        <v>44462</v>
      </c>
      <c r="Q225" s="71"/>
      <c r="R225" s="71">
        <v>44462</v>
      </c>
      <c r="S225" s="71">
        <v>44456</v>
      </c>
      <c r="T225" s="71">
        <v>44454</v>
      </c>
      <c r="U225" s="71">
        <v>44462</v>
      </c>
      <c r="V225" s="71"/>
      <c r="W225" s="71"/>
      <c r="X225" s="71"/>
      <c r="Y225" s="71">
        <v>44454</v>
      </c>
      <c r="Z225" s="71">
        <v>44462</v>
      </c>
      <c r="AA225" s="71"/>
      <c r="AB225" s="71">
        <v>44502</v>
      </c>
      <c r="AC225" s="71">
        <v>44456</v>
      </c>
      <c r="AD225" s="71"/>
      <c r="AE225" s="71"/>
      <c r="AF225" s="71"/>
      <c r="AG225" s="71"/>
      <c r="AH225" s="71">
        <v>44503</v>
      </c>
      <c r="AI225" s="71"/>
      <c r="AJ225" s="71">
        <v>44286</v>
      </c>
      <c r="AK225" s="71"/>
      <c r="AL225" s="71"/>
      <c r="AM225" s="71"/>
      <c r="AN225" s="71"/>
      <c r="AO225" s="71"/>
      <c r="AP225" s="71"/>
      <c r="AQ225" s="71">
        <v>44390</v>
      </c>
      <c r="AR225" s="71">
        <v>44504</v>
      </c>
      <c r="AS225" s="71"/>
      <c r="AT225" s="71"/>
      <c r="AU225" s="71">
        <v>44456</v>
      </c>
      <c r="AV225" s="71"/>
      <c r="AW225" s="71">
        <v>44498</v>
      </c>
      <c r="AX225" s="71"/>
      <c r="AY225" s="71"/>
      <c r="AZ225" s="71"/>
      <c r="BA225" s="71"/>
      <c r="BB225" s="71"/>
      <c r="BC225" s="71"/>
      <c r="BD225" s="71"/>
      <c r="BE225" s="71"/>
      <c r="BF225" s="71"/>
      <c r="BG225" s="71">
        <v>44503</v>
      </c>
      <c r="BH225" s="71">
        <v>44462</v>
      </c>
      <c r="BI225" s="71"/>
      <c r="BJ225" s="71"/>
      <c r="BK225" s="70"/>
      <c r="BL225" s="70"/>
      <c r="BM225" s="70"/>
      <c r="BN225" s="70"/>
      <c r="BO225" s="70"/>
    </row>
    <row r="226" spans="1:67" x14ac:dyDescent="0.4">
      <c r="A226" s="86">
        <v>5240000</v>
      </c>
      <c r="B226" s="74" t="s">
        <v>222</v>
      </c>
      <c r="C226" s="71">
        <v>44476</v>
      </c>
      <c r="D226" s="71">
        <v>44468</v>
      </c>
      <c r="E226" s="71">
        <v>44475</v>
      </c>
      <c r="F226" s="71">
        <v>44490</v>
      </c>
      <c r="G226" s="71">
        <v>44490</v>
      </c>
      <c r="H226" s="71"/>
      <c r="I226" s="71"/>
      <c r="J226" s="71">
        <v>44475</v>
      </c>
      <c r="K226" s="71">
        <v>44475</v>
      </c>
      <c r="L226" s="71">
        <v>44329</v>
      </c>
      <c r="M226" s="71">
        <v>44477</v>
      </c>
      <c r="N226" s="71">
        <v>44468</v>
      </c>
      <c r="O226" s="71">
        <v>44486</v>
      </c>
      <c r="P226" s="71">
        <v>44330</v>
      </c>
      <c r="Q226" s="71">
        <v>44486</v>
      </c>
      <c r="R226" s="71"/>
      <c r="S226" s="71">
        <v>44468</v>
      </c>
      <c r="T226" s="71">
        <v>44486</v>
      </c>
      <c r="U226" s="71">
        <v>44468</v>
      </c>
      <c r="V226" s="71"/>
      <c r="W226" s="71"/>
      <c r="X226" s="71"/>
      <c r="Y226" s="71"/>
      <c r="Z226" s="71"/>
      <c r="AA226" s="71">
        <v>44486</v>
      </c>
      <c r="AB226" s="71">
        <v>44486</v>
      </c>
      <c r="AC226" s="71">
        <v>44468</v>
      </c>
      <c r="AD226" s="71">
        <v>44486</v>
      </c>
      <c r="AE226" s="71"/>
      <c r="AF226" s="71"/>
      <c r="AG226" s="71"/>
      <c r="AH226" s="71"/>
      <c r="AI226" s="71"/>
      <c r="AJ226" s="71">
        <v>44292</v>
      </c>
      <c r="AK226" s="71"/>
      <c r="AL226" s="71"/>
      <c r="AM226" s="71">
        <v>44329</v>
      </c>
      <c r="AN226" s="71"/>
      <c r="AO226" s="71"/>
      <c r="AP226" s="71">
        <v>44502</v>
      </c>
      <c r="AQ226" s="71"/>
      <c r="AR226" s="71"/>
      <c r="AS226" s="71"/>
      <c r="AT226" s="71"/>
      <c r="AU226" s="71">
        <v>44475</v>
      </c>
      <c r="AV226" s="71"/>
      <c r="AW226" s="71">
        <v>44468</v>
      </c>
      <c r="AX226" s="71"/>
      <c r="AY226" s="71"/>
      <c r="AZ226" s="71"/>
      <c r="BA226" s="71">
        <v>44475</v>
      </c>
      <c r="BB226" s="71">
        <v>44477</v>
      </c>
      <c r="BC226" s="71"/>
      <c r="BD226" s="71"/>
      <c r="BE226" s="71"/>
      <c r="BF226" s="71"/>
      <c r="BG226" s="71">
        <v>44475</v>
      </c>
      <c r="BH226" s="71"/>
      <c r="BI226" s="71"/>
      <c r="BJ226" s="71"/>
      <c r="BK226" s="70"/>
      <c r="BL226" s="70"/>
      <c r="BM226" s="70"/>
      <c r="BN226" s="70"/>
      <c r="BO226" s="70"/>
    </row>
    <row r="227" spans="1:67" x14ac:dyDescent="0.4">
      <c r="A227" s="86">
        <v>5250000</v>
      </c>
      <c r="B227" s="74" t="s">
        <v>223</v>
      </c>
      <c r="C227" s="71">
        <v>44498</v>
      </c>
      <c r="D227" s="71">
        <v>44500</v>
      </c>
      <c r="E227" s="71">
        <v>44498</v>
      </c>
      <c r="F227" s="71">
        <v>44495</v>
      </c>
      <c r="G227" s="72">
        <v>43742</v>
      </c>
      <c r="H227" s="71"/>
      <c r="I227" s="71">
        <v>44336</v>
      </c>
      <c r="J227" s="71">
        <v>44500</v>
      </c>
      <c r="K227" s="71">
        <v>44496</v>
      </c>
      <c r="L227" s="71">
        <v>44330</v>
      </c>
      <c r="M227" s="71">
        <v>44497</v>
      </c>
      <c r="N227" s="71">
        <v>44330</v>
      </c>
      <c r="O227" s="71">
        <v>44336</v>
      </c>
      <c r="P227" s="71">
        <v>44336</v>
      </c>
      <c r="Q227" s="71">
        <v>44330</v>
      </c>
      <c r="R227" s="71"/>
      <c r="S227" s="71">
        <v>44330</v>
      </c>
      <c r="T227" s="71">
        <v>44330</v>
      </c>
      <c r="U227" s="71">
        <v>44500</v>
      </c>
      <c r="V227" s="71">
        <v>44336</v>
      </c>
      <c r="W227" s="71"/>
      <c r="X227" s="71"/>
      <c r="Y227" s="71"/>
      <c r="Z227" s="71"/>
      <c r="AA227" s="71">
        <v>44336</v>
      </c>
      <c r="AB227" s="71">
        <v>44336</v>
      </c>
      <c r="AC227" s="71">
        <v>44330</v>
      </c>
      <c r="AD227" s="71">
        <v>44398</v>
      </c>
      <c r="AE227" s="71">
        <v>44336</v>
      </c>
      <c r="AF227" s="71"/>
      <c r="AG227" s="71"/>
      <c r="AH227" s="71">
        <v>44498</v>
      </c>
      <c r="AI227" s="71">
        <v>44336</v>
      </c>
      <c r="AJ227" s="71">
        <v>44336</v>
      </c>
      <c r="AK227" s="71"/>
      <c r="AL227" s="71"/>
      <c r="AM227" s="71"/>
      <c r="AN227" s="71"/>
      <c r="AO227" s="71"/>
      <c r="AP227" s="71"/>
      <c r="AQ227" s="71">
        <v>44336</v>
      </c>
      <c r="AR227" s="71">
        <v>44498</v>
      </c>
      <c r="AS227" s="71"/>
      <c r="AT227" s="71"/>
      <c r="AU227" s="71">
        <v>44498</v>
      </c>
      <c r="AV227" s="71"/>
      <c r="AW227" s="71">
        <v>44330</v>
      </c>
      <c r="AX227" s="71"/>
      <c r="AY227" s="71">
        <v>44498</v>
      </c>
      <c r="AZ227" s="71"/>
      <c r="BA227" s="71"/>
      <c r="BB227" s="71">
        <v>44498</v>
      </c>
      <c r="BC227" s="71"/>
      <c r="BD227" s="71"/>
      <c r="BE227" s="71"/>
      <c r="BF227" s="71"/>
      <c r="BG227" s="71">
        <v>44498</v>
      </c>
      <c r="BH227" s="71"/>
      <c r="BI227" s="71"/>
      <c r="BJ227" s="71"/>
      <c r="BK227" s="70"/>
      <c r="BL227" s="70"/>
      <c r="BM227" s="70"/>
      <c r="BN227" s="70"/>
      <c r="BO227" s="70"/>
    </row>
    <row r="228" spans="1:67" x14ac:dyDescent="0.4">
      <c r="A228" s="86">
        <v>5260000</v>
      </c>
      <c r="B228" s="74" t="s">
        <v>215</v>
      </c>
      <c r="C228" s="71">
        <v>44469</v>
      </c>
      <c r="D228" s="71">
        <v>44469</v>
      </c>
      <c r="E228" s="71">
        <v>44469</v>
      </c>
      <c r="F228" s="71">
        <v>44469</v>
      </c>
      <c r="G228" s="71">
        <v>44469</v>
      </c>
      <c r="H228" s="71"/>
      <c r="I228" s="71"/>
      <c r="J228" s="71"/>
      <c r="K228" s="71"/>
      <c r="L228" s="71">
        <v>44469</v>
      </c>
      <c r="M228" s="71">
        <v>44469</v>
      </c>
      <c r="N228" s="71">
        <v>44469</v>
      </c>
      <c r="O228" s="71"/>
      <c r="P228" s="71"/>
      <c r="Q228" s="71"/>
      <c r="R228" s="71"/>
      <c r="S228" s="71">
        <v>44469</v>
      </c>
      <c r="T228" s="71"/>
      <c r="U228" s="71">
        <v>44469</v>
      </c>
      <c r="V228" s="71">
        <v>44469</v>
      </c>
      <c r="W228" s="71"/>
      <c r="X228" s="71"/>
      <c r="Y228" s="71"/>
      <c r="Z228" s="71"/>
      <c r="AA228" s="71">
        <v>44469</v>
      </c>
      <c r="AB228" s="71">
        <v>44469</v>
      </c>
      <c r="AC228" s="71"/>
      <c r="AD228" s="71"/>
      <c r="AE228" s="71"/>
      <c r="AF228" s="71"/>
      <c r="AG228" s="71"/>
      <c r="AH228" s="71">
        <v>44469</v>
      </c>
      <c r="AI228" s="71"/>
      <c r="AJ228" s="71">
        <v>44469</v>
      </c>
      <c r="AK228" s="71"/>
      <c r="AL228" s="71"/>
      <c r="AM228" s="71"/>
      <c r="AN228" s="71"/>
      <c r="AO228" s="71"/>
      <c r="AP228" s="71"/>
      <c r="AQ228" s="71"/>
      <c r="AR228" s="71"/>
      <c r="AS228" s="71"/>
      <c r="AT228" s="71"/>
      <c r="AU228" s="71">
        <v>44469</v>
      </c>
      <c r="AV228" s="71"/>
      <c r="AW228" s="71">
        <v>44469</v>
      </c>
      <c r="AX228" s="71"/>
      <c r="AY228" s="71"/>
      <c r="AZ228" s="71"/>
      <c r="BA228" s="71"/>
      <c r="BB228" s="71"/>
      <c r="BC228" s="71"/>
      <c r="BD228" s="71"/>
      <c r="BE228" s="71"/>
      <c r="BF228" s="71"/>
      <c r="BG228" s="71"/>
      <c r="BH228" s="71"/>
      <c r="BI228" s="71"/>
      <c r="BJ228" s="71"/>
      <c r="BK228" s="70"/>
      <c r="BL228" s="70"/>
      <c r="BM228" s="70"/>
      <c r="BN228" s="70"/>
      <c r="BO228" s="70"/>
    </row>
    <row r="229" spans="1:67" x14ac:dyDescent="0.4">
      <c r="A229" s="86">
        <v>6480000</v>
      </c>
      <c r="B229" s="74" t="s">
        <v>224</v>
      </c>
      <c r="C229" s="71"/>
      <c r="D229" s="71"/>
      <c r="E229" s="71">
        <v>44497</v>
      </c>
      <c r="F229" s="71"/>
      <c r="G229" s="71"/>
      <c r="H229" s="71"/>
      <c r="I229" s="71">
        <v>44497</v>
      </c>
      <c r="J229" s="71">
        <v>44497</v>
      </c>
      <c r="K229" s="71">
        <v>44496</v>
      </c>
      <c r="L229" s="71">
        <v>44497</v>
      </c>
      <c r="M229" s="71"/>
      <c r="N229" s="71"/>
      <c r="O229" s="71"/>
      <c r="P229" s="71"/>
      <c r="Q229" s="71"/>
      <c r="R229" s="71"/>
      <c r="S229" s="71">
        <v>44497</v>
      </c>
      <c r="T229" s="71">
        <v>44497</v>
      </c>
      <c r="U229" s="71"/>
      <c r="V229" s="71">
        <v>44497</v>
      </c>
      <c r="W229" s="71"/>
      <c r="X229" s="71"/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>
        <v>44496</v>
      </c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  <c r="AV229" s="71"/>
      <c r="AW229" s="71">
        <v>44497</v>
      </c>
      <c r="AX229" s="71"/>
      <c r="AY229" s="71"/>
      <c r="AZ229" s="71"/>
      <c r="BA229" s="71"/>
      <c r="BB229" s="71">
        <v>44497</v>
      </c>
      <c r="BC229" s="71"/>
      <c r="BD229" s="71"/>
      <c r="BE229" s="71"/>
      <c r="BF229" s="71"/>
      <c r="BG229" s="71"/>
      <c r="BH229" s="71"/>
      <c r="BI229" s="71">
        <v>44497</v>
      </c>
      <c r="BJ229" s="71">
        <v>44497</v>
      </c>
      <c r="BK229" s="70"/>
      <c r="BL229" s="70"/>
      <c r="BM229" s="70"/>
      <c r="BN229" s="70"/>
      <c r="BO229" s="70"/>
    </row>
    <row r="230" spans="1:67" x14ac:dyDescent="0.4">
      <c r="A230" s="86">
        <v>5670000</v>
      </c>
      <c r="B230" s="74" t="s">
        <v>225</v>
      </c>
      <c r="C230" s="71">
        <v>44489</v>
      </c>
      <c r="D230" s="71">
        <v>44453</v>
      </c>
      <c r="E230" s="71">
        <v>44489</v>
      </c>
      <c r="F230" s="71">
        <v>44488</v>
      </c>
      <c r="G230" s="71">
        <v>44488</v>
      </c>
      <c r="H230" s="71">
        <v>44490</v>
      </c>
      <c r="I230" s="71">
        <v>44453</v>
      </c>
      <c r="J230" s="71">
        <v>44487</v>
      </c>
      <c r="K230" s="71"/>
      <c r="L230" s="71">
        <v>44452</v>
      </c>
      <c r="M230" s="71">
        <v>44487</v>
      </c>
      <c r="N230" s="71">
        <v>44489</v>
      </c>
      <c r="O230" s="71">
        <v>44488</v>
      </c>
      <c r="P230" s="71">
        <v>44490</v>
      </c>
      <c r="Q230" s="71">
        <v>44487</v>
      </c>
      <c r="R230" s="71">
        <v>44455</v>
      </c>
      <c r="S230" s="71">
        <v>44488</v>
      </c>
      <c r="T230" s="71">
        <v>44453</v>
      </c>
      <c r="U230" s="71">
        <v>44488</v>
      </c>
      <c r="V230" s="71">
        <v>44453</v>
      </c>
      <c r="W230" s="71"/>
      <c r="X230" s="71">
        <v>44484</v>
      </c>
      <c r="Y230" s="71"/>
      <c r="Z230" s="71">
        <v>44484</v>
      </c>
      <c r="AA230" s="71">
        <v>44489</v>
      </c>
      <c r="AB230" s="71">
        <v>44484</v>
      </c>
      <c r="AC230" s="71">
        <v>44455</v>
      </c>
      <c r="AD230" s="71">
        <v>44488</v>
      </c>
      <c r="AE230" s="71">
        <v>44485</v>
      </c>
      <c r="AF230" s="71"/>
      <c r="AG230" s="71">
        <v>44489</v>
      </c>
      <c r="AH230" s="71">
        <v>44491</v>
      </c>
      <c r="AI230" s="71">
        <v>44455</v>
      </c>
      <c r="AJ230" s="71">
        <v>44484</v>
      </c>
      <c r="AK230" s="71">
        <v>44488</v>
      </c>
      <c r="AL230" s="71"/>
      <c r="AM230" s="71">
        <v>44452</v>
      </c>
      <c r="AN230" s="71"/>
      <c r="AO230" s="71">
        <v>44438</v>
      </c>
      <c r="AP230" s="71"/>
      <c r="AQ230" s="71"/>
      <c r="AR230" s="71">
        <v>44496</v>
      </c>
      <c r="AS230" s="71"/>
      <c r="AT230" s="71"/>
      <c r="AU230" s="71">
        <v>44495</v>
      </c>
      <c r="AV230" s="71"/>
      <c r="AW230" s="71">
        <v>44489</v>
      </c>
      <c r="AX230" s="71">
        <v>44445</v>
      </c>
      <c r="AY230" s="71">
        <v>44489</v>
      </c>
      <c r="AZ230" s="71"/>
      <c r="BA230" s="71">
        <v>44489</v>
      </c>
      <c r="BB230" s="71">
        <v>44488</v>
      </c>
      <c r="BC230" s="71">
        <v>44488</v>
      </c>
      <c r="BD230" s="71">
        <v>44488</v>
      </c>
      <c r="BE230" s="71">
        <v>44484</v>
      </c>
      <c r="BF230" s="71"/>
      <c r="BG230" s="71"/>
      <c r="BH230" s="71">
        <v>44487</v>
      </c>
      <c r="BI230" s="71"/>
      <c r="BJ230" s="71"/>
      <c r="BK230" s="70"/>
      <c r="BL230" s="70"/>
      <c r="BM230" s="70"/>
      <c r="BN230" s="70"/>
      <c r="BO230" s="70"/>
    </row>
    <row r="231" spans="1:67" x14ac:dyDescent="0.4">
      <c r="A231" s="86">
        <v>5310000</v>
      </c>
      <c r="B231" s="74" t="s">
        <v>226</v>
      </c>
      <c r="C231" s="71">
        <v>44404</v>
      </c>
      <c r="D231" s="71">
        <v>44405</v>
      </c>
      <c r="E231" s="71">
        <v>44405</v>
      </c>
      <c r="F231" s="71">
        <v>44474</v>
      </c>
      <c r="G231" s="71">
        <v>44498</v>
      </c>
      <c r="H231" s="71">
        <v>44405</v>
      </c>
      <c r="I231" s="71">
        <v>44406</v>
      </c>
      <c r="J231" s="71">
        <v>44440</v>
      </c>
      <c r="K231" s="71"/>
      <c r="L231" s="71">
        <v>44365</v>
      </c>
      <c r="M231" s="71">
        <v>44498</v>
      </c>
      <c r="N231" s="71">
        <v>44188</v>
      </c>
      <c r="O231" s="71">
        <v>44365</v>
      </c>
      <c r="P231" s="71">
        <v>44187</v>
      </c>
      <c r="Q231" s="71">
        <v>44181</v>
      </c>
      <c r="R231" s="71">
        <v>44378</v>
      </c>
      <c r="S231" s="71">
        <v>44365</v>
      </c>
      <c r="T231" s="71">
        <v>44182</v>
      </c>
      <c r="U231" s="71">
        <v>44379</v>
      </c>
      <c r="V231" s="71">
        <v>44476</v>
      </c>
      <c r="W231" s="71"/>
      <c r="X231" s="71"/>
      <c r="Y231" s="71"/>
      <c r="Z231" s="71">
        <v>44379</v>
      </c>
      <c r="AA231" s="71">
        <v>44349</v>
      </c>
      <c r="AB231" s="71">
        <v>44349</v>
      </c>
      <c r="AC231" s="71">
        <v>44184</v>
      </c>
      <c r="AD231" s="71"/>
      <c r="AE231" s="71"/>
      <c r="AF231" s="71"/>
      <c r="AG231" s="71">
        <v>44364</v>
      </c>
      <c r="AH231" s="71">
        <v>44378</v>
      </c>
      <c r="AI231" s="71">
        <v>44176</v>
      </c>
      <c r="AJ231" s="71">
        <v>44176</v>
      </c>
      <c r="AK231" s="71"/>
      <c r="AL231" s="71"/>
      <c r="AM231" s="71"/>
      <c r="AN231" s="71"/>
      <c r="AO231" s="71"/>
      <c r="AP231" s="71"/>
      <c r="AQ231" s="71"/>
      <c r="AR231" s="71">
        <v>44433</v>
      </c>
      <c r="AS231" s="71"/>
      <c r="AT231" s="71"/>
      <c r="AU231" s="71">
        <v>44428</v>
      </c>
      <c r="AV231" s="71"/>
      <c r="AW231" s="71">
        <v>44495</v>
      </c>
      <c r="AX231" s="71">
        <v>44181</v>
      </c>
      <c r="AY231" s="71">
        <v>44407</v>
      </c>
      <c r="AZ231" s="71"/>
      <c r="BA231" s="71">
        <v>44499</v>
      </c>
      <c r="BB231" s="71">
        <v>44364</v>
      </c>
      <c r="BC231" s="71">
        <v>44364</v>
      </c>
      <c r="BD231" s="71"/>
      <c r="BE231" s="71">
        <v>44364</v>
      </c>
      <c r="BF231" s="71"/>
      <c r="BG231" s="71"/>
      <c r="BH231" s="71"/>
      <c r="BI231" s="71"/>
      <c r="BJ231" s="71"/>
      <c r="BK231" s="70"/>
      <c r="BL231" s="70"/>
      <c r="BM231" s="70"/>
      <c r="BN231" s="70"/>
      <c r="BO231" s="70"/>
    </row>
    <row r="232" spans="1:67" x14ac:dyDescent="0.4">
      <c r="A232" s="86">
        <v>5330000</v>
      </c>
      <c r="B232" s="74" t="s">
        <v>227</v>
      </c>
      <c r="C232" s="71">
        <v>44487</v>
      </c>
      <c r="D232" s="71">
        <v>44488</v>
      </c>
      <c r="E232" s="71">
        <v>44477</v>
      </c>
      <c r="F232" s="71">
        <v>44482</v>
      </c>
      <c r="G232" s="71">
        <v>44487</v>
      </c>
      <c r="H232" s="71">
        <v>44476</v>
      </c>
      <c r="I232" s="71">
        <v>44488</v>
      </c>
      <c r="J232" s="71">
        <v>44487</v>
      </c>
      <c r="K232" s="71"/>
      <c r="L232" s="71">
        <v>44488</v>
      </c>
      <c r="M232" s="71">
        <v>44476</v>
      </c>
      <c r="N232" s="71">
        <v>44488</v>
      </c>
      <c r="O232" s="71"/>
      <c r="P232" s="71">
        <v>44488</v>
      </c>
      <c r="Q232" s="71">
        <v>44482</v>
      </c>
      <c r="R232" s="71"/>
      <c r="S232" s="71">
        <v>44477</v>
      </c>
      <c r="T232" s="71"/>
      <c r="U232" s="71">
        <v>44477</v>
      </c>
      <c r="V232" s="71">
        <v>44488</v>
      </c>
      <c r="W232" s="71"/>
      <c r="X232" s="71"/>
      <c r="Y232" s="71"/>
      <c r="Z232" s="71">
        <v>44487</v>
      </c>
      <c r="AA232" s="71">
        <v>44477</v>
      </c>
      <c r="AB232" s="71">
        <v>44476</v>
      </c>
      <c r="AC232" s="71">
        <v>44482</v>
      </c>
      <c r="AD232" s="71">
        <v>44488</v>
      </c>
      <c r="AE232" s="71"/>
      <c r="AF232" s="71"/>
      <c r="AG232" s="71">
        <v>44477</v>
      </c>
      <c r="AH232" s="71">
        <v>44476</v>
      </c>
      <c r="AI232" s="71">
        <v>44487</v>
      </c>
      <c r="AJ232" s="71">
        <v>44487</v>
      </c>
      <c r="AK232" s="71"/>
      <c r="AL232" s="71"/>
      <c r="AM232" s="71"/>
      <c r="AN232" s="71"/>
      <c r="AO232" s="71"/>
      <c r="AP232" s="71"/>
      <c r="AQ232" s="71">
        <v>44488</v>
      </c>
      <c r="AR232" s="71"/>
      <c r="AS232" s="71">
        <v>44475</v>
      </c>
      <c r="AT232" s="71"/>
      <c r="AU232" s="71">
        <v>44476</v>
      </c>
      <c r="AV232" s="71"/>
      <c r="AW232" s="71">
        <v>44476</v>
      </c>
      <c r="AX232" s="71">
        <v>44477</v>
      </c>
      <c r="AY232" s="71">
        <v>44477</v>
      </c>
      <c r="AZ232" s="71"/>
      <c r="BA232" s="71">
        <v>44487</v>
      </c>
      <c r="BB232" s="71">
        <v>44477</v>
      </c>
      <c r="BC232" s="71"/>
      <c r="BD232" s="71"/>
      <c r="BE232" s="71"/>
      <c r="BF232" s="71"/>
      <c r="BG232" s="71"/>
      <c r="BH232" s="71"/>
      <c r="BI232" s="71"/>
      <c r="BJ232" s="71"/>
      <c r="BK232" s="70"/>
      <c r="BL232" s="70"/>
      <c r="BM232" s="70"/>
      <c r="BN232" s="70"/>
      <c r="BO232" s="70"/>
    </row>
    <row r="233" spans="1:67" x14ac:dyDescent="0.4">
      <c r="A233" s="86">
        <v>5340000</v>
      </c>
      <c r="B233" s="74" t="s">
        <v>228</v>
      </c>
      <c r="C233" s="71">
        <v>44489</v>
      </c>
      <c r="D233" s="71">
        <v>44483</v>
      </c>
      <c r="E233" s="71">
        <v>44474</v>
      </c>
      <c r="F233" s="71">
        <v>44484</v>
      </c>
      <c r="G233" s="71">
        <v>44484</v>
      </c>
      <c r="H233" s="71">
        <v>44484</v>
      </c>
      <c r="I233" s="71">
        <v>44483</v>
      </c>
      <c r="J233" s="71">
        <v>44483</v>
      </c>
      <c r="K233" s="71">
        <v>44475</v>
      </c>
      <c r="L233" s="71">
        <v>44483</v>
      </c>
      <c r="M233" s="71">
        <v>44484</v>
      </c>
      <c r="N233" s="71">
        <v>44489</v>
      </c>
      <c r="O233" s="71"/>
      <c r="P233" s="71"/>
      <c r="Q233" s="71"/>
      <c r="R233" s="71"/>
      <c r="S233" s="71">
        <v>44484</v>
      </c>
      <c r="T233" s="71">
        <v>44489</v>
      </c>
      <c r="U233" s="71">
        <v>44482</v>
      </c>
      <c r="V233" s="71">
        <v>44484</v>
      </c>
      <c r="W233" s="71"/>
      <c r="X233" s="71"/>
      <c r="Y233" s="71"/>
      <c r="Z233" s="71">
        <v>44484</v>
      </c>
      <c r="AA233" s="71">
        <v>44489</v>
      </c>
      <c r="AB233" s="71">
        <v>44474</v>
      </c>
      <c r="AC233" s="71">
        <v>44483</v>
      </c>
      <c r="AD233" s="71"/>
      <c r="AE233" s="71"/>
      <c r="AF233" s="71"/>
      <c r="AG233" s="71"/>
      <c r="AH233" s="71">
        <v>44489</v>
      </c>
      <c r="AI233" s="71">
        <v>44484</v>
      </c>
      <c r="AJ233" s="71">
        <v>44484</v>
      </c>
      <c r="AK233" s="71"/>
      <c r="AL233" s="71"/>
      <c r="AM233" s="71">
        <v>44483</v>
      </c>
      <c r="AN233" s="71"/>
      <c r="AO233" s="71"/>
      <c r="AP233" s="71"/>
      <c r="AQ233" s="71"/>
      <c r="AR233" s="71">
        <v>44488</v>
      </c>
      <c r="AS233" s="71"/>
      <c r="AT233" s="71"/>
      <c r="AU233" s="71">
        <v>44488</v>
      </c>
      <c r="AV233" s="71"/>
      <c r="AW233" s="71"/>
      <c r="AX233" s="71">
        <v>44476</v>
      </c>
      <c r="AY233" s="71">
        <v>44484</v>
      </c>
      <c r="AZ233" s="71"/>
      <c r="BA233" s="71">
        <v>44474</v>
      </c>
      <c r="BB233" s="71">
        <v>44484</v>
      </c>
      <c r="BC233" s="71"/>
      <c r="BD233" s="71"/>
      <c r="BE233" s="71">
        <v>44484</v>
      </c>
      <c r="BF233" s="71"/>
      <c r="BG233" s="71">
        <v>44489</v>
      </c>
      <c r="BH233" s="71">
        <v>44484</v>
      </c>
      <c r="BI233" s="71"/>
      <c r="BJ233" s="71"/>
      <c r="BK233" s="70"/>
      <c r="BL233" s="70"/>
      <c r="BM233" s="70"/>
      <c r="BN233" s="70"/>
      <c r="BO233" s="70"/>
    </row>
    <row r="234" spans="1:67" x14ac:dyDescent="0.4">
      <c r="A234" s="86">
        <v>5350000</v>
      </c>
      <c r="B234" s="74" t="s">
        <v>229</v>
      </c>
      <c r="C234" s="71">
        <v>44490</v>
      </c>
      <c r="D234" s="71">
        <v>44182</v>
      </c>
      <c r="E234" s="71">
        <v>44489</v>
      </c>
      <c r="F234" s="71">
        <v>44490</v>
      </c>
      <c r="G234" s="71">
        <v>44489</v>
      </c>
      <c r="H234" s="71">
        <v>44488</v>
      </c>
      <c r="I234" s="71">
        <v>44490</v>
      </c>
      <c r="J234" s="71">
        <v>44468</v>
      </c>
      <c r="K234" s="71">
        <v>44490</v>
      </c>
      <c r="L234" s="71">
        <v>44483</v>
      </c>
      <c r="M234" s="71">
        <v>44487</v>
      </c>
      <c r="N234" s="71">
        <v>44487</v>
      </c>
      <c r="O234" s="71">
        <v>44487</v>
      </c>
      <c r="P234" s="71">
        <v>44185</v>
      </c>
      <c r="Q234" s="71">
        <v>44487</v>
      </c>
      <c r="R234" s="71">
        <v>44494</v>
      </c>
      <c r="S234" s="71">
        <v>44488</v>
      </c>
      <c r="T234" s="71">
        <v>44488</v>
      </c>
      <c r="U234" s="71">
        <v>44488</v>
      </c>
      <c r="V234" s="71">
        <v>44487</v>
      </c>
      <c r="W234" s="71"/>
      <c r="X234" s="71"/>
      <c r="Y234" s="71"/>
      <c r="Z234" s="71">
        <v>44490</v>
      </c>
      <c r="AA234" s="71">
        <v>44482</v>
      </c>
      <c r="AB234" s="71">
        <v>44482</v>
      </c>
      <c r="AC234" s="71">
        <v>44487</v>
      </c>
      <c r="AD234" s="71">
        <v>44186</v>
      </c>
      <c r="AE234" s="71"/>
      <c r="AF234" s="71"/>
      <c r="AG234" s="71">
        <v>44453</v>
      </c>
      <c r="AH234" s="71">
        <v>44494</v>
      </c>
      <c r="AI234" s="71">
        <v>44490</v>
      </c>
      <c r="AJ234" s="71">
        <v>44490</v>
      </c>
      <c r="AK234" s="71">
        <v>44487</v>
      </c>
      <c r="AL234" s="71"/>
      <c r="AM234" s="71">
        <v>44487</v>
      </c>
      <c r="AN234" s="71"/>
      <c r="AO234" s="71"/>
      <c r="AP234" s="71">
        <v>44488</v>
      </c>
      <c r="AQ234" s="71">
        <v>44502</v>
      </c>
      <c r="AR234" s="71">
        <v>44490</v>
      </c>
      <c r="AS234" s="71">
        <v>44490</v>
      </c>
      <c r="AT234" s="71"/>
      <c r="AU234" s="71">
        <v>44494</v>
      </c>
      <c r="AV234" s="71"/>
      <c r="AW234" s="71">
        <v>44487</v>
      </c>
      <c r="AX234" s="71"/>
      <c r="AY234" s="71">
        <v>44477</v>
      </c>
      <c r="AZ234" s="71">
        <v>44488</v>
      </c>
      <c r="BA234" s="71">
        <v>44490</v>
      </c>
      <c r="BB234" s="71">
        <v>44488</v>
      </c>
      <c r="BC234" s="71">
        <v>44488</v>
      </c>
      <c r="BD234" s="71"/>
      <c r="BE234" s="71">
        <v>44496</v>
      </c>
      <c r="BF234" s="71"/>
      <c r="BG234" s="71"/>
      <c r="BH234" s="71">
        <v>44487</v>
      </c>
      <c r="BI234" s="71"/>
      <c r="BJ234" s="71"/>
      <c r="BK234" s="70"/>
      <c r="BL234" s="70"/>
      <c r="BM234" s="70"/>
      <c r="BN234" s="70"/>
      <c r="BO234" s="70"/>
    </row>
    <row r="235" spans="1:67" x14ac:dyDescent="0.4">
      <c r="A235" s="86">
        <v>5360000</v>
      </c>
      <c r="B235" s="74" t="s">
        <v>230</v>
      </c>
      <c r="C235" s="71">
        <v>44502</v>
      </c>
      <c r="D235" s="71">
        <v>44503</v>
      </c>
      <c r="E235" s="71">
        <v>44502</v>
      </c>
      <c r="F235" s="71">
        <v>44499</v>
      </c>
      <c r="G235" s="71">
        <v>44502</v>
      </c>
      <c r="H235" s="71">
        <v>44503</v>
      </c>
      <c r="I235" s="71">
        <v>44503</v>
      </c>
      <c r="J235" s="71">
        <v>44498</v>
      </c>
      <c r="K235" s="71"/>
      <c r="L235" s="71">
        <v>44503</v>
      </c>
      <c r="M235" s="71">
        <v>44503</v>
      </c>
      <c r="N235" s="71">
        <v>44503</v>
      </c>
      <c r="O235" s="71"/>
      <c r="P235" s="72">
        <v>44103</v>
      </c>
      <c r="Q235" s="71"/>
      <c r="R235" s="71"/>
      <c r="S235" s="71">
        <v>44503</v>
      </c>
      <c r="T235" s="71">
        <v>44498</v>
      </c>
      <c r="U235" s="71">
        <v>44498</v>
      </c>
      <c r="V235" s="71">
        <v>44186</v>
      </c>
      <c r="W235" s="71"/>
      <c r="X235" s="71"/>
      <c r="Y235" s="71"/>
      <c r="Z235" s="71">
        <v>44498</v>
      </c>
      <c r="AA235" s="71">
        <v>44498</v>
      </c>
      <c r="AB235" s="71">
        <v>44498</v>
      </c>
      <c r="AC235" s="71">
        <v>44498</v>
      </c>
      <c r="AD235" s="71">
        <v>44469</v>
      </c>
      <c r="AE235" s="71">
        <v>44498</v>
      </c>
      <c r="AF235" s="71"/>
      <c r="AG235" s="71"/>
      <c r="AH235" s="71">
        <v>44503</v>
      </c>
      <c r="AI235" s="71">
        <v>44498</v>
      </c>
      <c r="AJ235" s="71">
        <v>44498</v>
      </c>
      <c r="AK235" s="71"/>
      <c r="AL235" s="71"/>
      <c r="AM235" s="71">
        <v>44503</v>
      </c>
      <c r="AN235" s="71"/>
      <c r="AO235" s="71"/>
      <c r="AP235" s="71"/>
      <c r="AQ235" s="71"/>
      <c r="AR235" s="71">
        <v>44503</v>
      </c>
      <c r="AS235" s="71"/>
      <c r="AT235" s="71"/>
      <c r="AU235" s="71">
        <v>44503</v>
      </c>
      <c r="AV235" s="71"/>
      <c r="AW235" s="71">
        <v>44503</v>
      </c>
      <c r="AX235" s="71"/>
      <c r="AY235" s="71">
        <v>44503</v>
      </c>
      <c r="AZ235" s="71"/>
      <c r="BA235" s="71"/>
      <c r="BB235" s="71">
        <v>44498</v>
      </c>
      <c r="BC235" s="71"/>
      <c r="BD235" s="71"/>
      <c r="BE235" s="71"/>
      <c r="BF235" s="71"/>
      <c r="BG235" s="71">
        <v>44503</v>
      </c>
      <c r="BH235" s="71">
        <v>44498</v>
      </c>
      <c r="BI235" s="71"/>
      <c r="BJ235" s="71"/>
      <c r="BK235" s="70"/>
      <c r="BL235" s="70"/>
      <c r="BM235" s="70"/>
      <c r="BN235" s="70"/>
      <c r="BO235" s="70"/>
    </row>
    <row r="236" spans="1:67" x14ac:dyDescent="0.4">
      <c r="A236" s="86">
        <v>5370000</v>
      </c>
      <c r="B236" s="74" t="s">
        <v>231</v>
      </c>
      <c r="C236" s="71">
        <v>44462</v>
      </c>
      <c r="D236" s="71">
        <v>44419</v>
      </c>
      <c r="E236" s="71">
        <v>44494</v>
      </c>
      <c r="F236" s="71">
        <v>44445</v>
      </c>
      <c r="G236" s="71">
        <v>44494</v>
      </c>
      <c r="H236" s="71">
        <v>44392</v>
      </c>
      <c r="I236" s="71">
        <v>44403</v>
      </c>
      <c r="J236" s="71">
        <v>44491</v>
      </c>
      <c r="K236" s="71">
        <v>44470</v>
      </c>
      <c r="L236" s="71">
        <v>44403</v>
      </c>
      <c r="M236" s="71">
        <v>44474</v>
      </c>
      <c r="N236" s="71">
        <v>44404</v>
      </c>
      <c r="O236" s="71"/>
      <c r="P236" s="71">
        <v>44400</v>
      </c>
      <c r="Q236" s="71">
        <v>44420</v>
      </c>
      <c r="R236" s="71"/>
      <c r="S236" s="71">
        <v>44449</v>
      </c>
      <c r="T236" s="71">
        <v>44389</v>
      </c>
      <c r="U236" s="71">
        <v>44452</v>
      </c>
      <c r="V236" s="71">
        <v>44491</v>
      </c>
      <c r="W236" s="71"/>
      <c r="X236" s="71">
        <v>44401</v>
      </c>
      <c r="Y236" s="71">
        <v>44495</v>
      </c>
      <c r="Z236" s="71">
        <v>44452</v>
      </c>
      <c r="AA236" s="71">
        <v>44495</v>
      </c>
      <c r="AB236" s="71">
        <v>44231</v>
      </c>
      <c r="AC236" s="71">
        <v>44445</v>
      </c>
      <c r="AD236" s="71">
        <v>44428</v>
      </c>
      <c r="AE236" s="71">
        <v>44488</v>
      </c>
      <c r="AF236" s="71"/>
      <c r="AG236" s="71">
        <v>44454</v>
      </c>
      <c r="AH236" s="71">
        <v>44445</v>
      </c>
      <c r="AI236" s="71">
        <v>44344</v>
      </c>
      <c r="AJ236" s="71">
        <v>44393</v>
      </c>
      <c r="AK236" s="71"/>
      <c r="AL236" s="71"/>
      <c r="AM236" s="71">
        <v>44403</v>
      </c>
      <c r="AN236" s="71"/>
      <c r="AO236" s="71"/>
      <c r="AP236" s="71"/>
      <c r="AQ236" s="71">
        <v>44476</v>
      </c>
      <c r="AR236" s="71">
        <v>44496</v>
      </c>
      <c r="AS236" s="71"/>
      <c r="AT236" s="71"/>
      <c r="AU236" s="71">
        <v>44463</v>
      </c>
      <c r="AV236" s="71"/>
      <c r="AW236" s="71"/>
      <c r="AX236" s="71">
        <v>44403</v>
      </c>
      <c r="AY236" s="71">
        <v>44494</v>
      </c>
      <c r="AZ236" s="71"/>
      <c r="BA236" s="71">
        <v>44406</v>
      </c>
      <c r="BB236" s="71">
        <v>44354</v>
      </c>
      <c r="BC236" s="71"/>
      <c r="BD236" s="71"/>
      <c r="BE236" s="71">
        <v>44497</v>
      </c>
      <c r="BF236" s="71"/>
      <c r="BG236" s="71">
        <v>44504</v>
      </c>
      <c r="BH236" s="71">
        <v>44497</v>
      </c>
      <c r="BI236" s="71"/>
      <c r="BJ236" s="71"/>
      <c r="BK236" s="70"/>
      <c r="BL236" s="70"/>
      <c r="BM236" s="70"/>
      <c r="BN236" s="70"/>
      <c r="BO236" s="70"/>
    </row>
    <row r="237" spans="1:67" x14ac:dyDescent="0.4">
      <c r="A237" s="86">
        <v>5380000</v>
      </c>
      <c r="B237" s="74" t="s">
        <v>232</v>
      </c>
      <c r="C237" s="71">
        <v>44476</v>
      </c>
      <c r="D237" s="71">
        <v>44481</v>
      </c>
      <c r="E237" s="71">
        <v>44481</v>
      </c>
      <c r="F237" s="71">
        <v>44481</v>
      </c>
      <c r="G237" s="71">
        <v>44483</v>
      </c>
      <c r="H237" s="71">
        <v>44481</v>
      </c>
      <c r="I237" s="71">
        <v>44481</v>
      </c>
      <c r="J237" s="71">
        <v>44477</v>
      </c>
      <c r="K237" s="71">
        <v>44476</v>
      </c>
      <c r="L237" s="71">
        <v>44476</v>
      </c>
      <c r="M237" s="71">
        <v>44483</v>
      </c>
      <c r="N237" s="71">
        <v>44476</v>
      </c>
      <c r="O237" s="71">
        <v>44481</v>
      </c>
      <c r="P237" s="71">
        <v>44481</v>
      </c>
      <c r="Q237" s="71">
        <v>44476</v>
      </c>
      <c r="R237" s="71"/>
      <c r="S237" s="71">
        <v>44481</v>
      </c>
      <c r="T237" s="71">
        <v>44476</v>
      </c>
      <c r="U237" s="71">
        <v>44482</v>
      </c>
      <c r="V237" s="71">
        <v>44481</v>
      </c>
      <c r="W237" s="71"/>
      <c r="X237" s="71"/>
      <c r="Y237" s="71"/>
      <c r="Z237" s="71">
        <v>44481</v>
      </c>
      <c r="AA237" s="71">
        <v>44476</v>
      </c>
      <c r="AB237" s="71">
        <v>44476</v>
      </c>
      <c r="AC237" s="71">
        <v>44476</v>
      </c>
      <c r="AD237" s="71">
        <v>44476</v>
      </c>
      <c r="AE237" s="71">
        <v>44476</v>
      </c>
      <c r="AF237" s="71"/>
      <c r="AG237" s="71">
        <v>44481</v>
      </c>
      <c r="AH237" s="71">
        <v>44481</v>
      </c>
      <c r="AI237" s="71">
        <v>44482</v>
      </c>
      <c r="AJ237" s="71">
        <v>44476</v>
      </c>
      <c r="AK237" s="71"/>
      <c r="AL237" s="71">
        <v>44481</v>
      </c>
      <c r="AM237" s="71">
        <v>44481</v>
      </c>
      <c r="AN237" s="71">
        <v>44476</v>
      </c>
      <c r="AO237" s="71"/>
      <c r="AP237" s="71">
        <v>44481</v>
      </c>
      <c r="AQ237" s="71">
        <v>44481</v>
      </c>
      <c r="AR237" s="71"/>
      <c r="AS237" s="71">
        <v>44477</v>
      </c>
      <c r="AT237" s="71">
        <v>44481</v>
      </c>
      <c r="AU237" s="71">
        <v>44481</v>
      </c>
      <c r="AV237" s="71"/>
      <c r="AW237" s="71"/>
      <c r="AX237" s="71">
        <v>44476</v>
      </c>
      <c r="AY237" s="71">
        <v>44481</v>
      </c>
      <c r="AZ237" s="71"/>
      <c r="BA237" s="71">
        <v>44483</v>
      </c>
      <c r="BB237" s="71">
        <v>44482</v>
      </c>
      <c r="BC237" s="71">
        <v>44481</v>
      </c>
      <c r="BD237" s="71"/>
      <c r="BE237" s="71"/>
      <c r="BF237" s="71">
        <v>44476</v>
      </c>
      <c r="BG237" s="71">
        <v>44477</v>
      </c>
      <c r="BH237" s="71"/>
      <c r="BI237" s="71"/>
      <c r="BJ237" s="71"/>
      <c r="BK237" s="70"/>
      <c r="BL237" s="70"/>
      <c r="BM237" s="70"/>
      <c r="BN237" s="70"/>
      <c r="BO237" s="70"/>
    </row>
    <row r="238" spans="1:67" x14ac:dyDescent="0.4">
      <c r="A238" s="86">
        <v>5390000</v>
      </c>
      <c r="B238" s="74" t="s">
        <v>233</v>
      </c>
      <c r="C238" s="71">
        <v>44481</v>
      </c>
      <c r="D238" s="71">
        <v>44481</v>
      </c>
      <c r="E238" s="71">
        <v>44353</v>
      </c>
      <c r="F238" s="71">
        <v>44441</v>
      </c>
      <c r="G238" s="71">
        <v>44481</v>
      </c>
      <c r="H238" s="71">
        <v>44481</v>
      </c>
      <c r="I238" s="71">
        <v>44354</v>
      </c>
      <c r="J238" s="71">
        <v>44481</v>
      </c>
      <c r="K238" s="71"/>
      <c r="L238" s="71">
        <v>44174</v>
      </c>
      <c r="M238" s="71">
        <v>44481</v>
      </c>
      <c r="N238" s="71">
        <v>44173</v>
      </c>
      <c r="O238" s="71"/>
      <c r="P238" s="71">
        <v>44183</v>
      </c>
      <c r="Q238" s="71">
        <v>44175</v>
      </c>
      <c r="R238" s="71"/>
      <c r="S238" s="71">
        <v>44173</v>
      </c>
      <c r="T238" s="71">
        <v>44355</v>
      </c>
      <c r="U238" s="71">
        <v>44481</v>
      </c>
      <c r="V238" s="71">
        <v>44481</v>
      </c>
      <c r="W238" s="71"/>
      <c r="X238" s="71"/>
      <c r="Y238" s="71">
        <v>44481</v>
      </c>
      <c r="Z238" s="71">
        <v>44174</v>
      </c>
      <c r="AA238" s="71">
        <v>44174</v>
      </c>
      <c r="AB238" s="71">
        <v>44174</v>
      </c>
      <c r="AC238" s="71">
        <v>44174</v>
      </c>
      <c r="AD238" s="71">
        <v>44173</v>
      </c>
      <c r="AE238" s="71">
        <v>44174</v>
      </c>
      <c r="AF238" s="71"/>
      <c r="AG238" s="71">
        <v>44355</v>
      </c>
      <c r="AH238" s="71"/>
      <c r="AI238" s="71"/>
      <c r="AJ238" s="71">
        <v>44481</v>
      </c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>
        <v>44481</v>
      </c>
      <c r="AV238" s="71"/>
      <c r="AW238" s="71">
        <v>44477</v>
      </c>
      <c r="AX238" s="71">
        <v>44481</v>
      </c>
      <c r="AY238" s="71"/>
      <c r="AZ238" s="71"/>
      <c r="BA238" s="71">
        <v>44355</v>
      </c>
      <c r="BB238" s="71">
        <v>44481</v>
      </c>
      <c r="BC238" s="71"/>
      <c r="BD238" s="71"/>
      <c r="BE238" s="71"/>
      <c r="BF238" s="71">
        <v>44481</v>
      </c>
      <c r="BG238" s="71">
        <v>44481</v>
      </c>
      <c r="BH238" s="71"/>
      <c r="BI238" s="71"/>
      <c r="BJ238" s="71"/>
      <c r="BK238" s="70"/>
      <c r="BL238" s="70"/>
      <c r="BM238" s="70"/>
      <c r="BN238" s="70"/>
      <c r="BO238" s="70"/>
    </row>
    <row r="239" spans="1:67" x14ac:dyDescent="0.4">
      <c r="A239" s="86">
        <v>5400000</v>
      </c>
      <c r="B239" s="74" t="s">
        <v>243</v>
      </c>
      <c r="C239" s="72">
        <v>44018</v>
      </c>
      <c r="D239" s="72">
        <v>44018</v>
      </c>
      <c r="E239" s="72">
        <v>44166</v>
      </c>
      <c r="F239" s="71"/>
      <c r="G239" s="71"/>
      <c r="H239" s="71"/>
      <c r="I239" s="72">
        <v>44015</v>
      </c>
      <c r="J239" s="72">
        <v>44124</v>
      </c>
      <c r="K239" s="71"/>
      <c r="L239" s="71"/>
      <c r="M239" s="72">
        <v>44131</v>
      </c>
      <c r="N239" s="72">
        <v>44018</v>
      </c>
      <c r="O239" s="71"/>
      <c r="P239" s="71">
        <v>44166</v>
      </c>
      <c r="Q239" s="71"/>
      <c r="R239" s="71"/>
      <c r="S239" s="72">
        <v>43738</v>
      </c>
      <c r="T239" s="71">
        <v>44166</v>
      </c>
      <c r="U239" s="72">
        <v>43902</v>
      </c>
      <c r="V239" s="71"/>
      <c r="W239" s="71"/>
      <c r="X239" s="71"/>
      <c r="Y239" s="71"/>
      <c r="Z239" s="71"/>
      <c r="AA239" s="71"/>
      <c r="AB239" s="72">
        <v>44019</v>
      </c>
      <c r="AC239" s="71"/>
      <c r="AD239" s="71">
        <v>44155</v>
      </c>
      <c r="AE239" s="71">
        <v>44173</v>
      </c>
      <c r="AF239" s="71"/>
      <c r="AG239" s="71"/>
      <c r="AH239" s="71"/>
      <c r="AI239" s="71"/>
      <c r="AJ239" s="72">
        <v>44019</v>
      </c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2">
        <v>44019</v>
      </c>
      <c r="AV239" s="71"/>
      <c r="AW239" s="71">
        <v>44162</v>
      </c>
      <c r="AX239" s="72">
        <v>44131</v>
      </c>
      <c r="AY239" s="72">
        <v>44165</v>
      </c>
      <c r="AZ239" s="71"/>
      <c r="BA239" s="72">
        <v>44131</v>
      </c>
      <c r="BB239" s="72">
        <v>44162</v>
      </c>
      <c r="BC239" s="71"/>
      <c r="BD239" s="71"/>
      <c r="BE239" s="71"/>
      <c r="BF239" s="71"/>
      <c r="BG239" s="71"/>
      <c r="BH239" s="71"/>
      <c r="BI239" s="71"/>
      <c r="BJ239" s="71"/>
      <c r="BK239" s="70"/>
      <c r="BL239" s="70"/>
      <c r="BM239" s="70"/>
      <c r="BN239" s="70"/>
      <c r="BO239" s="70"/>
    </row>
    <row r="240" spans="1:67" x14ac:dyDescent="0.4">
      <c r="A240" s="86">
        <v>5410000</v>
      </c>
      <c r="B240" s="74" t="s">
        <v>234</v>
      </c>
      <c r="C240" s="71">
        <v>44488</v>
      </c>
      <c r="D240" s="71">
        <v>44488</v>
      </c>
      <c r="E240" s="71">
        <v>44488</v>
      </c>
      <c r="F240" s="71">
        <v>44488</v>
      </c>
      <c r="G240" s="71">
        <v>44488</v>
      </c>
      <c r="H240" s="71">
        <v>44488</v>
      </c>
      <c r="I240" s="71">
        <v>44488</v>
      </c>
      <c r="J240" s="71">
        <v>44488</v>
      </c>
      <c r="K240" s="71">
        <v>44483</v>
      </c>
      <c r="L240" s="71">
        <v>44488</v>
      </c>
      <c r="M240" s="71">
        <v>44488</v>
      </c>
      <c r="N240" s="71">
        <v>44488</v>
      </c>
      <c r="O240" s="71">
        <v>44488</v>
      </c>
      <c r="P240" s="71">
        <v>44488</v>
      </c>
      <c r="Q240" s="71">
        <v>44488</v>
      </c>
      <c r="R240" s="71"/>
      <c r="S240" s="71">
        <v>44488</v>
      </c>
      <c r="T240" s="71">
        <v>44488</v>
      </c>
      <c r="U240" s="71">
        <v>44488</v>
      </c>
      <c r="V240" s="71">
        <v>44488</v>
      </c>
      <c r="W240" s="71"/>
      <c r="X240" s="71"/>
      <c r="Y240" s="71"/>
      <c r="Z240" s="71"/>
      <c r="AA240" s="71">
        <v>44488</v>
      </c>
      <c r="AB240" s="71">
        <v>44488</v>
      </c>
      <c r="AC240" s="71">
        <v>44488</v>
      </c>
      <c r="AD240" s="71"/>
      <c r="AE240" s="71">
        <v>44488</v>
      </c>
      <c r="AF240" s="71"/>
      <c r="AG240" s="71"/>
      <c r="AH240" s="71"/>
      <c r="AI240" s="71">
        <v>44488</v>
      </c>
      <c r="AJ240" s="71">
        <v>44488</v>
      </c>
      <c r="AK240" s="71"/>
      <c r="AL240" s="71"/>
      <c r="AM240" s="71">
        <v>44488</v>
      </c>
      <c r="AN240" s="71"/>
      <c r="AO240" s="71"/>
      <c r="AP240" s="71"/>
      <c r="AQ240" s="71"/>
      <c r="AR240" s="71"/>
      <c r="AS240" s="71"/>
      <c r="AT240" s="71"/>
      <c r="AU240" s="71">
        <v>44488</v>
      </c>
      <c r="AV240" s="71"/>
      <c r="AW240" s="71"/>
      <c r="AX240" s="71">
        <v>44488</v>
      </c>
      <c r="AY240" s="71"/>
      <c r="AZ240" s="71"/>
      <c r="BA240" s="71"/>
      <c r="BB240" s="71">
        <v>44488</v>
      </c>
      <c r="BC240" s="71"/>
      <c r="BD240" s="71"/>
      <c r="BE240" s="71"/>
      <c r="BF240" s="71"/>
      <c r="BG240" s="71">
        <v>44488</v>
      </c>
      <c r="BH240" s="72">
        <v>44028</v>
      </c>
      <c r="BI240" s="71"/>
      <c r="BJ240" s="71"/>
      <c r="BK240" s="70"/>
      <c r="BL240" s="70"/>
      <c r="BM240" s="70"/>
      <c r="BN240" s="70"/>
      <c r="BO240" s="70"/>
    </row>
    <row r="241" spans="1:67" x14ac:dyDescent="0.4">
      <c r="A241" s="86">
        <v>5420000</v>
      </c>
      <c r="B241" s="74" t="s">
        <v>235</v>
      </c>
      <c r="C241" s="71">
        <v>44498</v>
      </c>
      <c r="D241" s="71">
        <v>44498</v>
      </c>
      <c r="E241" s="71">
        <v>44498</v>
      </c>
      <c r="F241" s="71">
        <v>44498</v>
      </c>
      <c r="G241" s="71">
        <v>44498</v>
      </c>
      <c r="H241" s="71">
        <v>44498</v>
      </c>
      <c r="I241" s="71">
        <v>44498</v>
      </c>
      <c r="J241" s="71">
        <v>44498</v>
      </c>
      <c r="K241" s="71"/>
      <c r="L241" s="71">
        <v>44498</v>
      </c>
      <c r="M241" s="71">
        <v>44498</v>
      </c>
      <c r="N241" s="71">
        <v>44498</v>
      </c>
      <c r="O241" s="71"/>
      <c r="P241" s="71">
        <v>44498</v>
      </c>
      <c r="Q241" s="71"/>
      <c r="R241" s="71"/>
      <c r="S241" s="71">
        <v>44498</v>
      </c>
      <c r="T241" s="71">
        <v>44498</v>
      </c>
      <c r="U241" s="71">
        <v>44498</v>
      </c>
      <c r="V241" s="71"/>
      <c r="W241" s="71"/>
      <c r="X241" s="71"/>
      <c r="Y241" s="71"/>
      <c r="Z241" s="71"/>
      <c r="AA241" s="71">
        <v>44498</v>
      </c>
      <c r="AB241" s="71">
        <v>44498</v>
      </c>
      <c r="AC241" s="71">
        <v>44498</v>
      </c>
      <c r="AD241" s="71"/>
      <c r="AE241" s="71"/>
      <c r="AF241" s="71"/>
      <c r="AG241" s="71"/>
      <c r="AH241" s="71">
        <v>44498</v>
      </c>
      <c r="AI241" s="71">
        <v>44498</v>
      </c>
      <c r="AJ241" s="71">
        <v>44498</v>
      </c>
      <c r="AK241" s="71"/>
      <c r="AL241" s="71"/>
      <c r="AM241" s="71"/>
      <c r="AN241" s="71">
        <v>44498</v>
      </c>
      <c r="AO241" s="71"/>
      <c r="AP241" s="71"/>
      <c r="AQ241" s="71"/>
      <c r="AR241" s="71"/>
      <c r="AS241" s="71"/>
      <c r="AT241" s="71"/>
      <c r="AU241" s="71">
        <v>44498</v>
      </c>
      <c r="AV241" s="71"/>
      <c r="AW241" s="71"/>
      <c r="AX241" s="71">
        <v>44498</v>
      </c>
      <c r="AY241" s="71"/>
      <c r="AZ241" s="71"/>
      <c r="BA241" s="71"/>
      <c r="BB241" s="71"/>
      <c r="BC241" s="71"/>
      <c r="BD241" s="71"/>
      <c r="BE241" s="71"/>
      <c r="BF241" s="71"/>
      <c r="BG241" s="71"/>
      <c r="BH241" s="71">
        <v>44498</v>
      </c>
      <c r="BI241" s="71"/>
      <c r="BJ241" s="71"/>
      <c r="BK241" s="70"/>
      <c r="BL241" s="70"/>
      <c r="BM241" s="70"/>
      <c r="BN241" s="70"/>
      <c r="BO241" s="70"/>
    </row>
    <row r="242" spans="1:67" x14ac:dyDescent="0.4">
      <c r="A242" s="86">
        <v>5430000</v>
      </c>
      <c r="B242" s="74" t="s">
        <v>236</v>
      </c>
      <c r="C242" s="71">
        <v>44489</v>
      </c>
      <c r="D242" s="71">
        <v>44265</v>
      </c>
      <c r="E242" s="71">
        <v>44467</v>
      </c>
      <c r="F242" s="71">
        <v>44455</v>
      </c>
      <c r="G242" s="71">
        <v>44455</v>
      </c>
      <c r="H242" s="71">
        <v>44266</v>
      </c>
      <c r="I242" s="71">
        <v>44270</v>
      </c>
      <c r="J242" s="71">
        <v>44446</v>
      </c>
      <c r="K242" s="71">
        <v>44455</v>
      </c>
      <c r="L242" s="71">
        <v>44287</v>
      </c>
      <c r="M242" s="71">
        <v>44466</v>
      </c>
      <c r="N242" s="71">
        <v>44284</v>
      </c>
      <c r="O242" s="71"/>
      <c r="P242" s="71">
        <v>44286</v>
      </c>
      <c r="Q242" s="71">
        <v>44286</v>
      </c>
      <c r="R242" s="71">
        <v>44284</v>
      </c>
      <c r="S242" s="71">
        <v>44286</v>
      </c>
      <c r="T242" s="71">
        <v>44271</v>
      </c>
      <c r="U242" s="71">
        <v>44287</v>
      </c>
      <c r="V242" s="71">
        <v>44494</v>
      </c>
      <c r="W242" s="71"/>
      <c r="X242" s="71"/>
      <c r="Y242" s="71">
        <v>44494</v>
      </c>
      <c r="Z242" s="71"/>
      <c r="AA242" s="71">
        <v>44284</v>
      </c>
      <c r="AB242" s="71">
        <v>44284</v>
      </c>
      <c r="AC242" s="71">
        <v>44286</v>
      </c>
      <c r="AD242" s="71"/>
      <c r="AE242" s="71">
        <v>44286</v>
      </c>
      <c r="AF242" s="71"/>
      <c r="AG242" s="71">
        <v>44467</v>
      </c>
      <c r="AH242" s="71">
        <v>44467</v>
      </c>
      <c r="AI242" s="71">
        <v>44286</v>
      </c>
      <c r="AJ242" s="71">
        <v>44286</v>
      </c>
      <c r="AK242" s="71"/>
      <c r="AL242" s="71"/>
      <c r="AM242" s="71"/>
      <c r="AN242" s="71">
        <v>44468</v>
      </c>
      <c r="AO242" s="71"/>
      <c r="AP242" s="71">
        <v>44456</v>
      </c>
      <c r="AQ242" s="71">
        <v>44501</v>
      </c>
      <c r="AR242" s="71">
        <v>44503</v>
      </c>
      <c r="AS242" s="71">
        <v>44468</v>
      </c>
      <c r="AT242" s="71"/>
      <c r="AU242" s="71">
        <v>44467</v>
      </c>
      <c r="AV242" s="71"/>
      <c r="AW242" s="71">
        <v>44287</v>
      </c>
      <c r="AX242" s="71">
        <v>44284</v>
      </c>
      <c r="AY242" s="71">
        <v>44454</v>
      </c>
      <c r="AZ242" s="71"/>
      <c r="BA242" s="71">
        <v>44467</v>
      </c>
      <c r="BB242" s="71">
        <v>44466</v>
      </c>
      <c r="BC242" s="71"/>
      <c r="BD242" s="71"/>
      <c r="BE242" s="71"/>
      <c r="BF242" s="71"/>
      <c r="BG242" s="71">
        <v>44454</v>
      </c>
      <c r="BH242" s="71">
        <v>44494</v>
      </c>
      <c r="BI242" s="71"/>
      <c r="BJ242" s="71"/>
      <c r="BK242" s="70"/>
      <c r="BL242" s="70"/>
      <c r="BM242" s="70"/>
      <c r="BN242" s="70"/>
      <c r="BO242" s="70"/>
    </row>
    <row r="243" spans="1:67" x14ac:dyDescent="0.4">
      <c r="A243" s="86">
        <v>5440000</v>
      </c>
      <c r="B243" s="74" t="s">
        <v>237</v>
      </c>
      <c r="C243" s="71"/>
      <c r="D243" s="72">
        <v>43635</v>
      </c>
      <c r="E243" s="72">
        <v>43641</v>
      </c>
      <c r="F243" s="71"/>
      <c r="G243" s="72">
        <v>43077</v>
      </c>
      <c r="H243" s="71">
        <v>44183</v>
      </c>
      <c r="I243" s="72">
        <v>44131</v>
      </c>
      <c r="J243" s="71">
        <v>44503</v>
      </c>
      <c r="K243" s="72">
        <v>44175</v>
      </c>
      <c r="L243" s="72">
        <v>43642</v>
      </c>
      <c r="M243" s="72">
        <v>44274</v>
      </c>
      <c r="N243" s="71">
        <v>44503</v>
      </c>
      <c r="O243" s="71"/>
      <c r="P243" s="71"/>
      <c r="Q243" s="71">
        <v>44181</v>
      </c>
      <c r="R243" s="71"/>
      <c r="S243" s="72">
        <v>43735</v>
      </c>
      <c r="T243" s="71">
        <v>44484</v>
      </c>
      <c r="U243" s="71">
        <v>44484</v>
      </c>
      <c r="V243" s="71">
        <v>44244</v>
      </c>
      <c r="W243" s="71"/>
      <c r="X243" s="71"/>
      <c r="Y243" s="72">
        <v>43641</v>
      </c>
      <c r="Z243" s="71"/>
      <c r="AA243" s="71"/>
      <c r="AB243" s="72">
        <v>44131</v>
      </c>
      <c r="AC243" s="71">
        <v>44181</v>
      </c>
      <c r="AD243" s="72">
        <v>44131</v>
      </c>
      <c r="AE243" s="71"/>
      <c r="AF243" s="71"/>
      <c r="AG243" s="71"/>
      <c r="AH243" s="71"/>
      <c r="AI243" s="71">
        <v>44484</v>
      </c>
      <c r="AJ243" s="71">
        <v>44503</v>
      </c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  <c r="AV243" s="71"/>
      <c r="AW243" s="71"/>
      <c r="AX243" s="71">
        <v>44193</v>
      </c>
      <c r="AY243" s="71"/>
      <c r="AZ243" s="71"/>
      <c r="BA243" s="71"/>
      <c r="BB243" s="71">
        <v>44503</v>
      </c>
      <c r="BC243" s="71"/>
      <c r="BD243" s="71"/>
      <c r="BE243" s="71"/>
      <c r="BF243" s="71"/>
      <c r="BG243" s="72">
        <v>44181</v>
      </c>
      <c r="BH243" s="71"/>
      <c r="BI243" s="71"/>
      <c r="BJ243" s="71"/>
      <c r="BK243" s="70"/>
      <c r="BL243" s="70"/>
      <c r="BM243" s="70"/>
      <c r="BN243" s="70"/>
      <c r="BO243" s="70"/>
    </row>
    <row r="244" spans="1:67" x14ac:dyDescent="0.4">
      <c r="A244" s="86">
        <v>5450000</v>
      </c>
      <c r="B244" s="74" t="s">
        <v>238</v>
      </c>
      <c r="C244" s="71">
        <v>44452</v>
      </c>
      <c r="D244" s="71">
        <v>44452</v>
      </c>
      <c r="E244" s="71">
        <v>44452</v>
      </c>
      <c r="F244" s="71">
        <v>44452</v>
      </c>
      <c r="G244" s="71">
        <v>44452</v>
      </c>
      <c r="H244" s="71"/>
      <c r="I244" s="71">
        <v>44391</v>
      </c>
      <c r="J244" s="71">
        <v>44455</v>
      </c>
      <c r="K244" s="71">
        <v>44390</v>
      </c>
      <c r="L244" s="71"/>
      <c r="M244" s="71">
        <v>44470</v>
      </c>
      <c r="N244" s="71">
        <v>44455</v>
      </c>
      <c r="O244" s="71"/>
      <c r="P244" s="71">
        <v>44155</v>
      </c>
      <c r="Q244" s="71">
        <v>44390</v>
      </c>
      <c r="R244" s="71"/>
      <c r="S244" s="71">
        <v>44452</v>
      </c>
      <c r="T244" s="71">
        <v>44482</v>
      </c>
      <c r="U244" s="71">
        <v>44155</v>
      </c>
      <c r="V244" s="71">
        <v>44452</v>
      </c>
      <c r="W244" s="71"/>
      <c r="X244" s="71"/>
      <c r="Y244" s="71"/>
      <c r="Z244" s="71"/>
      <c r="AA244" s="71">
        <v>44470</v>
      </c>
      <c r="AB244" s="71">
        <v>44452</v>
      </c>
      <c r="AC244" s="71">
        <v>44452</v>
      </c>
      <c r="AD244" s="71">
        <v>44160</v>
      </c>
      <c r="AE244" s="71"/>
      <c r="AF244" s="71"/>
      <c r="AG244" s="71"/>
      <c r="AH244" s="71"/>
      <c r="AI244" s="71">
        <v>44419</v>
      </c>
      <c r="AJ244" s="71">
        <v>44160</v>
      </c>
      <c r="AK244" s="71"/>
      <c r="AL244" s="71"/>
      <c r="AM244" s="71"/>
      <c r="AN244" s="71"/>
      <c r="AO244" s="71"/>
      <c r="AP244" s="71">
        <v>44470</v>
      </c>
      <c r="AQ244" s="71"/>
      <c r="AR244" s="71"/>
      <c r="AS244" s="71"/>
      <c r="AT244" s="71"/>
      <c r="AU244" s="71">
        <v>44481</v>
      </c>
      <c r="AV244" s="71"/>
      <c r="AW244" s="71">
        <v>44477</v>
      </c>
      <c r="AX244" s="71">
        <v>44469</v>
      </c>
      <c r="AY244" s="71">
        <v>44470</v>
      </c>
      <c r="AZ244" s="71"/>
      <c r="BA244" s="71"/>
      <c r="BB244" s="71">
        <v>44469</v>
      </c>
      <c r="BC244" s="71"/>
      <c r="BD244" s="71"/>
      <c r="BE244" s="71"/>
      <c r="BF244" s="71"/>
      <c r="BG244" s="71">
        <v>44477</v>
      </c>
      <c r="BH244" s="71">
        <v>44497</v>
      </c>
      <c r="BI244" s="71"/>
      <c r="BJ244" s="71"/>
      <c r="BK244" s="70"/>
      <c r="BL244" s="70"/>
      <c r="BM244" s="70"/>
      <c r="BN244" s="70"/>
      <c r="BO244" s="70"/>
    </row>
    <row r="245" spans="1:67" x14ac:dyDescent="0.4">
      <c r="A245" s="86">
        <v>5460000</v>
      </c>
      <c r="B245" s="74" t="s">
        <v>239</v>
      </c>
      <c r="C245" s="71">
        <v>44483</v>
      </c>
      <c r="D245" s="71">
        <v>44466</v>
      </c>
      <c r="E245" s="71">
        <v>44483</v>
      </c>
      <c r="F245" s="71">
        <v>44445</v>
      </c>
      <c r="G245" s="71"/>
      <c r="H245" s="71"/>
      <c r="I245" s="71"/>
      <c r="J245" s="71">
        <v>44503</v>
      </c>
      <c r="K245" s="71">
        <v>44477</v>
      </c>
      <c r="L245" s="71">
        <v>44348</v>
      </c>
      <c r="M245" s="71">
        <v>44435</v>
      </c>
      <c r="N245" s="71">
        <v>44383</v>
      </c>
      <c r="O245" s="71"/>
      <c r="P245" s="71">
        <v>44397</v>
      </c>
      <c r="Q245" s="71"/>
      <c r="R245" s="71">
        <v>44445</v>
      </c>
      <c r="S245" s="71">
        <v>44453</v>
      </c>
      <c r="T245" s="71">
        <v>44371</v>
      </c>
      <c r="U245" s="71">
        <v>44461</v>
      </c>
      <c r="V245" s="71">
        <v>44186</v>
      </c>
      <c r="W245" s="71"/>
      <c r="X245" s="71"/>
      <c r="Y245" s="71"/>
      <c r="Z245" s="71">
        <v>44442</v>
      </c>
      <c r="AA245" s="71">
        <v>44383</v>
      </c>
      <c r="AB245" s="71">
        <v>44462</v>
      </c>
      <c r="AC245" s="71">
        <v>44383</v>
      </c>
      <c r="AD245" s="71">
        <v>44385</v>
      </c>
      <c r="AE245" s="71"/>
      <c r="AF245" s="71"/>
      <c r="AG245" s="71"/>
      <c r="AH245" s="71">
        <v>44356</v>
      </c>
      <c r="AI245" s="71">
        <v>44456</v>
      </c>
      <c r="AJ245" s="71">
        <v>44488</v>
      </c>
      <c r="AK245" s="71"/>
      <c r="AL245" s="71">
        <v>44453</v>
      </c>
      <c r="AM245" s="71"/>
      <c r="AN245" s="71"/>
      <c r="AO245" s="71"/>
      <c r="AP245" s="71"/>
      <c r="AQ245" s="71"/>
      <c r="AR245" s="71"/>
      <c r="AS245" s="71"/>
      <c r="AT245" s="71"/>
      <c r="AU245" s="71">
        <v>44466</v>
      </c>
      <c r="AV245" s="71"/>
      <c r="AW245" s="71"/>
      <c r="AX245" s="71">
        <v>44461</v>
      </c>
      <c r="AY245" s="71">
        <v>44488</v>
      </c>
      <c r="AZ245" s="71"/>
      <c r="BA245" s="71"/>
      <c r="BB245" s="71"/>
      <c r="BC245" s="71"/>
      <c r="BD245" s="71"/>
      <c r="BE245" s="71"/>
      <c r="BF245" s="71"/>
      <c r="BG245" s="71">
        <v>44494</v>
      </c>
      <c r="BH245" s="71"/>
      <c r="BI245" s="71"/>
      <c r="BJ245" s="71"/>
      <c r="BK245" s="70"/>
      <c r="BL245" s="70"/>
      <c r="BM245" s="70"/>
      <c r="BN245" s="70"/>
      <c r="BO245" s="70"/>
    </row>
    <row r="246" spans="1:67" x14ac:dyDescent="0.4">
      <c r="A246" s="86">
        <v>5470000</v>
      </c>
      <c r="B246" s="74" t="s">
        <v>240</v>
      </c>
      <c r="C246" s="71">
        <v>44491</v>
      </c>
      <c r="D246" s="71">
        <v>44438</v>
      </c>
      <c r="E246" s="71">
        <v>44439</v>
      </c>
      <c r="F246" s="71">
        <v>44439</v>
      </c>
      <c r="G246" s="71">
        <v>44440</v>
      </c>
      <c r="H246" s="71">
        <v>44421</v>
      </c>
      <c r="I246" s="71">
        <v>44309</v>
      </c>
      <c r="J246" s="71">
        <v>44439</v>
      </c>
      <c r="K246" s="71">
        <v>44439</v>
      </c>
      <c r="L246" s="71">
        <v>44440</v>
      </c>
      <c r="M246" s="71">
        <v>44496</v>
      </c>
      <c r="N246" s="71">
        <v>44375</v>
      </c>
      <c r="O246" s="71">
        <v>44432</v>
      </c>
      <c r="P246" s="71">
        <v>44309</v>
      </c>
      <c r="Q246" s="71">
        <v>44392</v>
      </c>
      <c r="R246" s="71"/>
      <c r="S246" s="71">
        <v>44438</v>
      </c>
      <c r="T246" s="71">
        <v>44421</v>
      </c>
      <c r="U246" s="71">
        <v>44421</v>
      </c>
      <c r="V246" s="71">
        <v>44175</v>
      </c>
      <c r="W246" s="71"/>
      <c r="X246" s="71"/>
      <c r="Y246" s="71"/>
      <c r="Z246" s="71"/>
      <c r="AA246" s="71">
        <v>44432</v>
      </c>
      <c r="AB246" s="71">
        <v>44432</v>
      </c>
      <c r="AC246" s="71">
        <v>44438</v>
      </c>
      <c r="AD246" s="71"/>
      <c r="AE246" s="71"/>
      <c r="AF246" s="71"/>
      <c r="AG246" s="71"/>
      <c r="AH246" s="71">
        <v>44491</v>
      </c>
      <c r="AI246" s="71">
        <v>44392</v>
      </c>
      <c r="AJ246" s="71">
        <v>44392</v>
      </c>
      <c r="AK246" s="71"/>
      <c r="AL246" s="71"/>
      <c r="AM246" s="71"/>
      <c r="AN246" s="71">
        <v>44488</v>
      </c>
      <c r="AO246" s="71"/>
      <c r="AP246" s="71">
        <v>44347</v>
      </c>
      <c r="AQ246" s="71">
        <v>44375</v>
      </c>
      <c r="AR246" s="71"/>
      <c r="AS246" s="71">
        <v>44347</v>
      </c>
      <c r="AT246" s="71"/>
      <c r="AU246" s="71">
        <v>44439</v>
      </c>
      <c r="AV246" s="71"/>
      <c r="AW246" s="71">
        <v>44439</v>
      </c>
      <c r="AX246" s="71"/>
      <c r="AY246" s="71">
        <v>44347</v>
      </c>
      <c r="AZ246" s="71"/>
      <c r="BA246" s="71"/>
      <c r="BB246" s="71">
        <v>44469</v>
      </c>
      <c r="BC246" s="71"/>
      <c r="BD246" s="71"/>
      <c r="BE246" s="71"/>
      <c r="BF246" s="71"/>
      <c r="BG246" s="71">
        <v>44477</v>
      </c>
      <c r="BH246" s="71"/>
      <c r="BI246" s="71"/>
      <c r="BJ246" s="71"/>
      <c r="BK246" s="70"/>
      <c r="BL246" s="70"/>
      <c r="BM246" s="70"/>
      <c r="BN246" s="70"/>
      <c r="BO246" s="70"/>
    </row>
    <row r="247" spans="1:67" x14ac:dyDescent="0.4">
      <c r="A247" s="86">
        <v>5480000</v>
      </c>
      <c r="B247" s="74" t="s">
        <v>241</v>
      </c>
      <c r="C247" s="71">
        <v>44439</v>
      </c>
      <c r="D247" s="71">
        <v>44439</v>
      </c>
      <c r="E247" s="71">
        <v>44439</v>
      </c>
      <c r="F247" s="71">
        <v>44502</v>
      </c>
      <c r="G247" s="71">
        <v>44475</v>
      </c>
      <c r="H247" s="71">
        <v>44432</v>
      </c>
      <c r="I247" s="71">
        <v>44440</v>
      </c>
      <c r="J247" s="71">
        <v>44475</v>
      </c>
      <c r="K247" s="72">
        <v>44176</v>
      </c>
      <c r="L247" s="71">
        <v>44317</v>
      </c>
      <c r="M247" s="71">
        <v>44475</v>
      </c>
      <c r="N247" s="71">
        <v>44165</v>
      </c>
      <c r="O247" s="71"/>
      <c r="P247" s="71">
        <v>44167</v>
      </c>
      <c r="Q247" s="71">
        <v>44439</v>
      </c>
      <c r="R247" s="71"/>
      <c r="S247" s="71">
        <v>44441</v>
      </c>
      <c r="T247" s="71">
        <v>44355</v>
      </c>
      <c r="U247" s="71">
        <v>44439</v>
      </c>
      <c r="V247" s="71">
        <v>44417</v>
      </c>
      <c r="W247" s="71"/>
      <c r="X247" s="71"/>
      <c r="Y247" s="71"/>
      <c r="Z247" s="71">
        <v>44433</v>
      </c>
      <c r="AA247" s="71"/>
      <c r="AB247" s="71">
        <v>44278</v>
      </c>
      <c r="AC247" s="71">
        <v>44362</v>
      </c>
      <c r="AD247" s="71">
        <v>44439</v>
      </c>
      <c r="AE247" s="71"/>
      <c r="AF247" s="71"/>
      <c r="AG247" s="71">
        <v>44475</v>
      </c>
      <c r="AH247" s="71">
        <v>44469</v>
      </c>
      <c r="AI247" s="71">
        <v>44433</v>
      </c>
      <c r="AJ247" s="71">
        <v>44433</v>
      </c>
      <c r="AK247" s="71"/>
      <c r="AL247" s="71"/>
      <c r="AM247" s="71">
        <v>44469</v>
      </c>
      <c r="AN247" s="71">
        <v>44455</v>
      </c>
      <c r="AO247" s="71"/>
      <c r="AP247" s="71">
        <v>44476</v>
      </c>
      <c r="AQ247" s="71">
        <v>44453</v>
      </c>
      <c r="AR247" s="71">
        <v>44475</v>
      </c>
      <c r="AS247" s="71">
        <v>44454</v>
      </c>
      <c r="AT247" s="71"/>
      <c r="AU247" s="71">
        <v>44439</v>
      </c>
      <c r="AV247" s="71"/>
      <c r="AW247" s="71">
        <v>44476</v>
      </c>
      <c r="AX247" s="71">
        <v>44503</v>
      </c>
      <c r="AY247" s="71"/>
      <c r="AZ247" s="71"/>
      <c r="BA247" s="71">
        <v>44469</v>
      </c>
      <c r="BB247" s="71">
        <v>44476</v>
      </c>
      <c r="BC247" s="71"/>
      <c r="BD247" s="71"/>
      <c r="BE247" s="71"/>
      <c r="BF247" s="71"/>
      <c r="BG247" s="71">
        <v>44469</v>
      </c>
      <c r="BH247" s="71">
        <v>44469</v>
      </c>
      <c r="BI247" s="71"/>
      <c r="BJ247" s="71"/>
      <c r="BK247" s="70"/>
      <c r="BL247" s="70"/>
      <c r="BM247" s="70"/>
      <c r="BN247" s="70"/>
      <c r="BO247" s="70"/>
    </row>
    <row r="248" spans="1:67" x14ac:dyDescent="0.4">
      <c r="A248" s="86">
        <v>6500000</v>
      </c>
      <c r="B248" s="74" t="s">
        <v>242</v>
      </c>
      <c r="C248" s="71"/>
      <c r="D248" s="71"/>
      <c r="E248" s="71">
        <v>44386</v>
      </c>
      <c r="F248" s="71">
        <v>44441</v>
      </c>
      <c r="G248" s="71">
        <v>44463</v>
      </c>
      <c r="H248" s="71"/>
      <c r="I248" s="71">
        <v>44348</v>
      </c>
      <c r="J248" s="71"/>
      <c r="K248" s="71"/>
      <c r="L248" s="71"/>
      <c r="M248" s="71"/>
      <c r="N248" s="71"/>
      <c r="O248" s="71"/>
      <c r="P248" s="71"/>
      <c r="Q248" s="71">
        <v>44483</v>
      </c>
      <c r="R248" s="71">
        <v>44362</v>
      </c>
      <c r="S248" s="71">
        <v>44383</v>
      </c>
      <c r="T248" s="71">
        <v>44483</v>
      </c>
      <c r="U248" s="71"/>
      <c r="V248" s="71"/>
      <c r="W248" s="71"/>
      <c r="X248" s="71"/>
      <c r="Y248" s="71"/>
      <c r="Z248" s="71"/>
      <c r="AA248" s="71"/>
      <c r="AB248" s="71"/>
      <c r="AC248" s="71"/>
      <c r="AD248" s="71"/>
      <c r="AE248" s="71">
        <v>44383</v>
      </c>
      <c r="AF248" s="71"/>
      <c r="AG248" s="71"/>
      <c r="AH248" s="71">
        <v>44334</v>
      </c>
      <c r="AI248" s="71"/>
      <c r="AJ248" s="71"/>
      <c r="AK248" s="71">
        <v>44490</v>
      </c>
      <c r="AL248" s="71"/>
      <c r="AM248" s="71">
        <v>44483</v>
      </c>
      <c r="AN248" s="71"/>
      <c r="AO248" s="71">
        <v>44483</v>
      </c>
      <c r="AP248" s="71"/>
      <c r="AQ248" s="71"/>
      <c r="AR248" s="71"/>
      <c r="AS248" s="71"/>
      <c r="AT248" s="71"/>
      <c r="AU248" s="71">
        <v>44334</v>
      </c>
      <c r="AV248" s="71"/>
      <c r="AW248" s="71">
        <v>44483</v>
      </c>
      <c r="AX248" s="71"/>
      <c r="AY248" s="71"/>
      <c r="AZ248" s="71"/>
      <c r="BA248" s="71">
        <v>44470</v>
      </c>
      <c r="BB248" s="71">
        <v>44490</v>
      </c>
      <c r="BC248" s="71">
        <v>44497</v>
      </c>
      <c r="BD248" s="71"/>
      <c r="BE248" s="71">
        <v>44490</v>
      </c>
      <c r="BF248" s="71">
        <v>44383</v>
      </c>
      <c r="BG248" s="71"/>
      <c r="BH248" s="71"/>
      <c r="BI248" s="71">
        <v>44208</v>
      </c>
      <c r="BJ248" s="71"/>
      <c r="BK248" s="70"/>
      <c r="BL248" s="70"/>
      <c r="BM248" s="70"/>
      <c r="BN248" s="70"/>
      <c r="BO248" s="70"/>
    </row>
    <row r="249" spans="1:67" x14ac:dyDescent="0.4">
      <c r="A249" s="86">
        <v>6510000</v>
      </c>
      <c r="B249" s="74" t="s">
        <v>244</v>
      </c>
      <c r="C249" s="71">
        <v>44439</v>
      </c>
      <c r="D249" s="71">
        <v>44463</v>
      </c>
      <c r="E249" s="71"/>
      <c r="F249" s="71">
        <v>44490</v>
      </c>
      <c r="G249" s="71">
        <v>44490</v>
      </c>
      <c r="H249" s="71">
        <v>44455</v>
      </c>
      <c r="I249" s="71">
        <v>44456</v>
      </c>
      <c r="J249" s="71">
        <v>44490</v>
      </c>
      <c r="K249" s="71">
        <v>44405</v>
      </c>
      <c r="L249" s="71">
        <v>44439</v>
      </c>
      <c r="M249" s="71">
        <v>44463</v>
      </c>
      <c r="N249" s="71">
        <v>44462</v>
      </c>
      <c r="O249" s="71">
        <v>44439</v>
      </c>
      <c r="P249" s="71">
        <v>44490</v>
      </c>
      <c r="Q249" s="71"/>
      <c r="R249" s="71">
        <v>44456</v>
      </c>
      <c r="S249" s="71"/>
      <c r="T249" s="71"/>
      <c r="U249" s="71">
        <v>44462</v>
      </c>
      <c r="V249" s="71">
        <v>44439</v>
      </c>
      <c r="W249" s="71"/>
      <c r="X249" s="71">
        <v>44456</v>
      </c>
      <c r="Y249" s="71"/>
      <c r="Z249" s="71"/>
      <c r="AA249" s="71">
        <v>44439</v>
      </c>
      <c r="AB249" s="71">
        <v>44439</v>
      </c>
      <c r="AC249" s="71">
        <v>44456</v>
      </c>
      <c r="AD249" s="71"/>
      <c r="AE249" s="71"/>
      <c r="AF249" s="71">
        <v>44474</v>
      </c>
      <c r="AG249" s="71"/>
      <c r="AH249" s="71"/>
      <c r="AI249" s="71"/>
      <c r="AJ249" s="71">
        <v>44405</v>
      </c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>
        <v>44474</v>
      </c>
      <c r="AV249" s="71"/>
      <c r="AW249" s="71"/>
      <c r="AX249" s="71">
        <v>44462</v>
      </c>
      <c r="AY249" s="71"/>
      <c r="AZ249" s="71"/>
      <c r="BA249" s="71"/>
      <c r="BB249" s="71"/>
      <c r="BC249" s="71"/>
      <c r="BD249" s="71"/>
      <c r="BE249" s="71"/>
      <c r="BF249" s="71"/>
      <c r="BG249" s="71"/>
      <c r="BH249" s="71"/>
      <c r="BI249" s="71"/>
      <c r="BJ249" s="71"/>
      <c r="BK249" s="70"/>
      <c r="BL249" s="70"/>
      <c r="BM249" s="70"/>
      <c r="BN249" s="70"/>
      <c r="BO249" s="70"/>
    </row>
    <row r="250" spans="1:67" ht="18" thickBot="1" x14ac:dyDescent="0.45">
      <c r="A250" s="86">
        <v>6520000</v>
      </c>
      <c r="B250" s="73" t="s">
        <v>245</v>
      </c>
      <c r="C250" s="71">
        <v>44503</v>
      </c>
      <c r="D250" s="71">
        <v>44377</v>
      </c>
      <c r="E250" s="71"/>
      <c r="F250" s="71">
        <v>44491</v>
      </c>
      <c r="G250" s="71">
        <v>44420</v>
      </c>
      <c r="H250" s="71">
        <v>44491</v>
      </c>
      <c r="I250" s="71">
        <v>44498</v>
      </c>
      <c r="J250" s="72">
        <v>44393</v>
      </c>
      <c r="K250" s="71">
        <v>44489</v>
      </c>
      <c r="L250" s="71">
        <v>44491</v>
      </c>
      <c r="M250" s="71">
        <v>44434</v>
      </c>
      <c r="N250" s="71">
        <v>44396</v>
      </c>
      <c r="O250" s="71"/>
      <c r="P250" s="71">
        <v>44490</v>
      </c>
      <c r="Q250" s="71">
        <v>44498</v>
      </c>
      <c r="R250" s="71">
        <v>44371</v>
      </c>
      <c r="S250" s="71">
        <v>44377</v>
      </c>
      <c r="T250" s="71"/>
      <c r="U250" s="71">
        <v>44426</v>
      </c>
      <c r="V250" s="71">
        <v>44377</v>
      </c>
      <c r="W250" s="71"/>
      <c r="X250" s="71"/>
      <c r="Y250" s="71"/>
      <c r="Z250" s="71"/>
      <c r="AA250" s="71">
        <v>44377</v>
      </c>
      <c r="AB250" s="71">
        <v>44489</v>
      </c>
      <c r="AC250" s="71">
        <v>44491</v>
      </c>
      <c r="AD250" s="71"/>
      <c r="AE250" s="71"/>
      <c r="AF250" s="71"/>
      <c r="AG250" s="71"/>
      <c r="AH250" s="71"/>
      <c r="AI250" s="71"/>
      <c r="AJ250" s="71">
        <v>44482</v>
      </c>
      <c r="AK250" s="71"/>
      <c r="AL250" s="71"/>
      <c r="AM250" s="71">
        <v>44491</v>
      </c>
      <c r="AN250" s="71">
        <v>44329</v>
      </c>
      <c r="AO250" s="71"/>
      <c r="AP250" s="71"/>
      <c r="AQ250" s="71">
        <v>44377</v>
      </c>
      <c r="AR250" s="71"/>
      <c r="AS250" s="71"/>
      <c r="AT250" s="71"/>
      <c r="AU250" s="71">
        <v>44504</v>
      </c>
      <c r="AV250" s="71"/>
      <c r="AW250" s="71"/>
      <c r="AX250" s="71">
        <v>44377</v>
      </c>
      <c r="AY250" s="71"/>
      <c r="AZ250" s="71"/>
      <c r="BA250" s="71"/>
      <c r="BB250" s="71"/>
      <c r="BC250" s="71"/>
      <c r="BD250" s="71"/>
      <c r="BE250" s="71">
        <v>44371</v>
      </c>
      <c r="BF250" s="71"/>
      <c r="BG250" s="71">
        <v>44420</v>
      </c>
      <c r="BH250" s="71">
        <v>44489</v>
      </c>
      <c r="BI250" s="71"/>
      <c r="BJ250" s="71"/>
      <c r="BK250" s="70"/>
      <c r="BL250" s="70"/>
      <c r="BM250" s="70"/>
      <c r="BN250" s="70"/>
      <c r="BO250" s="70"/>
    </row>
    <row r="251" spans="1:67" x14ac:dyDescent="0.4">
      <c r="B251" s="85" t="s">
        <v>1061</v>
      </c>
      <c r="C251" s="69">
        <f t="shared" ref="C251:AH251" si="2">COUNTA(C6:C250)</f>
        <v>224</v>
      </c>
      <c r="D251" s="69">
        <f t="shared" si="2"/>
        <v>232</v>
      </c>
      <c r="E251" s="69">
        <f t="shared" si="2"/>
        <v>229</v>
      </c>
      <c r="F251" s="69">
        <f t="shared" si="2"/>
        <v>223</v>
      </c>
      <c r="G251" s="69">
        <f t="shared" si="2"/>
        <v>212</v>
      </c>
      <c r="H251" s="69">
        <f t="shared" si="2"/>
        <v>207</v>
      </c>
      <c r="I251" s="69">
        <f t="shared" si="2"/>
        <v>237</v>
      </c>
      <c r="J251" s="69">
        <f t="shared" si="2"/>
        <v>227</v>
      </c>
      <c r="K251" s="69">
        <f t="shared" si="2"/>
        <v>114</v>
      </c>
      <c r="L251" s="69">
        <f t="shared" si="2"/>
        <v>176</v>
      </c>
      <c r="M251" s="69">
        <f t="shared" si="2"/>
        <v>224</v>
      </c>
      <c r="N251" s="69">
        <f t="shared" si="2"/>
        <v>227</v>
      </c>
      <c r="O251" s="69">
        <f t="shared" si="2"/>
        <v>88</v>
      </c>
      <c r="P251" s="69">
        <f t="shared" si="2"/>
        <v>215</v>
      </c>
      <c r="Q251" s="69">
        <f t="shared" si="2"/>
        <v>184</v>
      </c>
      <c r="R251" s="69">
        <f t="shared" si="2"/>
        <v>110</v>
      </c>
      <c r="S251" s="69">
        <f t="shared" si="2"/>
        <v>208</v>
      </c>
      <c r="T251" s="69">
        <f t="shared" si="2"/>
        <v>146</v>
      </c>
      <c r="U251" s="69">
        <f t="shared" si="2"/>
        <v>227</v>
      </c>
      <c r="V251" s="69">
        <f t="shared" si="2"/>
        <v>208</v>
      </c>
      <c r="W251" s="69">
        <f t="shared" si="2"/>
        <v>49</v>
      </c>
      <c r="X251" s="69">
        <f t="shared" si="2"/>
        <v>93</v>
      </c>
      <c r="Y251" s="69">
        <f t="shared" si="2"/>
        <v>45</v>
      </c>
      <c r="Z251" s="69">
        <f t="shared" si="2"/>
        <v>142</v>
      </c>
      <c r="AA251" s="69">
        <f t="shared" si="2"/>
        <v>192</v>
      </c>
      <c r="AB251" s="69">
        <f t="shared" si="2"/>
        <v>233</v>
      </c>
      <c r="AC251" s="69">
        <f t="shared" si="2"/>
        <v>150</v>
      </c>
      <c r="AD251" s="69">
        <f t="shared" si="2"/>
        <v>160</v>
      </c>
      <c r="AE251" s="69">
        <f t="shared" si="2"/>
        <v>143</v>
      </c>
      <c r="AF251" s="69">
        <f t="shared" si="2"/>
        <v>53</v>
      </c>
      <c r="AG251" s="69">
        <f t="shared" si="2"/>
        <v>123</v>
      </c>
      <c r="AH251" s="69">
        <f t="shared" si="2"/>
        <v>167</v>
      </c>
      <c r="AI251" s="69">
        <f t="shared" ref="AI251:BJ251" si="3">COUNTA(AI6:AI250)</f>
        <v>184</v>
      </c>
      <c r="AJ251" s="69">
        <f t="shared" si="3"/>
        <v>227</v>
      </c>
      <c r="AK251" s="69">
        <f t="shared" si="3"/>
        <v>39</v>
      </c>
      <c r="AL251" s="69">
        <f t="shared" si="3"/>
        <v>13</v>
      </c>
      <c r="AM251" s="69">
        <f t="shared" si="3"/>
        <v>88</v>
      </c>
      <c r="AN251" s="69">
        <f t="shared" si="3"/>
        <v>44</v>
      </c>
      <c r="AO251" s="69">
        <f t="shared" si="3"/>
        <v>21</v>
      </c>
      <c r="AP251" s="69">
        <f t="shared" si="3"/>
        <v>53</v>
      </c>
      <c r="AQ251" s="69">
        <f t="shared" si="3"/>
        <v>61</v>
      </c>
      <c r="AR251" s="69">
        <f t="shared" si="3"/>
        <v>104</v>
      </c>
      <c r="AS251" s="69">
        <f t="shared" si="3"/>
        <v>41</v>
      </c>
      <c r="AT251" s="69">
        <f t="shared" si="3"/>
        <v>21</v>
      </c>
      <c r="AU251" s="69">
        <f t="shared" si="3"/>
        <v>217</v>
      </c>
      <c r="AV251" s="69">
        <f t="shared" si="3"/>
        <v>27</v>
      </c>
      <c r="AW251" s="69">
        <f t="shared" si="3"/>
        <v>134</v>
      </c>
      <c r="AX251" s="69">
        <f t="shared" si="3"/>
        <v>104</v>
      </c>
      <c r="AY251" s="69">
        <f t="shared" si="3"/>
        <v>140</v>
      </c>
      <c r="AZ251" s="69">
        <f t="shared" si="3"/>
        <v>24</v>
      </c>
      <c r="BA251" s="69">
        <f t="shared" si="3"/>
        <v>150</v>
      </c>
      <c r="BB251" s="69">
        <f t="shared" si="3"/>
        <v>200</v>
      </c>
      <c r="BC251" s="69">
        <f t="shared" si="3"/>
        <v>93</v>
      </c>
      <c r="BD251" s="69">
        <f t="shared" si="3"/>
        <v>53</v>
      </c>
      <c r="BE251" s="69">
        <f t="shared" si="3"/>
        <v>62</v>
      </c>
      <c r="BF251" s="69">
        <f t="shared" si="3"/>
        <v>12</v>
      </c>
      <c r="BG251" s="69">
        <f t="shared" si="3"/>
        <v>121</v>
      </c>
      <c r="BH251" s="69">
        <f t="shared" si="3"/>
        <v>53</v>
      </c>
      <c r="BI251" s="69">
        <f t="shared" si="3"/>
        <v>17</v>
      </c>
      <c r="BJ251" s="69">
        <f t="shared" si="3"/>
        <v>19</v>
      </c>
      <c r="BK251" s="69">
        <f>SUM(C251:BJ251)</f>
        <v>7790</v>
      </c>
    </row>
    <row r="252" spans="1:67" x14ac:dyDescent="0.4">
      <c r="B252" s="85" t="s">
        <v>1062</v>
      </c>
      <c r="C252" s="69">
        <f t="shared" ref="C252:AH252" si="4">COUNTBLANK(C6:C250)</f>
        <v>21</v>
      </c>
      <c r="D252" s="69">
        <f t="shared" si="4"/>
        <v>13</v>
      </c>
      <c r="E252" s="69">
        <f t="shared" si="4"/>
        <v>16</v>
      </c>
      <c r="F252" s="69">
        <f t="shared" si="4"/>
        <v>22</v>
      </c>
      <c r="G252" s="69">
        <f t="shared" si="4"/>
        <v>33</v>
      </c>
      <c r="H252" s="69">
        <f t="shared" si="4"/>
        <v>38</v>
      </c>
      <c r="I252" s="69">
        <f t="shared" si="4"/>
        <v>8</v>
      </c>
      <c r="J252" s="69">
        <f t="shared" si="4"/>
        <v>18</v>
      </c>
      <c r="K252" s="69">
        <f t="shared" si="4"/>
        <v>131</v>
      </c>
      <c r="L252" s="69">
        <f t="shared" si="4"/>
        <v>69</v>
      </c>
      <c r="M252" s="69">
        <f t="shared" si="4"/>
        <v>21</v>
      </c>
      <c r="N252" s="69">
        <f t="shared" si="4"/>
        <v>18</v>
      </c>
      <c r="O252" s="69">
        <f t="shared" si="4"/>
        <v>157</v>
      </c>
      <c r="P252" s="69">
        <f t="shared" si="4"/>
        <v>30</v>
      </c>
      <c r="Q252" s="69">
        <f t="shared" si="4"/>
        <v>61</v>
      </c>
      <c r="R252" s="69">
        <f t="shared" si="4"/>
        <v>135</v>
      </c>
      <c r="S252" s="69">
        <f t="shared" si="4"/>
        <v>37</v>
      </c>
      <c r="T252" s="69">
        <f t="shared" si="4"/>
        <v>99</v>
      </c>
      <c r="U252" s="69">
        <f t="shared" si="4"/>
        <v>18</v>
      </c>
      <c r="V252" s="69">
        <f t="shared" si="4"/>
        <v>37</v>
      </c>
      <c r="W252" s="69">
        <f t="shared" si="4"/>
        <v>196</v>
      </c>
      <c r="X252" s="69">
        <f t="shared" si="4"/>
        <v>152</v>
      </c>
      <c r="Y252" s="69">
        <f t="shared" si="4"/>
        <v>200</v>
      </c>
      <c r="Z252" s="69">
        <f t="shared" si="4"/>
        <v>103</v>
      </c>
      <c r="AA252" s="69">
        <f t="shared" si="4"/>
        <v>53</v>
      </c>
      <c r="AB252" s="69">
        <f t="shared" si="4"/>
        <v>12</v>
      </c>
      <c r="AC252" s="69">
        <f t="shared" si="4"/>
        <v>95</v>
      </c>
      <c r="AD252" s="69">
        <f t="shared" si="4"/>
        <v>85</v>
      </c>
      <c r="AE252" s="69">
        <f t="shared" si="4"/>
        <v>102</v>
      </c>
      <c r="AF252" s="69">
        <f t="shared" si="4"/>
        <v>192</v>
      </c>
      <c r="AG252" s="69">
        <f t="shared" si="4"/>
        <v>122</v>
      </c>
      <c r="AH252" s="69">
        <f t="shared" si="4"/>
        <v>78</v>
      </c>
      <c r="AI252" s="69">
        <f t="shared" ref="AI252:BJ252" si="5">COUNTBLANK(AI6:AI250)</f>
        <v>61</v>
      </c>
      <c r="AJ252" s="69">
        <f t="shared" si="5"/>
        <v>18</v>
      </c>
      <c r="AK252" s="69">
        <f t="shared" si="5"/>
        <v>206</v>
      </c>
      <c r="AL252" s="69">
        <f t="shared" si="5"/>
        <v>232</v>
      </c>
      <c r="AM252" s="69">
        <f t="shared" si="5"/>
        <v>157</v>
      </c>
      <c r="AN252" s="69">
        <f t="shared" si="5"/>
        <v>201</v>
      </c>
      <c r="AO252" s="69">
        <f t="shared" si="5"/>
        <v>224</v>
      </c>
      <c r="AP252" s="69">
        <f t="shared" si="5"/>
        <v>192</v>
      </c>
      <c r="AQ252" s="69">
        <f t="shared" si="5"/>
        <v>184</v>
      </c>
      <c r="AR252" s="69">
        <f t="shared" si="5"/>
        <v>141</v>
      </c>
      <c r="AS252" s="69">
        <f t="shared" si="5"/>
        <v>204</v>
      </c>
      <c r="AT252" s="69">
        <f t="shared" si="5"/>
        <v>224</v>
      </c>
      <c r="AU252" s="69">
        <f t="shared" si="5"/>
        <v>28</v>
      </c>
      <c r="AV252" s="69">
        <f t="shared" si="5"/>
        <v>218</v>
      </c>
      <c r="AW252" s="69">
        <f t="shared" si="5"/>
        <v>111</v>
      </c>
      <c r="AX252" s="69">
        <f t="shared" si="5"/>
        <v>141</v>
      </c>
      <c r="AY252" s="69">
        <f t="shared" si="5"/>
        <v>105</v>
      </c>
      <c r="AZ252" s="69">
        <f t="shared" si="5"/>
        <v>221</v>
      </c>
      <c r="BA252" s="69">
        <f t="shared" si="5"/>
        <v>95</v>
      </c>
      <c r="BB252" s="69">
        <f t="shared" si="5"/>
        <v>45</v>
      </c>
      <c r="BC252" s="69">
        <f t="shared" si="5"/>
        <v>152</v>
      </c>
      <c r="BD252" s="69">
        <f t="shared" si="5"/>
        <v>192</v>
      </c>
      <c r="BE252" s="69">
        <f t="shared" si="5"/>
        <v>183</v>
      </c>
      <c r="BF252" s="69">
        <f t="shared" si="5"/>
        <v>233</v>
      </c>
      <c r="BG252" s="69">
        <f t="shared" si="5"/>
        <v>124</v>
      </c>
      <c r="BH252" s="69">
        <f t="shared" si="5"/>
        <v>192</v>
      </c>
      <c r="BI252" s="69">
        <f t="shared" si="5"/>
        <v>228</v>
      </c>
      <c r="BJ252" s="69">
        <f t="shared" si="5"/>
        <v>226</v>
      </c>
    </row>
    <row r="253" spans="1:67" x14ac:dyDescent="0.4">
      <c r="B253" s="85" t="s">
        <v>1063</v>
      </c>
      <c r="C253" s="69">
        <f t="shared" ref="C253:AH253" si="6">C252+C251</f>
        <v>245</v>
      </c>
      <c r="D253" s="69">
        <f t="shared" si="6"/>
        <v>245</v>
      </c>
      <c r="E253" s="69">
        <f t="shared" si="6"/>
        <v>245</v>
      </c>
      <c r="F253" s="69">
        <f t="shared" si="6"/>
        <v>245</v>
      </c>
      <c r="G253" s="69">
        <f t="shared" si="6"/>
        <v>245</v>
      </c>
      <c r="H253" s="69">
        <f t="shared" si="6"/>
        <v>245</v>
      </c>
      <c r="I253" s="69">
        <f t="shared" si="6"/>
        <v>245</v>
      </c>
      <c r="J253" s="69">
        <f t="shared" si="6"/>
        <v>245</v>
      </c>
      <c r="K253" s="69">
        <f t="shared" si="6"/>
        <v>245</v>
      </c>
      <c r="L253" s="69">
        <f t="shared" si="6"/>
        <v>245</v>
      </c>
      <c r="M253" s="69">
        <f t="shared" si="6"/>
        <v>245</v>
      </c>
      <c r="N253" s="69">
        <f t="shared" si="6"/>
        <v>245</v>
      </c>
      <c r="O253" s="69">
        <f t="shared" si="6"/>
        <v>245</v>
      </c>
      <c r="P253" s="69">
        <f t="shared" si="6"/>
        <v>245</v>
      </c>
      <c r="Q253" s="69">
        <f t="shared" si="6"/>
        <v>245</v>
      </c>
      <c r="R253" s="69">
        <f t="shared" si="6"/>
        <v>245</v>
      </c>
      <c r="S253" s="69">
        <f t="shared" si="6"/>
        <v>245</v>
      </c>
      <c r="T253" s="69">
        <f t="shared" si="6"/>
        <v>245</v>
      </c>
      <c r="U253" s="69">
        <f t="shared" si="6"/>
        <v>245</v>
      </c>
      <c r="V253" s="69">
        <f t="shared" si="6"/>
        <v>245</v>
      </c>
      <c r="W253" s="69">
        <f t="shared" si="6"/>
        <v>245</v>
      </c>
      <c r="X253" s="69">
        <f t="shared" si="6"/>
        <v>245</v>
      </c>
      <c r="Y253" s="69">
        <f t="shared" si="6"/>
        <v>245</v>
      </c>
      <c r="Z253" s="69">
        <f t="shared" si="6"/>
        <v>245</v>
      </c>
      <c r="AA253" s="69">
        <f t="shared" si="6"/>
        <v>245</v>
      </c>
      <c r="AB253" s="69">
        <f t="shared" si="6"/>
        <v>245</v>
      </c>
      <c r="AC253" s="69">
        <f t="shared" si="6"/>
        <v>245</v>
      </c>
      <c r="AD253" s="69">
        <f t="shared" si="6"/>
        <v>245</v>
      </c>
      <c r="AE253" s="69">
        <f t="shared" si="6"/>
        <v>245</v>
      </c>
      <c r="AF253" s="69">
        <f t="shared" si="6"/>
        <v>245</v>
      </c>
      <c r="AG253" s="69">
        <f t="shared" si="6"/>
        <v>245</v>
      </c>
      <c r="AH253" s="69">
        <f t="shared" si="6"/>
        <v>245</v>
      </c>
      <c r="AI253" s="69">
        <f t="shared" ref="AI253:BJ253" si="7">AI252+AI251</f>
        <v>245</v>
      </c>
      <c r="AJ253" s="69">
        <f t="shared" si="7"/>
        <v>245</v>
      </c>
      <c r="AK253" s="69">
        <f t="shared" si="7"/>
        <v>245</v>
      </c>
      <c r="AL253" s="69">
        <f t="shared" si="7"/>
        <v>245</v>
      </c>
      <c r="AM253" s="69">
        <f t="shared" si="7"/>
        <v>245</v>
      </c>
      <c r="AN253" s="69">
        <f t="shared" si="7"/>
        <v>245</v>
      </c>
      <c r="AO253" s="69">
        <f t="shared" si="7"/>
        <v>245</v>
      </c>
      <c r="AP253" s="69">
        <f t="shared" si="7"/>
        <v>245</v>
      </c>
      <c r="AQ253" s="69">
        <f t="shared" si="7"/>
        <v>245</v>
      </c>
      <c r="AR253" s="69">
        <f t="shared" si="7"/>
        <v>245</v>
      </c>
      <c r="AS253" s="69">
        <f t="shared" si="7"/>
        <v>245</v>
      </c>
      <c r="AT253" s="69">
        <f t="shared" si="7"/>
        <v>245</v>
      </c>
      <c r="AU253" s="69">
        <f t="shared" si="7"/>
        <v>245</v>
      </c>
      <c r="AV253" s="69">
        <f t="shared" si="7"/>
        <v>245</v>
      </c>
      <c r="AW253" s="69">
        <f t="shared" si="7"/>
        <v>245</v>
      </c>
      <c r="AX253" s="69">
        <f t="shared" si="7"/>
        <v>245</v>
      </c>
      <c r="AY253" s="69">
        <f t="shared" si="7"/>
        <v>245</v>
      </c>
      <c r="AZ253" s="69">
        <f t="shared" si="7"/>
        <v>245</v>
      </c>
      <c r="BA253" s="69">
        <f t="shared" si="7"/>
        <v>245</v>
      </c>
      <c r="BB253" s="69">
        <f t="shared" si="7"/>
        <v>245</v>
      </c>
      <c r="BC253" s="69">
        <f t="shared" si="7"/>
        <v>245</v>
      </c>
      <c r="BD253" s="69">
        <f t="shared" si="7"/>
        <v>245</v>
      </c>
      <c r="BE253" s="69">
        <f t="shared" si="7"/>
        <v>245</v>
      </c>
      <c r="BF253" s="69">
        <f t="shared" si="7"/>
        <v>245</v>
      </c>
      <c r="BG253" s="69">
        <f t="shared" si="7"/>
        <v>245</v>
      </c>
      <c r="BH253" s="69">
        <f t="shared" si="7"/>
        <v>245</v>
      </c>
      <c r="BI253" s="69">
        <f t="shared" si="7"/>
        <v>245</v>
      </c>
      <c r="BJ253" s="69">
        <f t="shared" si="7"/>
        <v>245</v>
      </c>
    </row>
  </sheetData>
  <mergeCells count="1">
    <mergeCell ref="D1:E1"/>
  </mergeCells>
  <phoneticPr fontId="8" type="noConversion"/>
  <pageMargins left="0.7" right="0.7" top="0.75" bottom="0.75" header="0.3" footer="0.3"/>
  <pageSetup paperSize="9" orientation="portrait" horizontalDpi="429496729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246"/>
  <sheetViews>
    <sheetView workbookViewId="0">
      <selection activeCell="F16" sqref="F16"/>
    </sheetView>
  </sheetViews>
  <sheetFormatPr defaultRowHeight="17.399999999999999" x14ac:dyDescent="0.4"/>
  <cols>
    <col min="1" max="1" width="15.69921875" style="5" bestFit="1" customWidth="1"/>
    <col min="2" max="2" width="16.296875" style="5" bestFit="1" customWidth="1"/>
    <col min="3" max="3" width="11.69921875" style="5" bestFit="1" customWidth="1"/>
    <col min="4" max="4" width="15.69921875" style="10" bestFit="1" customWidth="1"/>
    <col min="5" max="7" width="8.796875" style="5"/>
    <col min="8" max="8" width="22.796875" bestFit="1" customWidth="1"/>
    <col min="9" max="9" width="15.69921875" style="10" bestFit="1" customWidth="1"/>
  </cols>
  <sheetData>
    <row r="1" spans="1:34" s="21" customFormat="1" x14ac:dyDescent="0.4">
      <c r="A1" s="8" t="s">
        <v>246</v>
      </c>
      <c r="B1" s="7" t="s">
        <v>248</v>
      </c>
      <c r="C1" s="7" t="s">
        <v>249</v>
      </c>
      <c r="D1" s="23" t="s">
        <v>297</v>
      </c>
      <c r="E1" s="21" t="s">
        <v>995</v>
      </c>
      <c r="F1" s="21" t="s">
        <v>996</v>
      </c>
      <c r="H1" s="22" t="s">
        <v>296</v>
      </c>
      <c r="I1" s="23" t="s">
        <v>297</v>
      </c>
    </row>
    <row r="2" spans="1:34" x14ac:dyDescent="0.4">
      <c r="A2" s="45">
        <v>0</v>
      </c>
      <c r="B2" s="5">
        <v>0</v>
      </c>
      <c r="C2" s="5">
        <v>0</v>
      </c>
      <c r="D2" s="24">
        <f>I2</f>
        <v>0</v>
      </c>
      <c r="E2" s="5">
        <f>A2-D2</f>
        <v>0</v>
      </c>
      <c r="F2" s="5" t="str">
        <f>IF(C2=A2,"",IF(A2-D2=C2,"삭제시 맞음",""))</f>
        <v/>
      </c>
      <c r="H2" s="4" t="s">
        <v>1</v>
      </c>
      <c r="I2" s="24">
        <f t="shared" ref="I2:I65" si="0">COUNTA(J2:XFD2)</f>
        <v>0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x14ac:dyDescent="0.4">
      <c r="A3" s="45">
        <v>31</v>
      </c>
      <c r="B3" s="5">
        <v>0</v>
      </c>
      <c r="C3" s="5">
        <v>0</v>
      </c>
      <c r="D3" s="24">
        <f t="shared" ref="D3:D66" si="1">I3</f>
        <v>1</v>
      </c>
      <c r="E3" s="5">
        <f t="shared" ref="E3:E23" si="2">A3-D3</f>
        <v>30</v>
      </c>
      <c r="F3" s="5" t="str">
        <f t="shared" ref="F3:F66" si="3">IF(C3=A3,"",IF(A3-D3=C3,"삭제시 맞음",""))</f>
        <v/>
      </c>
      <c r="H3" s="3" t="s">
        <v>22</v>
      </c>
      <c r="I3" s="24">
        <f t="shared" si="0"/>
        <v>1</v>
      </c>
      <c r="J3" s="20" t="s">
        <v>256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4">
      <c r="A4" s="45">
        <v>29</v>
      </c>
      <c r="B4" s="5">
        <v>33</v>
      </c>
      <c r="C4" s="5">
        <v>27</v>
      </c>
      <c r="D4" s="24">
        <f t="shared" si="1"/>
        <v>0</v>
      </c>
      <c r="E4" s="5">
        <f t="shared" si="2"/>
        <v>29</v>
      </c>
      <c r="F4" s="5" t="str">
        <f t="shared" si="3"/>
        <v/>
      </c>
      <c r="H4" s="3" t="s">
        <v>2</v>
      </c>
      <c r="I4" s="24">
        <f t="shared" si="0"/>
        <v>0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4">
      <c r="A5" s="45">
        <v>32</v>
      </c>
      <c r="B5" s="5">
        <v>32</v>
      </c>
      <c r="C5" s="5">
        <v>32</v>
      </c>
      <c r="D5" s="24">
        <f t="shared" si="1"/>
        <v>0</v>
      </c>
      <c r="E5" s="5">
        <f t="shared" si="2"/>
        <v>32</v>
      </c>
      <c r="F5" s="5" t="str">
        <f t="shared" si="3"/>
        <v/>
      </c>
      <c r="H5" s="3" t="s">
        <v>3</v>
      </c>
      <c r="I5" s="24">
        <f t="shared" si="0"/>
        <v>0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4">
      <c r="A6" s="45">
        <v>35</v>
      </c>
      <c r="B6" s="5">
        <v>35</v>
      </c>
      <c r="C6" s="5">
        <v>35</v>
      </c>
      <c r="D6" s="24">
        <f t="shared" si="1"/>
        <v>0</v>
      </c>
      <c r="E6" s="5">
        <f t="shared" si="2"/>
        <v>35</v>
      </c>
      <c r="F6" s="5" t="str">
        <f t="shared" si="3"/>
        <v/>
      </c>
      <c r="H6" s="3" t="s">
        <v>4</v>
      </c>
      <c r="I6" s="24">
        <f t="shared" si="0"/>
        <v>0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4">
      <c r="A7" s="45">
        <v>40</v>
      </c>
      <c r="B7" s="5">
        <v>40</v>
      </c>
      <c r="C7" s="5">
        <v>40</v>
      </c>
      <c r="D7" s="24">
        <f t="shared" si="1"/>
        <v>0</v>
      </c>
      <c r="E7" s="5">
        <f t="shared" si="2"/>
        <v>40</v>
      </c>
      <c r="F7" s="5" t="str">
        <f t="shared" si="3"/>
        <v/>
      </c>
      <c r="H7" s="3" t="s">
        <v>5</v>
      </c>
      <c r="I7" s="24">
        <f t="shared" si="0"/>
        <v>0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4">
      <c r="A8" s="45">
        <v>21</v>
      </c>
      <c r="B8" s="5">
        <v>36</v>
      </c>
      <c r="C8" s="5">
        <v>21</v>
      </c>
      <c r="D8" s="24">
        <f t="shared" si="1"/>
        <v>0</v>
      </c>
      <c r="E8" s="5">
        <f t="shared" si="2"/>
        <v>21</v>
      </c>
      <c r="F8" s="5" t="str">
        <f t="shared" si="3"/>
        <v/>
      </c>
      <c r="H8" s="3" t="s">
        <v>6</v>
      </c>
      <c r="I8" s="24">
        <f t="shared" si="0"/>
        <v>0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4">
      <c r="A9" s="45">
        <v>31</v>
      </c>
      <c r="B9" s="5">
        <v>34</v>
      </c>
      <c r="C9" s="5">
        <v>31</v>
      </c>
      <c r="D9" s="24">
        <f t="shared" si="1"/>
        <v>2</v>
      </c>
      <c r="E9" s="5">
        <f t="shared" si="2"/>
        <v>29</v>
      </c>
      <c r="F9" s="5" t="str">
        <f t="shared" si="3"/>
        <v/>
      </c>
      <c r="H9" s="3" t="s">
        <v>7</v>
      </c>
      <c r="I9" s="24">
        <f t="shared" si="0"/>
        <v>2</v>
      </c>
      <c r="J9" s="20" t="s">
        <v>257</v>
      </c>
      <c r="K9" s="20" t="s">
        <v>258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4">
      <c r="A10" s="45">
        <v>29</v>
      </c>
      <c r="B10" s="5">
        <v>35</v>
      </c>
      <c r="C10" s="5">
        <v>28</v>
      </c>
      <c r="D10" s="24">
        <f t="shared" si="1"/>
        <v>0</v>
      </c>
      <c r="E10" s="5">
        <f t="shared" si="2"/>
        <v>29</v>
      </c>
      <c r="F10" s="5" t="str">
        <f t="shared" si="3"/>
        <v/>
      </c>
      <c r="H10" s="3" t="s">
        <v>8</v>
      </c>
      <c r="I10" s="24">
        <f t="shared" si="0"/>
        <v>0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4">
      <c r="A11" s="45">
        <v>35</v>
      </c>
      <c r="B11" s="5">
        <v>34</v>
      </c>
      <c r="C11" s="5">
        <v>34</v>
      </c>
      <c r="D11" s="24">
        <f t="shared" si="1"/>
        <v>0</v>
      </c>
      <c r="E11" s="5">
        <f t="shared" si="2"/>
        <v>35</v>
      </c>
      <c r="F11" s="5" t="str">
        <f t="shared" si="3"/>
        <v/>
      </c>
      <c r="H11" s="3" t="s">
        <v>9</v>
      </c>
      <c r="I11" s="24">
        <f t="shared" si="0"/>
        <v>0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4">
      <c r="A12" s="45">
        <v>23</v>
      </c>
      <c r="B12" s="5">
        <v>0</v>
      </c>
      <c r="C12" s="5">
        <v>0</v>
      </c>
      <c r="D12" s="24">
        <f t="shared" si="1"/>
        <v>17</v>
      </c>
      <c r="E12" s="5">
        <f t="shared" si="2"/>
        <v>6</v>
      </c>
      <c r="F12" s="5" t="str">
        <f t="shared" si="3"/>
        <v/>
      </c>
      <c r="H12" s="3" t="s">
        <v>23</v>
      </c>
      <c r="I12" s="24">
        <f t="shared" si="0"/>
        <v>17</v>
      </c>
      <c r="J12" s="20" t="s">
        <v>259</v>
      </c>
      <c r="K12" s="20" t="s">
        <v>260</v>
      </c>
      <c r="L12" s="20" t="s">
        <v>261</v>
      </c>
      <c r="M12" s="20" t="s">
        <v>262</v>
      </c>
      <c r="N12" s="20" t="s">
        <v>263</v>
      </c>
      <c r="O12" s="20" t="s">
        <v>264</v>
      </c>
      <c r="P12" s="20" t="s">
        <v>265</v>
      </c>
      <c r="Q12" s="20" t="s">
        <v>266</v>
      </c>
      <c r="R12" s="20" t="s">
        <v>267</v>
      </c>
      <c r="S12" s="20" t="s">
        <v>256</v>
      </c>
      <c r="T12" s="20" t="s">
        <v>268</v>
      </c>
      <c r="U12" s="20" t="s">
        <v>269</v>
      </c>
      <c r="V12" s="20" t="s">
        <v>270</v>
      </c>
      <c r="W12" s="20" t="s">
        <v>271</v>
      </c>
      <c r="X12" s="20" t="s">
        <v>272</v>
      </c>
      <c r="Y12" s="20" t="s">
        <v>273</v>
      </c>
      <c r="Z12" s="20" t="s">
        <v>274</v>
      </c>
      <c r="AA12" s="2"/>
      <c r="AB12" s="2"/>
      <c r="AC12" s="2"/>
      <c r="AD12" s="2"/>
      <c r="AE12" s="2"/>
      <c r="AF12" s="2"/>
      <c r="AG12" s="2"/>
      <c r="AH12" s="2"/>
    </row>
    <row r="13" spans="1:34" x14ac:dyDescent="0.4">
      <c r="A13" s="45">
        <v>30</v>
      </c>
      <c r="B13" s="5">
        <v>30</v>
      </c>
      <c r="C13" s="5">
        <v>30</v>
      </c>
      <c r="D13" s="24">
        <f t="shared" si="1"/>
        <v>0</v>
      </c>
      <c r="E13" s="5">
        <f t="shared" si="2"/>
        <v>30</v>
      </c>
      <c r="F13" s="5" t="str">
        <f t="shared" si="3"/>
        <v/>
      </c>
      <c r="H13" s="3" t="s">
        <v>10</v>
      </c>
      <c r="I13" s="24">
        <f t="shared" si="0"/>
        <v>0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4">
      <c r="A14" s="45">
        <v>34</v>
      </c>
      <c r="B14" s="5">
        <v>35</v>
      </c>
      <c r="C14" s="5">
        <v>35</v>
      </c>
      <c r="D14" s="24">
        <f t="shared" si="1"/>
        <v>0</v>
      </c>
      <c r="E14" s="5">
        <f t="shared" si="2"/>
        <v>34</v>
      </c>
      <c r="F14" s="5" t="str">
        <f t="shared" si="3"/>
        <v/>
      </c>
      <c r="H14" s="3" t="s">
        <v>11</v>
      </c>
      <c r="I14" s="24">
        <f t="shared" si="0"/>
        <v>0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4">
      <c r="A15" s="45">
        <v>40</v>
      </c>
      <c r="B15" s="5">
        <v>50</v>
      </c>
      <c r="C15" s="5">
        <v>39</v>
      </c>
      <c r="D15" s="24">
        <f t="shared" si="1"/>
        <v>10</v>
      </c>
      <c r="E15" s="5">
        <f t="shared" si="2"/>
        <v>30</v>
      </c>
      <c r="F15" s="5" t="str">
        <f t="shared" si="3"/>
        <v/>
      </c>
      <c r="H15" s="3" t="s">
        <v>12</v>
      </c>
      <c r="I15" s="24">
        <f t="shared" si="0"/>
        <v>10</v>
      </c>
      <c r="J15" s="20" t="s">
        <v>259</v>
      </c>
      <c r="K15" s="20" t="s">
        <v>261</v>
      </c>
      <c r="L15" s="20" t="s">
        <v>263</v>
      </c>
      <c r="M15" s="20" t="s">
        <v>264</v>
      </c>
      <c r="N15" s="20" t="s">
        <v>265</v>
      </c>
      <c r="O15" s="20" t="s">
        <v>267</v>
      </c>
      <c r="P15" s="20" t="s">
        <v>269</v>
      </c>
      <c r="Q15" s="20" t="s">
        <v>270</v>
      </c>
      <c r="R15" s="20" t="s">
        <v>275</v>
      </c>
      <c r="S15" s="20" t="s">
        <v>273</v>
      </c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4">
      <c r="A16" s="45">
        <v>18</v>
      </c>
      <c r="B16" s="5">
        <v>0</v>
      </c>
      <c r="C16" s="5">
        <v>0</v>
      </c>
      <c r="D16" s="24">
        <f t="shared" si="1"/>
        <v>2</v>
      </c>
      <c r="E16" s="5">
        <f t="shared" si="2"/>
        <v>16</v>
      </c>
      <c r="F16" s="5" t="str">
        <f t="shared" si="3"/>
        <v/>
      </c>
      <c r="H16" s="3" t="s">
        <v>24</v>
      </c>
      <c r="I16" s="24">
        <f t="shared" si="0"/>
        <v>2</v>
      </c>
      <c r="J16" s="20" t="s">
        <v>262</v>
      </c>
      <c r="K16" s="20" t="s">
        <v>269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4">
      <c r="A17" s="45">
        <v>31</v>
      </c>
      <c r="B17" s="5">
        <v>36</v>
      </c>
      <c r="C17" s="5">
        <v>31</v>
      </c>
      <c r="D17" s="24">
        <f t="shared" si="1"/>
        <v>0</v>
      </c>
      <c r="E17" s="5">
        <f t="shared" si="2"/>
        <v>31</v>
      </c>
      <c r="F17" s="5" t="str">
        <f t="shared" si="3"/>
        <v/>
      </c>
      <c r="H17" s="3" t="s">
        <v>13</v>
      </c>
      <c r="I17" s="24">
        <f t="shared" si="0"/>
        <v>0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4">
      <c r="A18" s="45">
        <v>38</v>
      </c>
      <c r="B18" s="5">
        <v>40</v>
      </c>
      <c r="C18" s="5">
        <v>38</v>
      </c>
      <c r="D18" s="24">
        <f t="shared" si="1"/>
        <v>0</v>
      </c>
      <c r="E18" s="5">
        <f t="shared" si="2"/>
        <v>38</v>
      </c>
      <c r="F18" s="5" t="str">
        <f t="shared" si="3"/>
        <v/>
      </c>
      <c r="H18" s="3" t="s">
        <v>14</v>
      </c>
      <c r="I18" s="24">
        <f t="shared" si="0"/>
        <v>0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4">
      <c r="A19" s="45">
        <v>31</v>
      </c>
      <c r="B19" s="5">
        <v>0</v>
      </c>
      <c r="C19" s="5">
        <v>0</v>
      </c>
      <c r="D19" s="24">
        <f t="shared" si="1"/>
        <v>0</v>
      </c>
      <c r="E19" s="5">
        <f t="shared" si="2"/>
        <v>31</v>
      </c>
      <c r="F19" s="5" t="str">
        <f t="shared" si="3"/>
        <v/>
      </c>
      <c r="H19" s="3" t="s">
        <v>25</v>
      </c>
      <c r="I19" s="24">
        <f t="shared" si="0"/>
        <v>0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4">
      <c r="A20" s="45">
        <v>35</v>
      </c>
      <c r="B20" s="5">
        <v>35</v>
      </c>
      <c r="C20" s="5">
        <v>35</v>
      </c>
      <c r="D20" s="24">
        <f t="shared" si="1"/>
        <v>0</v>
      </c>
      <c r="E20" s="5">
        <f t="shared" si="2"/>
        <v>35</v>
      </c>
      <c r="F20" s="5" t="str">
        <f t="shared" si="3"/>
        <v/>
      </c>
      <c r="H20" s="3" t="s">
        <v>15</v>
      </c>
      <c r="I20" s="24">
        <f t="shared" si="0"/>
        <v>0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4">
      <c r="A21" s="45">
        <v>33</v>
      </c>
      <c r="B21" s="5">
        <v>33</v>
      </c>
      <c r="C21" s="5">
        <v>32</v>
      </c>
      <c r="D21" s="24">
        <f t="shared" si="1"/>
        <v>0</v>
      </c>
      <c r="E21" s="5">
        <f t="shared" si="2"/>
        <v>33</v>
      </c>
      <c r="F21" s="5" t="str">
        <f t="shared" si="3"/>
        <v/>
      </c>
      <c r="H21" s="3" t="s">
        <v>16</v>
      </c>
      <c r="I21" s="24">
        <f t="shared" si="0"/>
        <v>0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4">
      <c r="A22" s="45">
        <v>29</v>
      </c>
      <c r="B22" s="5">
        <v>32</v>
      </c>
      <c r="C22" s="5">
        <v>29</v>
      </c>
      <c r="D22" s="24">
        <f t="shared" si="1"/>
        <v>0</v>
      </c>
      <c r="E22" s="5">
        <f t="shared" si="2"/>
        <v>29</v>
      </c>
      <c r="F22" s="5" t="str">
        <f t="shared" si="3"/>
        <v/>
      </c>
      <c r="H22" s="3" t="s">
        <v>17</v>
      </c>
      <c r="I22" s="24">
        <f t="shared" si="0"/>
        <v>0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4">
      <c r="A23" s="45">
        <v>41</v>
      </c>
      <c r="B23" s="5">
        <v>41</v>
      </c>
      <c r="C23" s="5">
        <v>41</v>
      </c>
      <c r="D23" s="24">
        <f t="shared" si="1"/>
        <v>0</v>
      </c>
      <c r="E23" s="5">
        <f t="shared" si="2"/>
        <v>41</v>
      </c>
      <c r="F23" s="5" t="str">
        <f t="shared" si="3"/>
        <v/>
      </c>
      <c r="H23" s="3" t="s">
        <v>18</v>
      </c>
      <c r="I23" s="24">
        <f t="shared" si="0"/>
        <v>0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4">
      <c r="A24" s="45">
        <v>39</v>
      </c>
      <c r="B24" s="5">
        <v>39</v>
      </c>
      <c r="C24" s="5">
        <v>35</v>
      </c>
      <c r="D24" s="24">
        <f t="shared" si="1"/>
        <v>2</v>
      </c>
      <c r="E24" s="5">
        <f>A24-D24</f>
        <v>37</v>
      </c>
      <c r="F24" s="5" t="str">
        <f t="shared" si="3"/>
        <v/>
      </c>
      <c r="H24" s="3" t="s">
        <v>19</v>
      </c>
      <c r="I24" s="24">
        <f t="shared" si="0"/>
        <v>2</v>
      </c>
      <c r="J24" s="20" t="s">
        <v>263</v>
      </c>
      <c r="K24" s="20" t="s">
        <v>266</v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4">
      <c r="A25" s="45">
        <v>43</v>
      </c>
      <c r="B25" s="5">
        <v>43</v>
      </c>
      <c r="C25" s="5">
        <v>43</v>
      </c>
      <c r="D25" s="24">
        <f t="shared" si="1"/>
        <v>0</v>
      </c>
      <c r="E25" s="5">
        <f t="shared" ref="E25:E88" si="4">A25-D25</f>
        <v>43</v>
      </c>
      <c r="F25" s="5" t="str">
        <f t="shared" si="3"/>
        <v/>
      </c>
      <c r="H25" s="3" t="s">
        <v>20</v>
      </c>
      <c r="I25" s="24">
        <f t="shared" si="0"/>
        <v>0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4">
      <c r="A26" s="45">
        <v>35</v>
      </c>
      <c r="B26" s="5">
        <v>0</v>
      </c>
      <c r="C26" s="5">
        <v>0</v>
      </c>
      <c r="D26" s="24">
        <f t="shared" si="1"/>
        <v>0</v>
      </c>
      <c r="E26" s="5">
        <f t="shared" si="4"/>
        <v>35</v>
      </c>
      <c r="F26" s="5" t="str">
        <f t="shared" si="3"/>
        <v/>
      </c>
      <c r="H26" s="3" t="s">
        <v>26</v>
      </c>
      <c r="I26" s="24">
        <f t="shared" si="0"/>
        <v>0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4">
      <c r="A27" s="45">
        <v>33</v>
      </c>
      <c r="B27" s="5">
        <v>33</v>
      </c>
      <c r="C27" s="5">
        <v>33</v>
      </c>
      <c r="D27" s="24">
        <f t="shared" si="1"/>
        <v>1</v>
      </c>
      <c r="E27" s="5">
        <f t="shared" si="4"/>
        <v>32</v>
      </c>
      <c r="F27" s="5" t="str">
        <f t="shared" si="3"/>
        <v/>
      </c>
      <c r="H27" s="3" t="s">
        <v>21</v>
      </c>
      <c r="I27" s="24">
        <f t="shared" si="0"/>
        <v>1</v>
      </c>
      <c r="J27" s="20" t="s">
        <v>276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4">
      <c r="A28" s="45">
        <v>16</v>
      </c>
      <c r="B28" s="5">
        <v>17</v>
      </c>
      <c r="C28" s="5">
        <v>16</v>
      </c>
      <c r="D28" s="24">
        <f t="shared" si="1"/>
        <v>0</v>
      </c>
      <c r="E28" s="5">
        <f t="shared" si="4"/>
        <v>16</v>
      </c>
      <c r="F28" s="5" t="str">
        <f t="shared" si="3"/>
        <v/>
      </c>
      <c r="H28" s="3" t="s">
        <v>27</v>
      </c>
      <c r="I28" s="24">
        <f t="shared" si="0"/>
        <v>0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4">
      <c r="A29" s="45">
        <v>28</v>
      </c>
      <c r="B29" s="5">
        <v>28</v>
      </c>
      <c r="C29" s="5">
        <v>28</v>
      </c>
      <c r="D29" s="24">
        <f t="shared" si="1"/>
        <v>0</v>
      </c>
      <c r="E29" s="5">
        <f t="shared" si="4"/>
        <v>28</v>
      </c>
      <c r="F29" s="5" t="str">
        <f t="shared" si="3"/>
        <v/>
      </c>
      <c r="H29" s="3" t="s">
        <v>28</v>
      </c>
      <c r="I29" s="24">
        <f t="shared" si="0"/>
        <v>0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4">
      <c r="A30" s="45">
        <v>34</v>
      </c>
      <c r="B30" s="5">
        <v>33</v>
      </c>
      <c r="C30" s="5">
        <v>33</v>
      </c>
      <c r="D30" s="24">
        <f t="shared" si="1"/>
        <v>0</v>
      </c>
      <c r="E30" s="5">
        <f t="shared" si="4"/>
        <v>34</v>
      </c>
      <c r="F30" s="5" t="str">
        <f t="shared" si="3"/>
        <v/>
      </c>
      <c r="H30" s="3" t="s">
        <v>29</v>
      </c>
      <c r="I30" s="24">
        <f t="shared" si="0"/>
        <v>0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4">
      <c r="A31" s="45">
        <v>25</v>
      </c>
      <c r="B31" s="5">
        <v>25</v>
      </c>
      <c r="C31" s="5">
        <v>25</v>
      </c>
      <c r="D31" s="24">
        <f t="shared" si="1"/>
        <v>0</v>
      </c>
      <c r="E31" s="5">
        <f t="shared" si="4"/>
        <v>25</v>
      </c>
      <c r="F31" s="5" t="str">
        <f t="shared" si="3"/>
        <v/>
      </c>
      <c r="H31" s="3" t="s">
        <v>30</v>
      </c>
      <c r="I31" s="24">
        <f t="shared" si="0"/>
        <v>0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4">
      <c r="A32" s="45">
        <v>31</v>
      </c>
      <c r="B32" s="5">
        <v>31</v>
      </c>
      <c r="C32" s="5">
        <v>31</v>
      </c>
      <c r="D32" s="24">
        <f t="shared" si="1"/>
        <v>0</v>
      </c>
      <c r="E32" s="5">
        <f t="shared" si="4"/>
        <v>31</v>
      </c>
      <c r="F32" s="5" t="str">
        <f t="shared" si="3"/>
        <v/>
      </c>
      <c r="H32" s="3" t="s">
        <v>31</v>
      </c>
      <c r="I32" s="24">
        <f t="shared" si="0"/>
        <v>0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4">
      <c r="A33" s="45">
        <v>31</v>
      </c>
      <c r="B33" s="5">
        <v>31</v>
      </c>
      <c r="C33" s="5">
        <v>31</v>
      </c>
      <c r="D33" s="24">
        <f t="shared" si="1"/>
        <v>0</v>
      </c>
      <c r="E33" s="5">
        <f t="shared" si="4"/>
        <v>31</v>
      </c>
      <c r="F33" s="5" t="str">
        <f t="shared" si="3"/>
        <v/>
      </c>
      <c r="H33" s="3" t="s">
        <v>32</v>
      </c>
      <c r="I33" s="24">
        <f t="shared" si="0"/>
        <v>0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4">
      <c r="A34" s="45">
        <v>31</v>
      </c>
      <c r="B34" s="5">
        <v>31</v>
      </c>
      <c r="C34" s="5">
        <v>31</v>
      </c>
      <c r="D34" s="24">
        <f t="shared" si="1"/>
        <v>0</v>
      </c>
      <c r="E34" s="5">
        <f t="shared" si="4"/>
        <v>31</v>
      </c>
      <c r="F34" s="5" t="str">
        <f t="shared" si="3"/>
        <v/>
      </c>
      <c r="H34" s="3" t="s">
        <v>33</v>
      </c>
      <c r="I34" s="24">
        <f t="shared" si="0"/>
        <v>0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4">
      <c r="A35" s="45">
        <v>31</v>
      </c>
      <c r="B35" s="5">
        <v>0</v>
      </c>
      <c r="C35" s="5">
        <v>0</v>
      </c>
      <c r="D35" s="24">
        <f t="shared" si="1"/>
        <v>0</v>
      </c>
      <c r="E35" s="5">
        <f t="shared" si="4"/>
        <v>31</v>
      </c>
      <c r="F35" s="5" t="str">
        <f t="shared" si="3"/>
        <v/>
      </c>
      <c r="H35" s="3" t="s">
        <v>34</v>
      </c>
      <c r="I35" s="24">
        <f t="shared" si="0"/>
        <v>0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4">
      <c r="A36" s="45">
        <v>26</v>
      </c>
      <c r="B36" s="5">
        <v>27</v>
      </c>
      <c r="C36" s="5">
        <v>26</v>
      </c>
      <c r="D36" s="24">
        <f t="shared" si="1"/>
        <v>0</v>
      </c>
      <c r="E36" s="5">
        <f t="shared" si="4"/>
        <v>26</v>
      </c>
      <c r="F36" s="5" t="str">
        <f t="shared" si="3"/>
        <v/>
      </c>
      <c r="H36" s="3" t="s">
        <v>35</v>
      </c>
      <c r="I36" s="24">
        <f t="shared" si="0"/>
        <v>0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4">
      <c r="A37" s="45">
        <v>34</v>
      </c>
      <c r="B37" s="5">
        <v>35</v>
      </c>
      <c r="C37" s="5">
        <v>33</v>
      </c>
      <c r="D37" s="24">
        <f t="shared" si="1"/>
        <v>4</v>
      </c>
      <c r="E37" s="5">
        <f t="shared" si="4"/>
        <v>30</v>
      </c>
      <c r="F37" s="5" t="str">
        <f t="shared" si="3"/>
        <v/>
      </c>
      <c r="H37" s="3" t="s">
        <v>36</v>
      </c>
      <c r="I37" s="24">
        <f t="shared" si="0"/>
        <v>4</v>
      </c>
      <c r="J37" s="20" t="s">
        <v>260</v>
      </c>
      <c r="K37" s="20" t="s">
        <v>269</v>
      </c>
      <c r="L37" s="20" t="s">
        <v>277</v>
      </c>
      <c r="M37" s="20" t="s">
        <v>272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4">
      <c r="A38" s="45">
        <v>32</v>
      </c>
      <c r="B38" s="5">
        <v>36</v>
      </c>
      <c r="C38" s="5">
        <v>32</v>
      </c>
      <c r="D38" s="24">
        <f t="shared" si="1"/>
        <v>0</v>
      </c>
      <c r="E38" s="5">
        <f t="shared" si="4"/>
        <v>32</v>
      </c>
      <c r="F38" s="5" t="str">
        <f t="shared" si="3"/>
        <v/>
      </c>
      <c r="H38" s="3" t="s">
        <v>37</v>
      </c>
      <c r="I38" s="24">
        <f t="shared" si="0"/>
        <v>0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4">
      <c r="A39" s="45">
        <v>30</v>
      </c>
      <c r="B39" s="5">
        <v>30</v>
      </c>
      <c r="C39" s="5">
        <v>30</v>
      </c>
      <c r="D39" s="24">
        <f t="shared" si="1"/>
        <v>0</v>
      </c>
      <c r="E39" s="5">
        <f t="shared" si="4"/>
        <v>30</v>
      </c>
      <c r="F39" s="5" t="str">
        <f t="shared" si="3"/>
        <v/>
      </c>
      <c r="H39" s="3" t="s">
        <v>38</v>
      </c>
      <c r="I39" s="24">
        <f t="shared" si="0"/>
        <v>0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4">
      <c r="A40" s="45">
        <v>25</v>
      </c>
      <c r="B40" s="5">
        <v>27</v>
      </c>
      <c r="C40" s="5">
        <v>25</v>
      </c>
      <c r="D40" s="24">
        <f t="shared" si="1"/>
        <v>0</v>
      </c>
      <c r="E40" s="5">
        <f t="shared" si="4"/>
        <v>25</v>
      </c>
      <c r="F40" s="5" t="str">
        <f t="shared" si="3"/>
        <v/>
      </c>
      <c r="H40" s="3" t="s">
        <v>39</v>
      </c>
      <c r="I40" s="24">
        <f t="shared" si="0"/>
        <v>0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4">
      <c r="A41" s="45">
        <v>32</v>
      </c>
      <c r="B41" s="5">
        <v>32</v>
      </c>
      <c r="C41" s="5">
        <v>32</v>
      </c>
      <c r="D41" s="24">
        <f t="shared" si="1"/>
        <v>0</v>
      </c>
      <c r="E41" s="5">
        <f t="shared" si="4"/>
        <v>32</v>
      </c>
      <c r="F41" s="5" t="str">
        <f t="shared" si="3"/>
        <v/>
      </c>
      <c r="H41" s="3" t="s">
        <v>40</v>
      </c>
      <c r="I41" s="24">
        <f t="shared" si="0"/>
        <v>0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4">
      <c r="A42" s="45">
        <v>28</v>
      </c>
      <c r="B42" s="5">
        <v>31</v>
      </c>
      <c r="C42" s="5">
        <v>28</v>
      </c>
      <c r="D42" s="24">
        <f t="shared" si="1"/>
        <v>0</v>
      </c>
      <c r="E42" s="5">
        <f t="shared" si="4"/>
        <v>28</v>
      </c>
      <c r="F42" s="5" t="str">
        <f t="shared" si="3"/>
        <v/>
      </c>
      <c r="H42" s="3" t="s">
        <v>41</v>
      </c>
      <c r="I42" s="24">
        <f t="shared" si="0"/>
        <v>0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4">
      <c r="A43" s="45">
        <v>29</v>
      </c>
      <c r="B43" s="5">
        <v>29</v>
      </c>
      <c r="C43" s="5">
        <v>29</v>
      </c>
      <c r="D43" s="24">
        <f t="shared" si="1"/>
        <v>0</v>
      </c>
      <c r="E43" s="5">
        <f t="shared" si="4"/>
        <v>29</v>
      </c>
      <c r="F43" s="5" t="str">
        <f t="shared" si="3"/>
        <v/>
      </c>
      <c r="H43" s="3" t="s">
        <v>42</v>
      </c>
      <c r="I43" s="24">
        <f t="shared" si="0"/>
        <v>0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4">
      <c r="A44" s="45">
        <v>25</v>
      </c>
      <c r="B44" s="5">
        <v>27</v>
      </c>
      <c r="C44" s="5">
        <v>23</v>
      </c>
      <c r="D44" s="24">
        <f t="shared" si="1"/>
        <v>2</v>
      </c>
      <c r="E44" s="5">
        <f t="shared" si="4"/>
        <v>23</v>
      </c>
      <c r="F44" s="25" t="str">
        <f t="shared" si="3"/>
        <v>삭제시 맞음</v>
      </c>
      <c r="H44" s="3" t="s">
        <v>43</v>
      </c>
      <c r="I44" s="24">
        <f t="shared" si="0"/>
        <v>2</v>
      </c>
      <c r="J44" s="20" t="s">
        <v>271</v>
      </c>
      <c r="K44" s="20" t="s">
        <v>278</v>
      </c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4">
      <c r="A45" s="45">
        <v>13</v>
      </c>
      <c r="B45" s="5">
        <v>12</v>
      </c>
      <c r="C45" s="5">
        <v>12</v>
      </c>
      <c r="D45" s="24">
        <f t="shared" si="1"/>
        <v>0</v>
      </c>
      <c r="E45" s="5">
        <f t="shared" si="4"/>
        <v>13</v>
      </c>
      <c r="F45" s="5" t="str">
        <f t="shared" si="3"/>
        <v/>
      </c>
      <c r="H45" s="3" t="s">
        <v>44</v>
      </c>
      <c r="I45" s="24">
        <f t="shared" si="0"/>
        <v>0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4">
      <c r="A46" s="45">
        <v>36</v>
      </c>
      <c r="B46" s="5">
        <v>36</v>
      </c>
      <c r="C46" s="5">
        <v>36</v>
      </c>
      <c r="D46" s="24">
        <f t="shared" si="1"/>
        <v>0</v>
      </c>
      <c r="E46" s="5">
        <f t="shared" si="4"/>
        <v>36</v>
      </c>
      <c r="F46" s="5" t="str">
        <f t="shared" si="3"/>
        <v/>
      </c>
      <c r="H46" s="3" t="s">
        <v>45</v>
      </c>
      <c r="I46" s="24">
        <f t="shared" si="0"/>
        <v>0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4">
      <c r="A47" s="45">
        <v>28</v>
      </c>
      <c r="B47" s="5">
        <v>28</v>
      </c>
      <c r="C47" s="5">
        <v>27</v>
      </c>
      <c r="D47" s="24">
        <f t="shared" si="1"/>
        <v>0</v>
      </c>
      <c r="E47" s="5">
        <f t="shared" si="4"/>
        <v>28</v>
      </c>
      <c r="F47" s="5" t="str">
        <f t="shared" si="3"/>
        <v/>
      </c>
      <c r="H47" s="3" t="s">
        <v>46</v>
      </c>
      <c r="I47" s="24">
        <f t="shared" si="0"/>
        <v>0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4">
      <c r="A48" s="45">
        <v>31</v>
      </c>
      <c r="B48" s="5">
        <v>31</v>
      </c>
      <c r="C48" s="5">
        <v>31</v>
      </c>
      <c r="D48" s="24">
        <f t="shared" si="1"/>
        <v>0</v>
      </c>
      <c r="E48" s="5">
        <f t="shared" si="4"/>
        <v>31</v>
      </c>
      <c r="F48" s="5" t="str">
        <f t="shared" si="3"/>
        <v/>
      </c>
      <c r="H48" s="3" t="s">
        <v>47</v>
      </c>
      <c r="I48" s="24">
        <f t="shared" si="0"/>
        <v>0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4">
      <c r="A49" s="45">
        <v>37</v>
      </c>
      <c r="B49" s="5">
        <v>37</v>
      </c>
      <c r="C49" s="5">
        <v>37</v>
      </c>
      <c r="D49" s="24">
        <f t="shared" si="1"/>
        <v>0</v>
      </c>
      <c r="E49" s="5">
        <f t="shared" si="4"/>
        <v>37</v>
      </c>
      <c r="F49" s="5" t="str">
        <f t="shared" si="3"/>
        <v/>
      </c>
      <c r="H49" s="3" t="s">
        <v>48</v>
      </c>
      <c r="I49" s="24">
        <f t="shared" si="0"/>
        <v>0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4">
      <c r="A50" s="45">
        <v>39</v>
      </c>
      <c r="B50" s="5">
        <v>39</v>
      </c>
      <c r="C50" s="5">
        <v>39</v>
      </c>
      <c r="D50" s="24">
        <f t="shared" si="1"/>
        <v>0</v>
      </c>
      <c r="E50" s="5">
        <f t="shared" si="4"/>
        <v>39</v>
      </c>
      <c r="F50" s="5" t="str">
        <f t="shared" si="3"/>
        <v/>
      </c>
      <c r="H50" s="3" t="s">
        <v>49</v>
      </c>
      <c r="I50" s="24">
        <f t="shared" si="0"/>
        <v>0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4">
      <c r="A51" s="45">
        <v>31</v>
      </c>
      <c r="B51" s="5">
        <v>26</v>
      </c>
      <c r="C51" s="5">
        <v>22</v>
      </c>
      <c r="D51" s="24">
        <f t="shared" si="1"/>
        <v>0</v>
      </c>
      <c r="E51" s="5">
        <f t="shared" si="4"/>
        <v>31</v>
      </c>
      <c r="F51" s="5" t="str">
        <f t="shared" si="3"/>
        <v/>
      </c>
      <c r="H51" s="3" t="s">
        <v>50</v>
      </c>
      <c r="I51" s="24">
        <f t="shared" si="0"/>
        <v>0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4">
      <c r="A52" s="45">
        <v>43</v>
      </c>
      <c r="B52" s="5">
        <v>43</v>
      </c>
      <c r="C52" s="5">
        <v>43</v>
      </c>
      <c r="D52" s="24">
        <f t="shared" si="1"/>
        <v>0</v>
      </c>
      <c r="E52" s="5">
        <f t="shared" si="4"/>
        <v>43</v>
      </c>
      <c r="F52" s="5" t="str">
        <f t="shared" si="3"/>
        <v/>
      </c>
      <c r="H52" s="3" t="s">
        <v>51</v>
      </c>
      <c r="I52" s="24">
        <f t="shared" si="0"/>
        <v>0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4">
      <c r="A53" s="45">
        <v>35</v>
      </c>
      <c r="B53" s="5">
        <v>35</v>
      </c>
      <c r="C53" s="5">
        <v>35</v>
      </c>
      <c r="D53" s="24">
        <f t="shared" si="1"/>
        <v>0</v>
      </c>
      <c r="E53" s="5">
        <f t="shared" si="4"/>
        <v>35</v>
      </c>
      <c r="F53" s="5" t="str">
        <f t="shared" si="3"/>
        <v/>
      </c>
      <c r="H53" s="3" t="s">
        <v>52</v>
      </c>
      <c r="I53" s="24">
        <f t="shared" si="0"/>
        <v>0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4">
      <c r="A54" s="45">
        <v>33</v>
      </c>
      <c r="B54" s="5">
        <v>33</v>
      </c>
      <c r="C54" s="5">
        <v>33</v>
      </c>
      <c r="D54" s="24">
        <f t="shared" si="1"/>
        <v>0</v>
      </c>
      <c r="E54" s="5">
        <f t="shared" si="4"/>
        <v>33</v>
      </c>
      <c r="F54" s="5" t="str">
        <f t="shared" si="3"/>
        <v/>
      </c>
      <c r="H54" s="3" t="s">
        <v>53</v>
      </c>
      <c r="I54" s="24">
        <f t="shared" si="0"/>
        <v>0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4">
      <c r="A55" s="45">
        <v>27</v>
      </c>
      <c r="B55" s="5">
        <v>27</v>
      </c>
      <c r="C55" s="5">
        <v>27</v>
      </c>
      <c r="D55" s="24">
        <f t="shared" si="1"/>
        <v>0</v>
      </c>
      <c r="E55" s="5">
        <f t="shared" si="4"/>
        <v>27</v>
      </c>
      <c r="F55" s="5" t="str">
        <f t="shared" si="3"/>
        <v/>
      </c>
      <c r="H55" s="3" t="s">
        <v>54</v>
      </c>
      <c r="I55" s="24">
        <f t="shared" si="0"/>
        <v>0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4">
      <c r="A56" s="45">
        <v>20</v>
      </c>
      <c r="B56" s="5">
        <v>19</v>
      </c>
      <c r="C56" s="5">
        <v>19</v>
      </c>
      <c r="D56" s="24">
        <f t="shared" si="1"/>
        <v>0</v>
      </c>
      <c r="E56" s="5">
        <f t="shared" si="4"/>
        <v>20</v>
      </c>
      <c r="F56" s="5" t="str">
        <f t="shared" si="3"/>
        <v/>
      </c>
      <c r="H56" s="3" t="s">
        <v>55</v>
      </c>
      <c r="I56" s="24">
        <f t="shared" si="0"/>
        <v>0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4">
      <c r="A57" s="45">
        <v>32</v>
      </c>
      <c r="B57" s="5">
        <v>33</v>
      </c>
      <c r="C57" s="5">
        <v>31</v>
      </c>
      <c r="D57" s="24">
        <f t="shared" si="1"/>
        <v>0</v>
      </c>
      <c r="E57" s="5">
        <f t="shared" si="4"/>
        <v>32</v>
      </c>
      <c r="F57" s="5" t="str">
        <f t="shared" si="3"/>
        <v/>
      </c>
      <c r="H57" s="3" t="s">
        <v>56</v>
      </c>
      <c r="I57" s="24">
        <f t="shared" si="0"/>
        <v>0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4">
      <c r="A58" s="45">
        <v>25</v>
      </c>
      <c r="B58" s="5">
        <v>28</v>
      </c>
      <c r="C58" s="5">
        <v>25</v>
      </c>
      <c r="D58" s="24">
        <f t="shared" si="1"/>
        <v>0</v>
      </c>
      <c r="E58" s="5">
        <f t="shared" si="4"/>
        <v>25</v>
      </c>
      <c r="F58" s="5" t="str">
        <f t="shared" si="3"/>
        <v/>
      </c>
      <c r="H58" s="3" t="s">
        <v>57</v>
      </c>
      <c r="I58" s="24">
        <f t="shared" si="0"/>
        <v>0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4">
      <c r="A59" s="45">
        <v>30</v>
      </c>
      <c r="B59" s="5">
        <v>30</v>
      </c>
      <c r="C59" s="5">
        <v>30</v>
      </c>
      <c r="D59" s="24">
        <f t="shared" si="1"/>
        <v>0</v>
      </c>
      <c r="E59" s="5">
        <f t="shared" si="4"/>
        <v>30</v>
      </c>
      <c r="F59" s="5" t="str">
        <f t="shared" si="3"/>
        <v/>
      </c>
      <c r="H59" s="3" t="s">
        <v>58</v>
      </c>
      <c r="I59" s="24">
        <f t="shared" si="0"/>
        <v>0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4">
      <c r="A60" s="45">
        <v>30</v>
      </c>
      <c r="B60" s="5">
        <v>31</v>
      </c>
      <c r="C60" s="5">
        <v>30</v>
      </c>
      <c r="D60" s="24">
        <f t="shared" si="1"/>
        <v>0</v>
      </c>
      <c r="E60" s="5">
        <f t="shared" si="4"/>
        <v>30</v>
      </c>
      <c r="F60" s="5" t="str">
        <f t="shared" si="3"/>
        <v/>
      </c>
      <c r="H60" s="3" t="s">
        <v>59</v>
      </c>
      <c r="I60" s="24">
        <f t="shared" si="0"/>
        <v>0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4">
      <c r="A61" s="45">
        <v>30</v>
      </c>
      <c r="B61" s="5">
        <v>31</v>
      </c>
      <c r="C61" s="5">
        <v>30</v>
      </c>
      <c r="D61" s="24">
        <f t="shared" si="1"/>
        <v>0</v>
      </c>
      <c r="E61" s="5">
        <f t="shared" si="4"/>
        <v>30</v>
      </c>
      <c r="F61" s="5" t="str">
        <f t="shared" si="3"/>
        <v/>
      </c>
      <c r="H61" s="3" t="s">
        <v>60</v>
      </c>
      <c r="I61" s="24">
        <f t="shared" si="0"/>
        <v>0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4">
      <c r="A62" s="45">
        <v>25</v>
      </c>
      <c r="B62" s="5">
        <v>31</v>
      </c>
      <c r="C62" s="5">
        <v>25</v>
      </c>
      <c r="D62" s="24">
        <f t="shared" si="1"/>
        <v>0</v>
      </c>
      <c r="E62" s="5">
        <f t="shared" si="4"/>
        <v>25</v>
      </c>
      <c r="F62" s="5" t="str">
        <f t="shared" si="3"/>
        <v/>
      </c>
      <c r="H62" s="3" t="s">
        <v>61</v>
      </c>
      <c r="I62" s="24">
        <f t="shared" si="0"/>
        <v>0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4">
      <c r="A63" s="45">
        <v>33</v>
      </c>
      <c r="B63" s="5">
        <v>33</v>
      </c>
      <c r="C63" s="5">
        <v>33</v>
      </c>
      <c r="D63" s="24">
        <f t="shared" si="1"/>
        <v>0</v>
      </c>
      <c r="E63" s="5">
        <f t="shared" si="4"/>
        <v>33</v>
      </c>
      <c r="F63" s="5" t="str">
        <f t="shared" si="3"/>
        <v/>
      </c>
      <c r="H63" s="3" t="s">
        <v>62</v>
      </c>
      <c r="I63" s="24">
        <f t="shared" si="0"/>
        <v>0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4">
      <c r="A64" s="45">
        <v>29</v>
      </c>
      <c r="B64" s="5">
        <v>32</v>
      </c>
      <c r="C64" s="5">
        <v>27</v>
      </c>
      <c r="D64" s="24">
        <f t="shared" si="1"/>
        <v>1</v>
      </c>
      <c r="E64" s="5">
        <f t="shared" si="4"/>
        <v>28</v>
      </c>
      <c r="F64" s="5" t="str">
        <f t="shared" si="3"/>
        <v/>
      </c>
      <c r="H64" s="3" t="s">
        <v>63</v>
      </c>
      <c r="I64" s="24">
        <f t="shared" si="0"/>
        <v>1</v>
      </c>
      <c r="J64" s="20" t="s">
        <v>262</v>
      </c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4">
      <c r="A65" s="45">
        <v>21</v>
      </c>
      <c r="B65" s="5">
        <v>55</v>
      </c>
      <c r="C65" s="5">
        <v>21</v>
      </c>
      <c r="D65" s="24">
        <f t="shared" si="1"/>
        <v>0</v>
      </c>
      <c r="E65" s="5">
        <f t="shared" si="4"/>
        <v>21</v>
      </c>
      <c r="F65" s="5" t="str">
        <f t="shared" si="3"/>
        <v/>
      </c>
      <c r="H65" s="3" t="s">
        <v>64</v>
      </c>
      <c r="I65" s="24">
        <f t="shared" si="0"/>
        <v>0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4">
      <c r="A66" s="45">
        <v>31</v>
      </c>
      <c r="B66" s="5">
        <v>60</v>
      </c>
      <c r="C66" s="5">
        <v>31</v>
      </c>
      <c r="D66" s="24">
        <f t="shared" si="1"/>
        <v>0</v>
      </c>
      <c r="E66" s="5">
        <f t="shared" si="4"/>
        <v>31</v>
      </c>
      <c r="F66" s="5" t="str">
        <f t="shared" si="3"/>
        <v/>
      </c>
      <c r="H66" s="3" t="s">
        <v>65</v>
      </c>
      <c r="I66" s="24">
        <f t="shared" ref="I66:I129" si="5">COUNTA(J66:XFD66)</f>
        <v>0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4">
      <c r="A67" s="45">
        <v>31</v>
      </c>
      <c r="B67" s="5">
        <v>44</v>
      </c>
      <c r="C67" s="5">
        <v>32</v>
      </c>
      <c r="D67" s="24">
        <f t="shared" ref="D67:D130" si="6">I67</f>
        <v>0</v>
      </c>
      <c r="E67" s="5">
        <f t="shared" si="4"/>
        <v>31</v>
      </c>
      <c r="F67" s="5" t="str">
        <f t="shared" ref="F67:F130" si="7">IF(C67=A67,"",IF(A67-D67=C67,"삭제시 맞음",""))</f>
        <v/>
      </c>
      <c r="H67" s="3" t="s">
        <v>66</v>
      </c>
      <c r="I67" s="24">
        <f t="shared" si="5"/>
        <v>0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4">
      <c r="A68" s="45">
        <v>29</v>
      </c>
      <c r="B68" s="5">
        <v>29</v>
      </c>
      <c r="C68" s="5">
        <v>28</v>
      </c>
      <c r="D68" s="24">
        <f t="shared" si="6"/>
        <v>3</v>
      </c>
      <c r="E68" s="5">
        <f t="shared" si="4"/>
        <v>26</v>
      </c>
      <c r="F68" s="5" t="str">
        <f t="shared" si="7"/>
        <v/>
      </c>
      <c r="H68" s="3" t="s">
        <v>67</v>
      </c>
      <c r="I68" s="24">
        <f t="shared" si="5"/>
        <v>3</v>
      </c>
      <c r="J68" s="20" t="s">
        <v>256</v>
      </c>
      <c r="K68" s="20" t="s">
        <v>268</v>
      </c>
      <c r="L68" s="20" t="s">
        <v>270</v>
      </c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4">
      <c r="A69" s="45">
        <v>35</v>
      </c>
      <c r="B69" s="5">
        <v>36</v>
      </c>
      <c r="C69" s="5">
        <v>34</v>
      </c>
      <c r="D69" s="24">
        <f t="shared" si="6"/>
        <v>0</v>
      </c>
      <c r="E69" s="5">
        <f t="shared" si="4"/>
        <v>35</v>
      </c>
      <c r="F69" s="5" t="str">
        <f t="shared" si="7"/>
        <v/>
      </c>
      <c r="H69" s="3" t="s">
        <v>68</v>
      </c>
      <c r="I69" s="24">
        <f t="shared" si="5"/>
        <v>0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4">
      <c r="A70" s="45">
        <v>27</v>
      </c>
      <c r="B70" s="5">
        <v>31</v>
      </c>
      <c r="C70" s="5">
        <v>26</v>
      </c>
      <c r="D70" s="24">
        <f t="shared" si="6"/>
        <v>0</v>
      </c>
      <c r="E70" s="5">
        <f t="shared" si="4"/>
        <v>27</v>
      </c>
      <c r="F70" s="5" t="str">
        <f t="shared" si="7"/>
        <v/>
      </c>
      <c r="H70" s="3" t="s">
        <v>69</v>
      </c>
      <c r="I70" s="24">
        <f t="shared" si="5"/>
        <v>0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4">
      <c r="A71" s="45">
        <v>27</v>
      </c>
      <c r="B71" s="5">
        <v>27</v>
      </c>
      <c r="C71" s="5">
        <v>27</v>
      </c>
      <c r="D71" s="24">
        <f t="shared" si="6"/>
        <v>7</v>
      </c>
      <c r="E71" s="5">
        <f t="shared" si="4"/>
        <v>20</v>
      </c>
      <c r="F71" s="5" t="str">
        <f t="shared" si="7"/>
        <v/>
      </c>
      <c r="H71" s="3" t="s">
        <v>70</v>
      </c>
      <c r="I71" s="24">
        <f t="shared" si="5"/>
        <v>7</v>
      </c>
      <c r="J71" s="20" t="s">
        <v>259</v>
      </c>
      <c r="K71" s="20" t="s">
        <v>260</v>
      </c>
      <c r="L71" s="20" t="s">
        <v>265</v>
      </c>
      <c r="M71" s="20" t="s">
        <v>279</v>
      </c>
      <c r="N71" s="20" t="s">
        <v>280</v>
      </c>
      <c r="O71" s="20" t="s">
        <v>258</v>
      </c>
      <c r="P71" s="20" t="s">
        <v>272</v>
      </c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4">
      <c r="A72" s="45">
        <v>28</v>
      </c>
      <c r="B72" s="5">
        <v>43</v>
      </c>
      <c r="C72" s="5">
        <v>28</v>
      </c>
      <c r="D72" s="24">
        <f t="shared" si="6"/>
        <v>0</v>
      </c>
      <c r="E72" s="5">
        <f t="shared" si="4"/>
        <v>28</v>
      </c>
      <c r="F72" s="5" t="str">
        <f t="shared" si="7"/>
        <v/>
      </c>
      <c r="H72" s="3" t="s">
        <v>71</v>
      </c>
      <c r="I72" s="24">
        <f t="shared" si="5"/>
        <v>0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4">
      <c r="A73" s="45">
        <v>33</v>
      </c>
      <c r="B73" s="5">
        <v>0</v>
      </c>
      <c r="C73" s="5">
        <v>0</v>
      </c>
      <c r="D73" s="24">
        <f t="shared" si="6"/>
        <v>0</v>
      </c>
      <c r="E73" s="5">
        <f t="shared" si="4"/>
        <v>33</v>
      </c>
      <c r="F73" s="5" t="str">
        <f t="shared" si="7"/>
        <v/>
      </c>
      <c r="H73" s="3" t="s">
        <v>75</v>
      </c>
      <c r="I73" s="24">
        <f t="shared" si="5"/>
        <v>0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4">
      <c r="A74" s="45">
        <v>27</v>
      </c>
      <c r="B74" s="5">
        <v>33</v>
      </c>
      <c r="C74" s="5">
        <v>27</v>
      </c>
      <c r="D74" s="24">
        <f t="shared" si="6"/>
        <v>0</v>
      </c>
      <c r="E74" s="5">
        <f t="shared" si="4"/>
        <v>27</v>
      </c>
      <c r="F74" s="5" t="str">
        <f t="shared" si="7"/>
        <v/>
      </c>
      <c r="H74" s="3" t="s">
        <v>72</v>
      </c>
      <c r="I74" s="24">
        <f t="shared" si="5"/>
        <v>0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4">
      <c r="A75" s="45">
        <v>22</v>
      </c>
      <c r="B75" s="5">
        <v>28</v>
      </c>
      <c r="C75" s="5">
        <v>22</v>
      </c>
      <c r="D75" s="24">
        <f t="shared" si="6"/>
        <v>0</v>
      </c>
      <c r="E75" s="5">
        <f t="shared" si="4"/>
        <v>22</v>
      </c>
      <c r="F75" s="5" t="str">
        <f t="shared" si="7"/>
        <v/>
      </c>
      <c r="H75" s="3" t="s">
        <v>73</v>
      </c>
      <c r="I75" s="24">
        <f t="shared" si="5"/>
        <v>0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4">
      <c r="A76" s="45">
        <v>29</v>
      </c>
      <c r="B76" s="5">
        <v>34</v>
      </c>
      <c r="C76" s="5">
        <v>29</v>
      </c>
      <c r="D76" s="24">
        <f t="shared" si="6"/>
        <v>0</v>
      </c>
      <c r="E76" s="5">
        <f t="shared" si="4"/>
        <v>29</v>
      </c>
      <c r="F76" s="5" t="str">
        <f t="shared" si="7"/>
        <v/>
      </c>
      <c r="H76" s="3" t="s">
        <v>74</v>
      </c>
      <c r="I76" s="24">
        <f t="shared" si="5"/>
        <v>0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4">
      <c r="A77" s="45">
        <v>33</v>
      </c>
      <c r="B77" s="5">
        <v>32</v>
      </c>
      <c r="C77" s="5">
        <v>32</v>
      </c>
      <c r="D77" s="24">
        <f t="shared" si="6"/>
        <v>7</v>
      </c>
      <c r="E77" s="5">
        <f t="shared" si="4"/>
        <v>26</v>
      </c>
      <c r="F77" s="5" t="str">
        <f t="shared" si="7"/>
        <v/>
      </c>
      <c r="H77" s="3" t="s">
        <v>76</v>
      </c>
      <c r="I77" s="24">
        <f t="shared" si="5"/>
        <v>7</v>
      </c>
      <c r="J77" s="20" t="s">
        <v>262</v>
      </c>
      <c r="K77" s="20" t="s">
        <v>277</v>
      </c>
      <c r="L77" s="20" t="s">
        <v>270</v>
      </c>
      <c r="M77" s="20" t="s">
        <v>271</v>
      </c>
      <c r="N77" s="20" t="s">
        <v>273</v>
      </c>
      <c r="O77" s="20" t="s">
        <v>276</v>
      </c>
      <c r="P77" s="20" t="s">
        <v>281</v>
      </c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4">
      <c r="A78" s="45">
        <v>26</v>
      </c>
      <c r="B78" s="5">
        <v>30</v>
      </c>
      <c r="C78" s="5">
        <v>28</v>
      </c>
      <c r="D78" s="24">
        <f t="shared" si="6"/>
        <v>1</v>
      </c>
      <c r="E78" s="5">
        <f t="shared" si="4"/>
        <v>25</v>
      </c>
      <c r="F78" s="5" t="str">
        <f t="shared" si="7"/>
        <v/>
      </c>
      <c r="H78" s="3" t="s">
        <v>77</v>
      </c>
      <c r="I78" s="24">
        <f t="shared" si="5"/>
        <v>1</v>
      </c>
      <c r="J78" s="20" t="s">
        <v>271</v>
      </c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4">
      <c r="A79" s="45">
        <v>30</v>
      </c>
      <c r="B79" s="5">
        <v>0</v>
      </c>
      <c r="C79" s="5">
        <v>0</v>
      </c>
      <c r="D79" s="24">
        <f t="shared" si="6"/>
        <v>0</v>
      </c>
      <c r="E79" s="5">
        <f t="shared" si="4"/>
        <v>30</v>
      </c>
      <c r="F79" s="5" t="str">
        <f t="shared" si="7"/>
        <v/>
      </c>
      <c r="H79" s="3" t="s">
        <v>78</v>
      </c>
      <c r="I79" s="24">
        <f t="shared" si="5"/>
        <v>0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4">
      <c r="A80" s="45">
        <v>25</v>
      </c>
      <c r="B80" s="5">
        <v>0</v>
      </c>
      <c r="C80" s="5">
        <v>0</v>
      </c>
      <c r="D80" s="24">
        <f t="shared" si="6"/>
        <v>1</v>
      </c>
      <c r="E80" s="5">
        <f t="shared" si="4"/>
        <v>24</v>
      </c>
      <c r="F80" s="5" t="str">
        <f t="shared" si="7"/>
        <v/>
      </c>
      <c r="H80" s="3" t="s">
        <v>81</v>
      </c>
      <c r="I80" s="24">
        <f t="shared" si="5"/>
        <v>1</v>
      </c>
      <c r="J80" s="20" t="s">
        <v>257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4">
      <c r="A81" s="45">
        <v>23</v>
      </c>
      <c r="B81" s="5">
        <v>26</v>
      </c>
      <c r="C81" s="5">
        <v>25</v>
      </c>
      <c r="D81" s="24">
        <f t="shared" si="6"/>
        <v>0</v>
      </c>
      <c r="E81" s="5">
        <f t="shared" si="4"/>
        <v>23</v>
      </c>
      <c r="F81" s="5" t="str">
        <f t="shared" si="7"/>
        <v/>
      </c>
      <c r="H81" s="3" t="s">
        <v>79</v>
      </c>
      <c r="I81" s="24">
        <f t="shared" si="5"/>
        <v>0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4">
      <c r="A82" s="45">
        <v>30</v>
      </c>
      <c r="B82" s="5">
        <v>30</v>
      </c>
      <c r="C82" s="5">
        <v>30</v>
      </c>
      <c r="D82" s="24">
        <f t="shared" si="6"/>
        <v>0</v>
      </c>
      <c r="E82" s="5">
        <f t="shared" si="4"/>
        <v>30</v>
      </c>
      <c r="F82" s="5" t="str">
        <f t="shared" si="7"/>
        <v/>
      </c>
      <c r="H82" s="3" t="s">
        <v>80</v>
      </c>
      <c r="I82" s="24">
        <f t="shared" si="5"/>
        <v>0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4">
      <c r="A83" s="45">
        <v>37</v>
      </c>
      <c r="B83" s="5">
        <v>36</v>
      </c>
      <c r="C83" s="5">
        <v>36</v>
      </c>
      <c r="D83" s="24">
        <f t="shared" si="6"/>
        <v>3</v>
      </c>
      <c r="E83" s="5">
        <f t="shared" si="4"/>
        <v>34</v>
      </c>
      <c r="F83" s="5" t="str">
        <f t="shared" si="7"/>
        <v/>
      </c>
      <c r="H83" s="3" t="s">
        <v>82</v>
      </c>
      <c r="I83" s="24">
        <f t="shared" si="5"/>
        <v>3</v>
      </c>
      <c r="J83" s="20" t="s">
        <v>267</v>
      </c>
      <c r="K83" s="20" t="s">
        <v>256</v>
      </c>
      <c r="L83" s="20" t="s">
        <v>268</v>
      </c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4">
      <c r="A84" s="45">
        <v>2</v>
      </c>
      <c r="B84" s="5">
        <v>0</v>
      </c>
      <c r="C84" s="5">
        <v>0</v>
      </c>
      <c r="D84" s="24">
        <f t="shared" si="6"/>
        <v>0</v>
      </c>
      <c r="E84" s="5">
        <f t="shared" si="4"/>
        <v>2</v>
      </c>
      <c r="F84" s="5" t="str">
        <f t="shared" si="7"/>
        <v/>
      </c>
      <c r="H84" s="3" t="s">
        <v>83</v>
      </c>
      <c r="I84" s="24">
        <f t="shared" si="5"/>
        <v>0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4">
      <c r="A85" s="45">
        <v>48</v>
      </c>
      <c r="B85" s="5">
        <v>50</v>
      </c>
      <c r="C85" s="5">
        <v>49</v>
      </c>
      <c r="D85" s="24">
        <f t="shared" si="6"/>
        <v>0</v>
      </c>
      <c r="E85" s="5">
        <f t="shared" si="4"/>
        <v>48</v>
      </c>
      <c r="F85" s="5" t="str">
        <f t="shared" si="7"/>
        <v/>
      </c>
      <c r="H85" s="3" t="s">
        <v>84</v>
      </c>
      <c r="I85" s="24">
        <f t="shared" si="5"/>
        <v>0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4">
      <c r="A86" s="45">
        <v>35</v>
      </c>
      <c r="B86" s="5">
        <v>0</v>
      </c>
      <c r="C86" s="5">
        <v>0</v>
      </c>
      <c r="D86" s="24">
        <f t="shared" si="6"/>
        <v>0</v>
      </c>
      <c r="E86" s="5">
        <f t="shared" si="4"/>
        <v>35</v>
      </c>
      <c r="F86" s="5" t="str">
        <f t="shared" si="7"/>
        <v/>
      </c>
      <c r="H86" s="3" t="s">
        <v>111</v>
      </c>
      <c r="I86" s="24">
        <f t="shared" si="5"/>
        <v>0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4">
      <c r="A87" s="45">
        <v>43</v>
      </c>
      <c r="B87" s="5">
        <v>43</v>
      </c>
      <c r="C87" s="5">
        <v>43</v>
      </c>
      <c r="D87" s="24">
        <f t="shared" si="6"/>
        <v>0</v>
      </c>
      <c r="E87" s="5">
        <f t="shared" si="4"/>
        <v>43</v>
      </c>
      <c r="F87" s="5" t="str">
        <f t="shared" si="7"/>
        <v/>
      </c>
      <c r="H87" s="3" t="s">
        <v>85</v>
      </c>
      <c r="I87" s="24">
        <f t="shared" si="5"/>
        <v>0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4">
      <c r="A88" s="45">
        <v>30</v>
      </c>
      <c r="B88" s="5">
        <v>48</v>
      </c>
      <c r="C88" s="5">
        <v>26</v>
      </c>
      <c r="D88" s="24">
        <f t="shared" si="6"/>
        <v>22</v>
      </c>
      <c r="E88" s="5">
        <f t="shared" si="4"/>
        <v>8</v>
      </c>
      <c r="F88" s="5" t="str">
        <f t="shared" si="7"/>
        <v/>
      </c>
      <c r="H88" s="3" t="s">
        <v>86</v>
      </c>
      <c r="I88" s="24">
        <f t="shared" si="5"/>
        <v>22</v>
      </c>
      <c r="J88" s="20" t="s">
        <v>259</v>
      </c>
      <c r="K88" s="20" t="s">
        <v>260</v>
      </c>
      <c r="L88" s="20" t="s">
        <v>261</v>
      </c>
      <c r="M88" s="20" t="s">
        <v>262</v>
      </c>
      <c r="N88" s="20" t="s">
        <v>263</v>
      </c>
      <c r="O88" s="20" t="s">
        <v>264</v>
      </c>
      <c r="P88" s="20" t="s">
        <v>265</v>
      </c>
      <c r="Q88" s="20" t="s">
        <v>282</v>
      </c>
      <c r="R88" s="20" t="s">
        <v>283</v>
      </c>
      <c r="S88" s="20" t="s">
        <v>266</v>
      </c>
      <c r="T88" s="20" t="s">
        <v>267</v>
      </c>
      <c r="U88" s="20" t="s">
        <v>256</v>
      </c>
      <c r="V88" s="20" t="s">
        <v>268</v>
      </c>
      <c r="W88" s="20" t="s">
        <v>269</v>
      </c>
      <c r="X88" s="20" t="s">
        <v>257</v>
      </c>
      <c r="Y88" s="20" t="s">
        <v>280</v>
      </c>
      <c r="Z88" s="20" t="s">
        <v>271</v>
      </c>
      <c r="AA88" s="20" t="s">
        <v>258</v>
      </c>
      <c r="AB88" s="20" t="s">
        <v>272</v>
      </c>
      <c r="AC88" s="20" t="s">
        <v>284</v>
      </c>
      <c r="AD88" s="20" t="s">
        <v>285</v>
      </c>
      <c r="AE88" s="20" t="s">
        <v>286</v>
      </c>
      <c r="AF88" s="2"/>
      <c r="AG88" s="2"/>
      <c r="AH88" s="2"/>
    </row>
    <row r="89" spans="1:34" x14ac:dyDescent="0.4">
      <c r="A89" s="45">
        <v>39</v>
      </c>
      <c r="B89" s="5">
        <v>39</v>
      </c>
      <c r="C89" s="5">
        <v>39</v>
      </c>
      <c r="D89" s="24">
        <f t="shared" si="6"/>
        <v>0</v>
      </c>
      <c r="E89" s="5">
        <f t="shared" ref="E89:E152" si="8">A89-D89</f>
        <v>39</v>
      </c>
      <c r="F89" s="5" t="str">
        <f t="shared" si="7"/>
        <v/>
      </c>
      <c r="H89" s="3" t="s">
        <v>87</v>
      </c>
      <c r="I89" s="24">
        <f t="shared" si="5"/>
        <v>0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4">
      <c r="A90" s="45">
        <v>43</v>
      </c>
      <c r="B90" s="5">
        <v>44</v>
      </c>
      <c r="C90" s="5">
        <v>43</v>
      </c>
      <c r="D90" s="24">
        <f t="shared" si="6"/>
        <v>0</v>
      </c>
      <c r="E90" s="5">
        <f t="shared" si="8"/>
        <v>43</v>
      </c>
      <c r="F90" s="5" t="str">
        <f t="shared" si="7"/>
        <v/>
      </c>
      <c r="H90" s="3" t="s">
        <v>88</v>
      </c>
      <c r="I90" s="24">
        <f t="shared" si="5"/>
        <v>0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4">
      <c r="A91" s="45">
        <v>39</v>
      </c>
      <c r="B91" s="5">
        <v>39</v>
      </c>
      <c r="C91" s="5">
        <v>39</v>
      </c>
      <c r="D91" s="24">
        <f t="shared" si="6"/>
        <v>0</v>
      </c>
      <c r="E91" s="5">
        <f t="shared" si="8"/>
        <v>39</v>
      </c>
      <c r="F91" s="5" t="str">
        <f t="shared" si="7"/>
        <v/>
      </c>
      <c r="H91" s="3" t="s">
        <v>89</v>
      </c>
      <c r="I91" s="24">
        <f t="shared" si="5"/>
        <v>0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4">
      <c r="A92" s="45">
        <v>24</v>
      </c>
      <c r="B92" s="5">
        <v>0</v>
      </c>
      <c r="C92" s="5">
        <v>0</v>
      </c>
      <c r="D92" s="24">
        <f t="shared" si="6"/>
        <v>0</v>
      </c>
      <c r="E92" s="5">
        <f t="shared" si="8"/>
        <v>24</v>
      </c>
      <c r="F92" s="5" t="str">
        <f t="shared" si="7"/>
        <v/>
      </c>
      <c r="H92" s="3" t="s">
        <v>112</v>
      </c>
      <c r="I92" s="24">
        <f t="shared" si="5"/>
        <v>0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4">
      <c r="A93" s="45">
        <v>36</v>
      </c>
      <c r="B93" s="5">
        <v>21</v>
      </c>
      <c r="C93" s="5">
        <v>21</v>
      </c>
      <c r="D93" s="24">
        <f t="shared" si="6"/>
        <v>22</v>
      </c>
      <c r="E93" s="5">
        <f t="shared" si="8"/>
        <v>14</v>
      </c>
      <c r="F93" s="5" t="str">
        <f t="shared" si="7"/>
        <v/>
      </c>
      <c r="H93" s="3" t="s">
        <v>90</v>
      </c>
      <c r="I93" s="24">
        <f t="shared" si="5"/>
        <v>22</v>
      </c>
      <c r="J93" s="20" t="s">
        <v>259</v>
      </c>
      <c r="K93" s="20" t="s">
        <v>260</v>
      </c>
      <c r="L93" s="20" t="s">
        <v>262</v>
      </c>
      <c r="M93" s="20" t="s">
        <v>263</v>
      </c>
      <c r="N93" s="20" t="s">
        <v>264</v>
      </c>
      <c r="O93" s="20" t="s">
        <v>265</v>
      </c>
      <c r="P93" s="20" t="s">
        <v>282</v>
      </c>
      <c r="Q93" s="20" t="s">
        <v>283</v>
      </c>
      <c r="R93" s="20" t="s">
        <v>266</v>
      </c>
      <c r="S93" s="20" t="s">
        <v>267</v>
      </c>
      <c r="T93" s="20" t="s">
        <v>256</v>
      </c>
      <c r="U93" s="20" t="s">
        <v>268</v>
      </c>
      <c r="V93" s="20" t="s">
        <v>269</v>
      </c>
      <c r="W93" s="20" t="s">
        <v>277</v>
      </c>
      <c r="X93" s="20" t="s">
        <v>270</v>
      </c>
      <c r="Y93" s="20" t="s">
        <v>257</v>
      </c>
      <c r="Z93" s="20" t="s">
        <v>280</v>
      </c>
      <c r="AA93" s="20" t="s">
        <v>271</v>
      </c>
      <c r="AB93" s="20" t="s">
        <v>258</v>
      </c>
      <c r="AC93" s="20" t="s">
        <v>278</v>
      </c>
      <c r="AD93" s="20" t="s">
        <v>272</v>
      </c>
      <c r="AE93" s="20" t="s">
        <v>274</v>
      </c>
      <c r="AF93" s="2"/>
      <c r="AG93" s="2"/>
      <c r="AH93" s="2"/>
    </row>
    <row r="94" spans="1:34" x14ac:dyDescent="0.4">
      <c r="A94" s="45">
        <v>40</v>
      </c>
      <c r="B94" s="5">
        <v>60</v>
      </c>
      <c r="C94" s="5">
        <v>41</v>
      </c>
      <c r="D94" s="24">
        <f t="shared" si="6"/>
        <v>0</v>
      </c>
      <c r="E94" s="5">
        <f t="shared" si="8"/>
        <v>40</v>
      </c>
      <c r="F94" s="5" t="str">
        <f t="shared" si="7"/>
        <v/>
      </c>
      <c r="H94" s="3" t="s">
        <v>91</v>
      </c>
      <c r="I94" s="24">
        <f t="shared" si="5"/>
        <v>0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4">
      <c r="A95" s="45">
        <v>42</v>
      </c>
      <c r="B95" s="5">
        <v>43</v>
      </c>
      <c r="C95" s="5">
        <v>42</v>
      </c>
      <c r="D95" s="24">
        <f t="shared" si="6"/>
        <v>0</v>
      </c>
      <c r="E95" s="5">
        <f t="shared" si="8"/>
        <v>42</v>
      </c>
      <c r="F95" s="5" t="str">
        <f t="shared" si="7"/>
        <v/>
      </c>
      <c r="H95" s="3" t="s">
        <v>92</v>
      </c>
      <c r="I95" s="24">
        <f t="shared" si="5"/>
        <v>0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4">
      <c r="A96" s="45">
        <v>31</v>
      </c>
      <c r="B96" s="5">
        <v>31</v>
      </c>
      <c r="C96" s="5">
        <v>31</v>
      </c>
      <c r="D96" s="24">
        <f t="shared" si="6"/>
        <v>0</v>
      </c>
      <c r="E96" s="5">
        <f t="shared" si="8"/>
        <v>31</v>
      </c>
      <c r="F96" s="5" t="str">
        <f t="shared" si="7"/>
        <v/>
      </c>
      <c r="H96" s="3" t="s">
        <v>93</v>
      </c>
      <c r="I96" s="24">
        <f t="shared" si="5"/>
        <v>0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4">
      <c r="A97" s="45">
        <v>43</v>
      </c>
      <c r="B97" s="5">
        <v>43</v>
      </c>
      <c r="C97" s="5">
        <v>43</v>
      </c>
      <c r="D97" s="24">
        <f t="shared" si="6"/>
        <v>0</v>
      </c>
      <c r="E97" s="5">
        <f t="shared" si="8"/>
        <v>43</v>
      </c>
      <c r="F97" s="5" t="str">
        <f t="shared" si="7"/>
        <v/>
      </c>
      <c r="H97" s="3" t="s">
        <v>94</v>
      </c>
      <c r="I97" s="24">
        <f t="shared" si="5"/>
        <v>0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4">
      <c r="A98" s="45">
        <v>38</v>
      </c>
      <c r="B98" s="5">
        <v>39</v>
      </c>
      <c r="C98" s="5">
        <v>39</v>
      </c>
      <c r="D98" s="24">
        <f t="shared" si="6"/>
        <v>20</v>
      </c>
      <c r="E98" s="5">
        <f t="shared" si="8"/>
        <v>18</v>
      </c>
      <c r="F98" s="5" t="str">
        <f t="shared" si="7"/>
        <v/>
      </c>
      <c r="H98" s="3" t="s">
        <v>95</v>
      </c>
      <c r="I98" s="24">
        <f t="shared" si="5"/>
        <v>20</v>
      </c>
      <c r="J98" s="20" t="s">
        <v>259</v>
      </c>
      <c r="K98" s="20" t="s">
        <v>260</v>
      </c>
      <c r="L98" s="20" t="s">
        <v>261</v>
      </c>
      <c r="M98" s="20" t="s">
        <v>262</v>
      </c>
      <c r="N98" s="20" t="s">
        <v>263</v>
      </c>
      <c r="O98" s="20" t="s">
        <v>264</v>
      </c>
      <c r="P98" s="20" t="s">
        <v>265</v>
      </c>
      <c r="Q98" s="20" t="s">
        <v>283</v>
      </c>
      <c r="R98" s="20" t="s">
        <v>266</v>
      </c>
      <c r="S98" s="20" t="s">
        <v>267</v>
      </c>
      <c r="T98" s="20" t="s">
        <v>256</v>
      </c>
      <c r="U98" s="20" t="s">
        <v>268</v>
      </c>
      <c r="V98" s="20" t="s">
        <v>269</v>
      </c>
      <c r="W98" s="20" t="s">
        <v>277</v>
      </c>
      <c r="X98" s="20" t="s">
        <v>270</v>
      </c>
      <c r="Y98" s="20" t="s">
        <v>257</v>
      </c>
      <c r="Z98" s="20" t="s">
        <v>280</v>
      </c>
      <c r="AA98" s="20" t="s">
        <v>271</v>
      </c>
      <c r="AB98" s="20" t="s">
        <v>258</v>
      </c>
      <c r="AC98" s="20" t="s">
        <v>274</v>
      </c>
      <c r="AD98" s="2"/>
      <c r="AE98" s="2"/>
      <c r="AF98" s="2"/>
      <c r="AG98" s="2"/>
      <c r="AH98" s="2"/>
    </row>
    <row r="99" spans="1:34" x14ac:dyDescent="0.4">
      <c r="A99" s="45">
        <v>44</v>
      </c>
      <c r="B99" s="5">
        <v>42</v>
      </c>
      <c r="C99" s="5">
        <v>42</v>
      </c>
      <c r="D99" s="24">
        <f t="shared" si="6"/>
        <v>0</v>
      </c>
      <c r="E99" s="5">
        <f t="shared" si="8"/>
        <v>44</v>
      </c>
      <c r="F99" s="5" t="str">
        <f t="shared" si="7"/>
        <v/>
      </c>
      <c r="H99" s="3" t="s">
        <v>96</v>
      </c>
      <c r="I99" s="24">
        <f t="shared" si="5"/>
        <v>0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4">
      <c r="A100" s="45">
        <v>40</v>
      </c>
      <c r="B100" s="5">
        <v>40</v>
      </c>
      <c r="C100" s="5">
        <v>40</v>
      </c>
      <c r="D100" s="24">
        <f t="shared" si="6"/>
        <v>1</v>
      </c>
      <c r="E100" s="5">
        <f t="shared" si="8"/>
        <v>39</v>
      </c>
      <c r="F100" s="5" t="str">
        <f t="shared" si="7"/>
        <v/>
      </c>
      <c r="H100" s="3" t="s">
        <v>97</v>
      </c>
      <c r="I100" s="24">
        <f t="shared" si="5"/>
        <v>1</v>
      </c>
      <c r="J100" s="20" t="s">
        <v>287</v>
      </c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4">
      <c r="A101" s="45">
        <v>38</v>
      </c>
      <c r="B101" s="5">
        <v>39</v>
      </c>
      <c r="C101" s="5">
        <v>38</v>
      </c>
      <c r="D101" s="24">
        <f t="shared" si="6"/>
        <v>10</v>
      </c>
      <c r="E101" s="5">
        <f t="shared" si="8"/>
        <v>28</v>
      </c>
      <c r="F101" s="5" t="str">
        <f t="shared" si="7"/>
        <v/>
      </c>
      <c r="H101" s="3" t="s">
        <v>98</v>
      </c>
      <c r="I101" s="24">
        <f t="shared" si="5"/>
        <v>10</v>
      </c>
      <c r="J101" s="20" t="s">
        <v>260</v>
      </c>
      <c r="K101" s="20" t="s">
        <v>262</v>
      </c>
      <c r="L101" s="20" t="s">
        <v>266</v>
      </c>
      <c r="M101" s="20" t="s">
        <v>256</v>
      </c>
      <c r="N101" s="20" t="s">
        <v>269</v>
      </c>
      <c r="O101" s="20" t="s">
        <v>288</v>
      </c>
      <c r="P101" s="20" t="s">
        <v>258</v>
      </c>
      <c r="Q101" s="20" t="s">
        <v>278</v>
      </c>
      <c r="R101" s="20" t="s">
        <v>272</v>
      </c>
      <c r="S101" s="20" t="s">
        <v>276</v>
      </c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4">
      <c r="A102" s="45">
        <v>36</v>
      </c>
      <c r="B102" s="5">
        <v>38</v>
      </c>
      <c r="C102" s="5">
        <v>36</v>
      </c>
      <c r="D102" s="24">
        <f t="shared" si="6"/>
        <v>0</v>
      </c>
      <c r="E102" s="5">
        <f t="shared" si="8"/>
        <v>36</v>
      </c>
      <c r="F102" s="5" t="str">
        <f t="shared" si="7"/>
        <v/>
      </c>
      <c r="H102" s="3" t="s">
        <v>99</v>
      </c>
      <c r="I102" s="24">
        <f t="shared" si="5"/>
        <v>0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4">
      <c r="A103" s="45">
        <v>37</v>
      </c>
      <c r="B103" s="5">
        <v>40</v>
      </c>
      <c r="C103" s="5">
        <v>37</v>
      </c>
      <c r="D103" s="24">
        <f t="shared" si="6"/>
        <v>0</v>
      </c>
      <c r="E103" s="5">
        <f t="shared" si="8"/>
        <v>37</v>
      </c>
      <c r="F103" s="5" t="str">
        <f t="shared" si="7"/>
        <v/>
      </c>
      <c r="H103" s="3" t="s">
        <v>100</v>
      </c>
      <c r="I103" s="24">
        <f t="shared" si="5"/>
        <v>0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 x14ac:dyDescent="0.4">
      <c r="A104" s="45">
        <v>42</v>
      </c>
      <c r="B104" s="5">
        <v>42</v>
      </c>
      <c r="C104" s="5">
        <v>41</v>
      </c>
      <c r="D104" s="24">
        <f t="shared" si="6"/>
        <v>0</v>
      </c>
      <c r="E104" s="5">
        <f t="shared" si="8"/>
        <v>42</v>
      </c>
      <c r="F104" s="5" t="str">
        <f t="shared" si="7"/>
        <v/>
      </c>
      <c r="H104" s="3" t="s">
        <v>101</v>
      </c>
      <c r="I104" s="24">
        <f t="shared" si="5"/>
        <v>0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 x14ac:dyDescent="0.4">
      <c r="A105" s="45">
        <v>37</v>
      </c>
      <c r="B105" s="5">
        <v>0</v>
      </c>
      <c r="C105" s="5">
        <v>0</v>
      </c>
      <c r="D105" s="24">
        <f t="shared" si="6"/>
        <v>0</v>
      </c>
      <c r="E105" s="5">
        <f t="shared" si="8"/>
        <v>37</v>
      </c>
      <c r="F105" s="5" t="str">
        <f t="shared" si="7"/>
        <v/>
      </c>
      <c r="H105" s="3" t="s">
        <v>110</v>
      </c>
      <c r="I105" s="24">
        <f t="shared" si="5"/>
        <v>0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 x14ac:dyDescent="0.4">
      <c r="A106" s="45">
        <v>35</v>
      </c>
      <c r="B106" s="5">
        <v>35</v>
      </c>
      <c r="C106" s="5">
        <v>35</v>
      </c>
      <c r="D106" s="24">
        <f t="shared" si="6"/>
        <v>17</v>
      </c>
      <c r="E106" s="5">
        <f t="shared" si="8"/>
        <v>18</v>
      </c>
      <c r="F106" s="5" t="str">
        <f t="shared" si="7"/>
        <v/>
      </c>
      <c r="H106" s="3" t="s">
        <v>102</v>
      </c>
      <c r="I106" s="24">
        <f t="shared" si="5"/>
        <v>17</v>
      </c>
      <c r="J106" s="20" t="s">
        <v>259</v>
      </c>
      <c r="K106" s="20" t="s">
        <v>261</v>
      </c>
      <c r="L106" s="20" t="s">
        <v>262</v>
      </c>
      <c r="M106" s="20" t="s">
        <v>264</v>
      </c>
      <c r="N106" s="20" t="s">
        <v>266</v>
      </c>
      <c r="O106" s="20" t="s">
        <v>267</v>
      </c>
      <c r="P106" s="20" t="s">
        <v>256</v>
      </c>
      <c r="Q106" s="20" t="s">
        <v>269</v>
      </c>
      <c r="R106" s="20" t="s">
        <v>277</v>
      </c>
      <c r="S106" s="20" t="s">
        <v>270</v>
      </c>
      <c r="T106" s="20" t="s">
        <v>257</v>
      </c>
      <c r="U106" s="20" t="s">
        <v>280</v>
      </c>
      <c r="V106" s="20" t="s">
        <v>289</v>
      </c>
      <c r="W106" s="20" t="s">
        <v>258</v>
      </c>
      <c r="X106" s="20" t="s">
        <v>278</v>
      </c>
      <c r="Y106" s="20" t="s">
        <v>276</v>
      </c>
      <c r="Z106" s="20" t="s">
        <v>274</v>
      </c>
      <c r="AA106" s="2"/>
      <c r="AB106" s="2"/>
      <c r="AC106" s="2"/>
      <c r="AD106" s="2"/>
      <c r="AE106" s="2"/>
      <c r="AF106" s="2"/>
      <c r="AG106" s="2"/>
      <c r="AH106" s="2"/>
    </row>
    <row r="107" spans="1:34" x14ac:dyDescent="0.4">
      <c r="A107" s="45">
        <v>37</v>
      </c>
      <c r="B107" s="5">
        <v>38</v>
      </c>
      <c r="C107" s="5">
        <v>34</v>
      </c>
      <c r="D107" s="24">
        <f t="shared" si="6"/>
        <v>0</v>
      </c>
      <c r="E107" s="5">
        <f t="shared" si="8"/>
        <v>37</v>
      </c>
      <c r="F107" s="5" t="str">
        <f t="shared" si="7"/>
        <v/>
      </c>
      <c r="H107" s="3" t="s">
        <v>103</v>
      </c>
      <c r="I107" s="24">
        <f t="shared" si="5"/>
        <v>0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 x14ac:dyDescent="0.4">
      <c r="A108" s="45">
        <v>40</v>
      </c>
      <c r="B108" s="5">
        <v>40</v>
      </c>
      <c r="C108" s="5">
        <v>40</v>
      </c>
      <c r="D108" s="24">
        <f t="shared" si="6"/>
        <v>0</v>
      </c>
      <c r="E108" s="5">
        <f t="shared" si="8"/>
        <v>40</v>
      </c>
      <c r="F108" s="5" t="str">
        <f t="shared" si="7"/>
        <v/>
      </c>
      <c r="H108" s="3" t="s">
        <v>104</v>
      </c>
      <c r="I108" s="24">
        <f t="shared" si="5"/>
        <v>0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</row>
    <row r="109" spans="1:34" x14ac:dyDescent="0.4">
      <c r="A109" s="45">
        <v>38</v>
      </c>
      <c r="B109" s="5">
        <v>40</v>
      </c>
      <c r="C109" s="5">
        <v>38</v>
      </c>
      <c r="D109" s="24">
        <f t="shared" si="6"/>
        <v>0</v>
      </c>
      <c r="E109" s="5">
        <f t="shared" si="8"/>
        <v>38</v>
      </c>
      <c r="F109" s="5" t="str">
        <f t="shared" si="7"/>
        <v/>
      </c>
      <c r="H109" s="3" t="s">
        <v>105</v>
      </c>
      <c r="I109" s="24">
        <f t="shared" si="5"/>
        <v>0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</row>
    <row r="110" spans="1:34" x14ac:dyDescent="0.4">
      <c r="A110" s="45">
        <v>41</v>
      </c>
      <c r="B110" s="5">
        <v>0</v>
      </c>
      <c r="C110" s="5">
        <v>0</v>
      </c>
      <c r="D110" s="24">
        <f t="shared" si="6"/>
        <v>0</v>
      </c>
      <c r="E110" s="5">
        <f t="shared" si="8"/>
        <v>41</v>
      </c>
      <c r="F110" s="5" t="str">
        <f t="shared" si="7"/>
        <v/>
      </c>
      <c r="H110" s="3" t="s">
        <v>113</v>
      </c>
      <c r="I110" s="24">
        <f t="shared" si="5"/>
        <v>0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</row>
    <row r="111" spans="1:34" x14ac:dyDescent="0.4">
      <c r="A111" s="45">
        <v>39</v>
      </c>
      <c r="B111" s="5">
        <v>44</v>
      </c>
      <c r="C111" s="5">
        <v>38</v>
      </c>
      <c r="D111" s="24">
        <f t="shared" si="6"/>
        <v>11</v>
      </c>
      <c r="E111" s="5">
        <f t="shared" si="8"/>
        <v>28</v>
      </c>
      <c r="F111" s="5" t="str">
        <f t="shared" si="7"/>
        <v/>
      </c>
      <c r="H111" s="3" t="s">
        <v>106</v>
      </c>
      <c r="I111" s="24">
        <f t="shared" si="5"/>
        <v>11</v>
      </c>
      <c r="J111" s="20" t="s">
        <v>262</v>
      </c>
      <c r="K111" s="20" t="s">
        <v>282</v>
      </c>
      <c r="L111" s="20" t="s">
        <v>283</v>
      </c>
      <c r="M111" s="20" t="s">
        <v>266</v>
      </c>
      <c r="N111" s="20" t="s">
        <v>269</v>
      </c>
      <c r="O111" s="20" t="s">
        <v>287</v>
      </c>
      <c r="P111" s="20" t="s">
        <v>290</v>
      </c>
      <c r="Q111" s="20" t="s">
        <v>257</v>
      </c>
      <c r="R111" s="20" t="s">
        <v>280</v>
      </c>
      <c r="S111" s="20" t="s">
        <v>258</v>
      </c>
      <c r="T111" s="20" t="s">
        <v>272</v>
      </c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</row>
    <row r="112" spans="1:34" x14ac:dyDescent="0.4">
      <c r="A112" s="45">
        <v>37</v>
      </c>
      <c r="B112" s="5">
        <v>39</v>
      </c>
      <c r="C112" s="5">
        <v>37</v>
      </c>
      <c r="D112" s="24">
        <f t="shared" si="6"/>
        <v>0</v>
      </c>
      <c r="E112" s="5">
        <f t="shared" si="8"/>
        <v>37</v>
      </c>
      <c r="F112" s="5" t="str">
        <f t="shared" si="7"/>
        <v/>
      </c>
      <c r="H112" s="3" t="s">
        <v>107</v>
      </c>
      <c r="I112" s="24">
        <f t="shared" si="5"/>
        <v>0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</row>
    <row r="113" spans="1:34" x14ac:dyDescent="0.4">
      <c r="A113" s="45">
        <v>33</v>
      </c>
      <c r="B113" s="5">
        <v>34</v>
      </c>
      <c r="C113" s="5">
        <v>34</v>
      </c>
      <c r="D113" s="24">
        <f t="shared" si="6"/>
        <v>0</v>
      </c>
      <c r="E113" s="5">
        <f t="shared" si="8"/>
        <v>33</v>
      </c>
      <c r="F113" s="5" t="str">
        <f t="shared" si="7"/>
        <v/>
      </c>
      <c r="H113" s="3" t="s">
        <v>108</v>
      </c>
      <c r="I113" s="24">
        <f t="shared" si="5"/>
        <v>0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</row>
    <row r="114" spans="1:34" x14ac:dyDescent="0.4">
      <c r="A114" s="45">
        <v>33</v>
      </c>
      <c r="B114" s="5">
        <v>32</v>
      </c>
      <c r="C114" s="5">
        <v>32</v>
      </c>
      <c r="D114" s="24">
        <f t="shared" si="6"/>
        <v>0</v>
      </c>
      <c r="E114" s="5">
        <f t="shared" si="8"/>
        <v>33</v>
      </c>
      <c r="F114" s="5" t="str">
        <f t="shared" si="7"/>
        <v/>
      </c>
      <c r="H114" s="3" t="s">
        <v>109</v>
      </c>
      <c r="I114" s="24">
        <f t="shared" si="5"/>
        <v>0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</row>
    <row r="115" spans="1:34" x14ac:dyDescent="0.4">
      <c r="A115" s="45">
        <v>34</v>
      </c>
      <c r="B115" s="5">
        <v>0</v>
      </c>
      <c r="C115" s="5">
        <v>0</v>
      </c>
      <c r="D115" s="24">
        <f t="shared" si="6"/>
        <v>0</v>
      </c>
      <c r="E115" s="5">
        <f t="shared" si="8"/>
        <v>34</v>
      </c>
      <c r="F115" s="5" t="str">
        <f t="shared" si="7"/>
        <v/>
      </c>
      <c r="H115" s="3" t="s">
        <v>114</v>
      </c>
      <c r="I115" s="24">
        <f t="shared" si="5"/>
        <v>0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</row>
    <row r="116" spans="1:34" x14ac:dyDescent="0.4">
      <c r="A116" s="45">
        <v>1</v>
      </c>
      <c r="B116" s="5">
        <v>0</v>
      </c>
      <c r="C116" s="5">
        <v>0</v>
      </c>
      <c r="D116" s="24">
        <f t="shared" si="6"/>
        <v>0</v>
      </c>
      <c r="E116" s="5">
        <f t="shared" si="8"/>
        <v>1</v>
      </c>
      <c r="F116" s="5" t="str">
        <f t="shared" si="7"/>
        <v/>
      </c>
      <c r="H116" s="3" t="s">
        <v>115</v>
      </c>
      <c r="I116" s="24">
        <f t="shared" si="5"/>
        <v>0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</row>
    <row r="117" spans="1:34" x14ac:dyDescent="0.4">
      <c r="A117" s="45">
        <v>42</v>
      </c>
      <c r="B117" s="5">
        <v>45</v>
      </c>
      <c r="C117" s="5">
        <v>40</v>
      </c>
      <c r="D117" s="24">
        <f t="shared" si="6"/>
        <v>0</v>
      </c>
      <c r="E117" s="5">
        <f t="shared" si="8"/>
        <v>42</v>
      </c>
      <c r="F117" s="5" t="str">
        <f t="shared" si="7"/>
        <v/>
      </c>
      <c r="H117" s="3" t="s">
        <v>126</v>
      </c>
      <c r="I117" s="24">
        <f t="shared" si="5"/>
        <v>0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</row>
    <row r="118" spans="1:34" x14ac:dyDescent="0.4">
      <c r="A118" s="45">
        <v>38</v>
      </c>
      <c r="B118" s="5">
        <v>38</v>
      </c>
      <c r="C118" s="5">
        <v>38</v>
      </c>
      <c r="D118" s="24">
        <f t="shared" si="6"/>
        <v>0</v>
      </c>
      <c r="E118" s="5">
        <f t="shared" si="8"/>
        <v>38</v>
      </c>
      <c r="F118" s="5" t="str">
        <f t="shared" si="7"/>
        <v/>
      </c>
      <c r="H118" s="3" t="s">
        <v>122</v>
      </c>
      <c r="I118" s="24">
        <f t="shared" si="5"/>
        <v>0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</row>
    <row r="119" spans="1:34" x14ac:dyDescent="0.4">
      <c r="A119" s="45">
        <v>38</v>
      </c>
      <c r="B119" s="5">
        <v>38</v>
      </c>
      <c r="C119" s="5">
        <v>38</v>
      </c>
      <c r="D119" s="24">
        <f t="shared" si="6"/>
        <v>0</v>
      </c>
      <c r="E119" s="5">
        <f t="shared" si="8"/>
        <v>38</v>
      </c>
      <c r="F119" s="5" t="str">
        <f t="shared" si="7"/>
        <v/>
      </c>
      <c r="H119" s="3" t="s">
        <v>116</v>
      </c>
      <c r="I119" s="24">
        <f t="shared" si="5"/>
        <v>0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</row>
    <row r="120" spans="1:34" x14ac:dyDescent="0.4">
      <c r="A120" s="45">
        <v>42</v>
      </c>
      <c r="B120" s="5">
        <v>40</v>
      </c>
      <c r="C120" s="5">
        <v>40</v>
      </c>
      <c r="D120" s="24">
        <f t="shared" si="6"/>
        <v>4</v>
      </c>
      <c r="E120" s="5">
        <f t="shared" si="8"/>
        <v>38</v>
      </c>
      <c r="F120" s="5" t="str">
        <f t="shared" si="7"/>
        <v/>
      </c>
      <c r="H120" s="3" t="s">
        <v>118</v>
      </c>
      <c r="I120" s="24">
        <f t="shared" si="5"/>
        <v>4</v>
      </c>
      <c r="J120" s="20" t="s">
        <v>256</v>
      </c>
      <c r="K120" s="20" t="s">
        <v>268</v>
      </c>
      <c r="L120" s="20" t="s">
        <v>280</v>
      </c>
      <c r="M120" s="20" t="s">
        <v>272</v>
      </c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</row>
    <row r="121" spans="1:34" x14ac:dyDescent="0.4">
      <c r="A121" s="45">
        <v>37</v>
      </c>
      <c r="B121" s="5">
        <v>0</v>
      </c>
      <c r="C121" s="5">
        <v>0</v>
      </c>
      <c r="D121" s="24">
        <f t="shared" si="6"/>
        <v>0</v>
      </c>
      <c r="E121" s="5">
        <f t="shared" si="8"/>
        <v>37</v>
      </c>
      <c r="F121" s="5" t="str">
        <f t="shared" si="7"/>
        <v/>
      </c>
      <c r="H121" s="3" t="s">
        <v>129</v>
      </c>
      <c r="I121" s="24">
        <f t="shared" si="5"/>
        <v>0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</row>
    <row r="122" spans="1:34" x14ac:dyDescent="0.4">
      <c r="A122" s="45">
        <v>18</v>
      </c>
      <c r="B122" s="5">
        <v>0</v>
      </c>
      <c r="C122" s="5">
        <v>0</v>
      </c>
      <c r="D122" s="24">
        <f t="shared" si="6"/>
        <v>14</v>
      </c>
      <c r="E122" s="5">
        <f t="shared" si="8"/>
        <v>4</v>
      </c>
      <c r="F122" s="5" t="str">
        <f t="shared" si="7"/>
        <v/>
      </c>
      <c r="H122" s="3" t="s">
        <v>130</v>
      </c>
      <c r="I122" s="24">
        <f t="shared" si="5"/>
        <v>14</v>
      </c>
      <c r="J122" s="20" t="s">
        <v>259</v>
      </c>
      <c r="K122" s="20" t="s">
        <v>260</v>
      </c>
      <c r="L122" s="20" t="s">
        <v>262</v>
      </c>
      <c r="M122" s="20" t="s">
        <v>263</v>
      </c>
      <c r="N122" s="20" t="s">
        <v>264</v>
      </c>
      <c r="O122" s="20" t="s">
        <v>282</v>
      </c>
      <c r="P122" s="20" t="s">
        <v>266</v>
      </c>
      <c r="Q122" s="20" t="s">
        <v>268</v>
      </c>
      <c r="R122" s="20" t="s">
        <v>269</v>
      </c>
      <c r="S122" s="20" t="s">
        <v>277</v>
      </c>
      <c r="T122" s="20" t="s">
        <v>270</v>
      </c>
      <c r="U122" s="20" t="s">
        <v>275</v>
      </c>
      <c r="V122" s="20" t="s">
        <v>258</v>
      </c>
      <c r="W122" s="20" t="s">
        <v>278</v>
      </c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</row>
    <row r="123" spans="1:34" x14ac:dyDescent="0.4">
      <c r="A123" s="45">
        <v>34</v>
      </c>
      <c r="B123" s="5">
        <v>37</v>
      </c>
      <c r="C123" s="5">
        <v>34</v>
      </c>
      <c r="D123" s="24">
        <f t="shared" si="6"/>
        <v>0</v>
      </c>
      <c r="E123" s="5">
        <f t="shared" si="8"/>
        <v>34</v>
      </c>
      <c r="F123" s="5" t="str">
        <f t="shared" si="7"/>
        <v/>
      </c>
      <c r="H123" s="3" t="s">
        <v>119</v>
      </c>
      <c r="I123" s="24">
        <f t="shared" si="5"/>
        <v>0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</row>
    <row r="124" spans="1:34" x14ac:dyDescent="0.4">
      <c r="A124" s="45">
        <v>27</v>
      </c>
      <c r="B124" s="5">
        <v>0</v>
      </c>
      <c r="C124" s="5">
        <v>0</v>
      </c>
      <c r="D124" s="24">
        <f t="shared" si="6"/>
        <v>0</v>
      </c>
      <c r="E124" s="5">
        <f t="shared" si="8"/>
        <v>27</v>
      </c>
      <c r="F124" s="5" t="str">
        <f t="shared" si="7"/>
        <v/>
      </c>
      <c r="H124" s="3" t="s">
        <v>131</v>
      </c>
      <c r="I124" s="24">
        <f t="shared" si="5"/>
        <v>0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</row>
    <row r="125" spans="1:34" x14ac:dyDescent="0.4">
      <c r="A125" s="45">
        <v>26</v>
      </c>
      <c r="B125" s="5">
        <v>33</v>
      </c>
      <c r="C125" s="5">
        <v>26</v>
      </c>
      <c r="D125" s="24">
        <f t="shared" si="6"/>
        <v>0</v>
      </c>
      <c r="E125" s="5">
        <f t="shared" si="8"/>
        <v>26</v>
      </c>
      <c r="F125" s="5" t="str">
        <f t="shared" si="7"/>
        <v/>
      </c>
      <c r="H125" s="3" t="s">
        <v>128</v>
      </c>
      <c r="I125" s="24">
        <f t="shared" si="5"/>
        <v>0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</row>
    <row r="126" spans="1:34" x14ac:dyDescent="0.4">
      <c r="A126" s="45">
        <v>26</v>
      </c>
      <c r="B126" s="5">
        <v>0</v>
      </c>
      <c r="C126" s="5">
        <v>0</v>
      </c>
      <c r="D126" s="24">
        <f t="shared" si="6"/>
        <v>19</v>
      </c>
      <c r="E126" s="5">
        <f t="shared" si="8"/>
        <v>7</v>
      </c>
      <c r="F126" s="5" t="str">
        <f t="shared" si="7"/>
        <v/>
      </c>
      <c r="H126" s="3" t="s">
        <v>132</v>
      </c>
      <c r="I126" s="24">
        <f t="shared" si="5"/>
        <v>19</v>
      </c>
      <c r="J126" s="20" t="s">
        <v>259</v>
      </c>
      <c r="K126" s="20" t="s">
        <v>260</v>
      </c>
      <c r="L126" s="20" t="s">
        <v>261</v>
      </c>
      <c r="M126" s="20" t="s">
        <v>262</v>
      </c>
      <c r="N126" s="20" t="s">
        <v>263</v>
      </c>
      <c r="O126" s="20" t="s">
        <v>264</v>
      </c>
      <c r="P126" s="20" t="s">
        <v>265</v>
      </c>
      <c r="Q126" s="20" t="s">
        <v>282</v>
      </c>
      <c r="R126" s="20" t="s">
        <v>283</v>
      </c>
      <c r="S126" s="20" t="s">
        <v>266</v>
      </c>
      <c r="T126" s="20" t="s">
        <v>267</v>
      </c>
      <c r="U126" s="20" t="s">
        <v>256</v>
      </c>
      <c r="V126" s="20" t="s">
        <v>268</v>
      </c>
      <c r="W126" s="20" t="s">
        <v>269</v>
      </c>
      <c r="X126" s="20" t="s">
        <v>277</v>
      </c>
      <c r="Y126" s="20" t="s">
        <v>280</v>
      </c>
      <c r="Z126" s="20" t="s">
        <v>258</v>
      </c>
      <c r="AA126" s="20" t="s">
        <v>278</v>
      </c>
      <c r="AB126" s="20" t="s">
        <v>272</v>
      </c>
      <c r="AC126" s="2"/>
      <c r="AD126" s="2"/>
      <c r="AE126" s="2"/>
      <c r="AF126" s="2"/>
      <c r="AG126" s="2"/>
      <c r="AH126" s="2"/>
    </row>
    <row r="127" spans="1:34" x14ac:dyDescent="0.4">
      <c r="A127" s="45">
        <v>34</v>
      </c>
      <c r="B127" s="5">
        <v>34</v>
      </c>
      <c r="C127" s="5">
        <v>33</v>
      </c>
      <c r="D127" s="24">
        <f t="shared" si="6"/>
        <v>0</v>
      </c>
      <c r="E127" s="5">
        <f t="shared" si="8"/>
        <v>34</v>
      </c>
      <c r="F127" s="5" t="str">
        <f t="shared" si="7"/>
        <v/>
      </c>
      <c r="H127" s="3" t="s">
        <v>127</v>
      </c>
      <c r="I127" s="24">
        <f t="shared" si="5"/>
        <v>0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</row>
    <row r="128" spans="1:34" x14ac:dyDescent="0.4">
      <c r="A128" s="45">
        <v>29</v>
      </c>
      <c r="B128" s="5">
        <v>18</v>
      </c>
      <c r="C128" s="5">
        <v>17</v>
      </c>
      <c r="D128" s="24">
        <f t="shared" si="6"/>
        <v>0</v>
      </c>
      <c r="E128" s="5">
        <f t="shared" si="8"/>
        <v>29</v>
      </c>
      <c r="F128" s="5" t="str">
        <f t="shared" si="7"/>
        <v/>
      </c>
      <c r="H128" s="3" t="s">
        <v>124</v>
      </c>
      <c r="I128" s="24">
        <f t="shared" si="5"/>
        <v>0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</row>
    <row r="129" spans="1:34" x14ac:dyDescent="0.4">
      <c r="A129" s="45">
        <v>29</v>
      </c>
      <c r="B129" s="5">
        <v>30</v>
      </c>
      <c r="C129" s="5">
        <v>27</v>
      </c>
      <c r="D129" s="24">
        <f t="shared" si="6"/>
        <v>17</v>
      </c>
      <c r="E129" s="5">
        <f t="shared" si="8"/>
        <v>12</v>
      </c>
      <c r="F129" s="5" t="str">
        <f t="shared" si="7"/>
        <v/>
      </c>
      <c r="H129" s="3" t="s">
        <v>125</v>
      </c>
      <c r="I129" s="24">
        <f t="shared" si="5"/>
        <v>17</v>
      </c>
      <c r="J129" s="20" t="s">
        <v>259</v>
      </c>
      <c r="K129" s="20" t="s">
        <v>260</v>
      </c>
      <c r="L129" s="20" t="s">
        <v>261</v>
      </c>
      <c r="M129" s="20" t="s">
        <v>262</v>
      </c>
      <c r="N129" s="20" t="s">
        <v>263</v>
      </c>
      <c r="O129" s="20" t="s">
        <v>282</v>
      </c>
      <c r="P129" s="20" t="s">
        <v>283</v>
      </c>
      <c r="Q129" s="20" t="s">
        <v>266</v>
      </c>
      <c r="R129" s="20" t="s">
        <v>267</v>
      </c>
      <c r="S129" s="20" t="s">
        <v>268</v>
      </c>
      <c r="T129" s="20" t="s">
        <v>269</v>
      </c>
      <c r="U129" s="20" t="s">
        <v>277</v>
      </c>
      <c r="V129" s="20" t="s">
        <v>290</v>
      </c>
      <c r="W129" s="20" t="s">
        <v>257</v>
      </c>
      <c r="X129" s="20" t="s">
        <v>280</v>
      </c>
      <c r="Y129" s="20" t="s">
        <v>271</v>
      </c>
      <c r="Z129" s="20" t="s">
        <v>272</v>
      </c>
      <c r="AA129" s="2"/>
      <c r="AB129" s="2"/>
      <c r="AC129" s="2"/>
      <c r="AD129" s="2"/>
      <c r="AE129" s="2"/>
      <c r="AF129" s="2"/>
      <c r="AG129" s="2"/>
      <c r="AH129" s="2"/>
    </row>
    <row r="130" spans="1:34" x14ac:dyDescent="0.4">
      <c r="A130" s="45">
        <v>25</v>
      </c>
      <c r="B130" s="5">
        <v>0</v>
      </c>
      <c r="C130" s="5">
        <v>0</v>
      </c>
      <c r="D130" s="24">
        <f t="shared" si="6"/>
        <v>16</v>
      </c>
      <c r="E130" s="5">
        <f t="shared" si="8"/>
        <v>9</v>
      </c>
      <c r="F130" s="5" t="str">
        <f t="shared" si="7"/>
        <v/>
      </c>
      <c r="H130" s="3" t="s">
        <v>133</v>
      </c>
      <c r="I130" s="24">
        <f t="shared" ref="I130:I193" si="9">COUNTA(J130:XFD130)</f>
        <v>16</v>
      </c>
      <c r="J130" s="20" t="s">
        <v>259</v>
      </c>
      <c r="K130" s="20" t="s">
        <v>261</v>
      </c>
      <c r="L130" s="20" t="s">
        <v>262</v>
      </c>
      <c r="M130" s="20" t="s">
        <v>263</v>
      </c>
      <c r="N130" s="20" t="s">
        <v>264</v>
      </c>
      <c r="O130" s="20" t="s">
        <v>282</v>
      </c>
      <c r="P130" s="20" t="s">
        <v>267</v>
      </c>
      <c r="Q130" s="20" t="s">
        <v>256</v>
      </c>
      <c r="R130" s="20" t="s">
        <v>268</v>
      </c>
      <c r="S130" s="20" t="s">
        <v>269</v>
      </c>
      <c r="T130" s="20" t="s">
        <v>270</v>
      </c>
      <c r="U130" s="20" t="s">
        <v>257</v>
      </c>
      <c r="V130" s="20" t="s">
        <v>280</v>
      </c>
      <c r="W130" s="20" t="s">
        <v>271</v>
      </c>
      <c r="X130" s="20" t="s">
        <v>258</v>
      </c>
      <c r="Y130" s="20" t="s">
        <v>274</v>
      </c>
      <c r="Z130" s="2"/>
      <c r="AA130" s="2"/>
      <c r="AB130" s="2"/>
      <c r="AC130" s="2"/>
      <c r="AD130" s="2"/>
      <c r="AE130" s="2"/>
      <c r="AF130" s="2"/>
      <c r="AG130" s="2"/>
      <c r="AH130" s="2"/>
    </row>
    <row r="131" spans="1:34" x14ac:dyDescent="0.4">
      <c r="A131" s="45">
        <v>29</v>
      </c>
      <c r="B131" s="5">
        <v>22</v>
      </c>
      <c r="C131" s="5">
        <v>22</v>
      </c>
      <c r="D131" s="24">
        <f t="shared" ref="D131:D194" si="10">I131</f>
        <v>0</v>
      </c>
      <c r="E131" s="5">
        <f t="shared" si="8"/>
        <v>29</v>
      </c>
      <c r="F131" s="5" t="str">
        <f t="shared" ref="F131:F194" si="11">IF(C131=A131,"",IF(A131-D131=C131,"삭제시 맞음",""))</f>
        <v/>
      </c>
      <c r="H131" s="3" t="s">
        <v>120</v>
      </c>
      <c r="I131" s="24">
        <f t="shared" si="9"/>
        <v>0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</row>
    <row r="132" spans="1:34" x14ac:dyDescent="0.4">
      <c r="A132" s="45">
        <v>32</v>
      </c>
      <c r="B132" s="5">
        <v>33</v>
      </c>
      <c r="C132" s="5">
        <v>33</v>
      </c>
      <c r="D132" s="24">
        <f t="shared" si="10"/>
        <v>0</v>
      </c>
      <c r="E132" s="5">
        <f t="shared" si="8"/>
        <v>32</v>
      </c>
      <c r="F132" s="5" t="str">
        <f t="shared" si="11"/>
        <v/>
      </c>
      <c r="H132" s="3" t="s">
        <v>123</v>
      </c>
      <c r="I132" s="24">
        <f t="shared" si="9"/>
        <v>0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</row>
    <row r="133" spans="1:34" x14ac:dyDescent="0.4">
      <c r="A133" s="45">
        <v>28</v>
      </c>
      <c r="B133" s="5">
        <v>31</v>
      </c>
      <c r="C133" s="5">
        <v>28</v>
      </c>
      <c r="D133" s="24">
        <f t="shared" si="10"/>
        <v>0</v>
      </c>
      <c r="E133" s="5">
        <f t="shared" si="8"/>
        <v>28</v>
      </c>
      <c r="F133" s="5" t="str">
        <f t="shared" si="11"/>
        <v/>
      </c>
      <c r="H133" s="3" t="s">
        <v>117</v>
      </c>
      <c r="I133" s="24">
        <f t="shared" si="9"/>
        <v>0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</row>
    <row r="134" spans="1:34" x14ac:dyDescent="0.4">
      <c r="A134" s="45">
        <v>32</v>
      </c>
      <c r="B134" s="5">
        <v>32</v>
      </c>
      <c r="C134" s="5">
        <v>30</v>
      </c>
      <c r="D134" s="24">
        <f t="shared" si="10"/>
        <v>0</v>
      </c>
      <c r="E134" s="5">
        <f t="shared" si="8"/>
        <v>32</v>
      </c>
      <c r="F134" s="5" t="str">
        <f t="shared" si="11"/>
        <v/>
      </c>
      <c r="H134" s="3" t="s">
        <v>121</v>
      </c>
      <c r="I134" s="24">
        <f t="shared" si="9"/>
        <v>0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</row>
    <row r="135" spans="1:34" x14ac:dyDescent="0.4">
      <c r="A135" s="45">
        <v>10</v>
      </c>
      <c r="B135" s="5">
        <v>9</v>
      </c>
      <c r="C135" s="5">
        <v>9</v>
      </c>
      <c r="D135" s="24">
        <f t="shared" si="10"/>
        <v>0</v>
      </c>
      <c r="E135" s="5">
        <f t="shared" si="8"/>
        <v>10</v>
      </c>
      <c r="F135" s="5" t="str">
        <f t="shared" si="11"/>
        <v/>
      </c>
      <c r="H135" s="3" t="s">
        <v>134</v>
      </c>
      <c r="I135" s="24">
        <f t="shared" si="9"/>
        <v>0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</row>
    <row r="136" spans="1:34" x14ac:dyDescent="0.4">
      <c r="A136" s="45">
        <v>37</v>
      </c>
      <c r="B136" s="5">
        <v>7</v>
      </c>
      <c r="C136" s="5">
        <v>4</v>
      </c>
      <c r="D136" s="24">
        <f t="shared" si="10"/>
        <v>19</v>
      </c>
      <c r="E136" s="5">
        <f t="shared" si="8"/>
        <v>18</v>
      </c>
      <c r="F136" s="5" t="str">
        <f t="shared" si="11"/>
        <v/>
      </c>
      <c r="H136" s="3" t="s">
        <v>135</v>
      </c>
      <c r="I136" s="24">
        <f t="shared" si="9"/>
        <v>19</v>
      </c>
      <c r="J136" s="20" t="s">
        <v>259</v>
      </c>
      <c r="K136" s="20" t="s">
        <v>260</v>
      </c>
      <c r="L136" s="20" t="s">
        <v>262</v>
      </c>
      <c r="M136" s="20" t="s">
        <v>263</v>
      </c>
      <c r="N136" s="20" t="s">
        <v>264</v>
      </c>
      <c r="O136" s="20" t="s">
        <v>282</v>
      </c>
      <c r="P136" s="20" t="s">
        <v>283</v>
      </c>
      <c r="Q136" s="20" t="s">
        <v>266</v>
      </c>
      <c r="R136" s="20" t="s">
        <v>267</v>
      </c>
      <c r="S136" s="20" t="s">
        <v>256</v>
      </c>
      <c r="T136" s="20" t="s">
        <v>268</v>
      </c>
      <c r="U136" s="20" t="s">
        <v>269</v>
      </c>
      <c r="V136" s="20" t="s">
        <v>277</v>
      </c>
      <c r="W136" s="20" t="s">
        <v>257</v>
      </c>
      <c r="X136" s="20" t="s">
        <v>291</v>
      </c>
      <c r="Y136" s="20" t="s">
        <v>275</v>
      </c>
      <c r="Z136" s="20" t="s">
        <v>258</v>
      </c>
      <c r="AA136" s="20" t="s">
        <v>278</v>
      </c>
      <c r="AB136" s="20" t="s">
        <v>274</v>
      </c>
      <c r="AC136" s="2"/>
      <c r="AD136" s="2"/>
      <c r="AE136" s="2"/>
      <c r="AF136" s="2"/>
      <c r="AG136" s="2"/>
      <c r="AH136" s="2"/>
    </row>
    <row r="137" spans="1:34" x14ac:dyDescent="0.4">
      <c r="A137" s="45">
        <v>40</v>
      </c>
      <c r="B137" s="5">
        <v>46</v>
      </c>
      <c r="C137" s="5">
        <v>40</v>
      </c>
      <c r="D137" s="24">
        <f t="shared" si="10"/>
        <v>0</v>
      </c>
      <c r="E137" s="5">
        <f t="shared" si="8"/>
        <v>40</v>
      </c>
      <c r="F137" s="5" t="str">
        <f t="shared" si="11"/>
        <v/>
      </c>
      <c r="H137" s="3" t="s">
        <v>136</v>
      </c>
      <c r="I137" s="24">
        <f t="shared" si="9"/>
        <v>0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</row>
    <row r="138" spans="1:34" x14ac:dyDescent="0.4">
      <c r="A138" s="45">
        <v>43</v>
      </c>
      <c r="B138" s="5">
        <v>41</v>
      </c>
      <c r="C138" s="5">
        <v>41</v>
      </c>
      <c r="D138" s="24">
        <f t="shared" si="10"/>
        <v>0</v>
      </c>
      <c r="E138" s="5">
        <f t="shared" si="8"/>
        <v>43</v>
      </c>
      <c r="F138" s="5" t="str">
        <f t="shared" si="11"/>
        <v/>
      </c>
      <c r="H138" s="3" t="s">
        <v>137</v>
      </c>
      <c r="I138" s="24">
        <f t="shared" si="9"/>
        <v>0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</row>
    <row r="139" spans="1:34" x14ac:dyDescent="0.4">
      <c r="A139" s="45">
        <v>30</v>
      </c>
      <c r="B139" s="5">
        <v>30</v>
      </c>
      <c r="C139" s="5">
        <v>30</v>
      </c>
      <c r="D139" s="24">
        <f t="shared" si="10"/>
        <v>0</v>
      </c>
      <c r="E139" s="5">
        <f t="shared" si="8"/>
        <v>30</v>
      </c>
      <c r="F139" s="5" t="str">
        <f t="shared" si="11"/>
        <v/>
      </c>
      <c r="H139" s="3" t="s">
        <v>138</v>
      </c>
      <c r="I139" s="24">
        <f t="shared" si="9"/>
        <v>0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</row>
    <row r="140" spans="1:34" x14ac:dyDescent="0.4">
      <c r="A140" s="45">
        <v>35</v>
      </c>
      <c r="B140" s="5">
        <v>38</v>
      </c>
      <c r="C140" s="5">
        <v>35</v>
      </c>
      <c r="D140" s="24">
        <f t="shared" si="10"/>
        <v>0</v>
      </c>
      <c r="E140" s="5">
        <f t="shared" si="8"/>
        <v>35</v>
      </c>
      <c r="F140" s="5" t="str">
        <f t="shared" si="11"/>
        <v/>
      </c>
      <c r="H140" s="3" t="s">
        <v>139</v>
      </c>
      <c r="I140" s="24">
        <f t="shared" si="9"/>
        <v>0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</row>
    <row r="141" spans="1:34" x14ac:dyDescent="0.4">
      <c r="A141" s="45">
        <v>35</v>
      </c>
      <c r="B141" s="5">
        <v>37</v>
      </c>
      <c r="C141" s="5">
        <v>33</v>
      </c>
      <c r="D141" s="24">
        <f t="shared" si="10"/>
        <v>0</v>
      </c>
      <c r="E141" s="5">
        <f t="shared" si="8"/>
        <v>35</v>
      </c>
      <c r="F141" s="5" t="str">
        <f t="shared" si="11"/>
        <v/>
      </c>
      <c r="H141" s="3" t="s">
        <v>140</v>
      </c>
      <c r="I141" s="24">
        <f t="shared" si="9"/>
        <v>0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</row>
    <row r="142" spans="1:34" x14ac:dyDescent="0.4">
      <c r="A142" s="45">
        <v>30</v>
      </c>
      <c r="B142" s="5">
        <v>31</v>
      </c>
      <c r="C142" s="5">
        <v>30</v>
      </c>
      <c r="D142" s="24">
        <f t="shared" si="10"/>
        <v>0</v>
      </c>
      <c r="E142" s="5">
        <f t="shared" si="8"/>
        <v>30</v>
      </c>
      <c r="F142" s="5" t="str">
        <f t="shared" si="11"/>
        <v/>
      </c>
      <c r="H142" s="3" t="s">
        <v>141</v>
      </c>
      <c r="I142" s="24">
        <f t="shared" si="9"/>
        <v>0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</row>
    <row r="143" spans="1:34" x14ac:dyDescent="0.4">
      <c r="A143" s="45">
        <v>30</v>
      </c>
      <c r="B143" s="5">
        <v>33</v>
      </c>
      <c r="C143" s="5">
        <v>29</v>
      </c>
      <c r="D143" s="24">
        <f t="shared" si="10"/>
        <v>0</v>
      </c>
      <c r="E143" s="5">
        <f t="shared" si="8"/>
        <v>30</v>
      </c>
      <c r="F143" s="5" t="str">
        <f t="shared" si="11"/>
        <v/>
      </c>
      <c r="H143" s="3" t="s">
        <v>142</v>
      </c>
      <c r="I143" s="24">
        <f t="shared" si="9"/>
        <v>0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</row>
    <row r="144" spans="1:34" x14ac:dyDescent="0.4">
      <c r="A144" s="45">
        <v>39</v>
      </c>
      <c r="B144" s="5">
        <v>38</v>
      </c>
      <c r="C144" s="5">
        <v>38</v>
      </c>
      <c r="D144" s="24">
        <f t="shared" si="10"/>
        <v>1</v>
      </c>
      <c r="E144" s="5">
        <f t="shared" si="8"/>
        <v>38</v>
      </c>
      <c r="F144" s="25" t="str">
        <f t="shared" si="11"/>
        <v>삭제시 맞음</v>
      </c>
      <c r="H144" s="3" t="s">
        <v>143</v>
      </c>
      <c r="I144" s="24">
        <f t="shared" si="9"/>
        <v>1</v>
      </c>
      <c r="J144" s="20" t="s">
        <v>292</v>
      </c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</row>
    <row r="145" spans="1:34" x14ac:dyDescent="0.4">
      <c r="A145" s="45">
        <v>28</v>
      </c>
      <c r="B145" s="5">
        <v>32</v>
      </c>
      <c r="C145" s="5">
        <v>26</v>
      </c>
      <c r="D145" s="24">
        <f t="shared" si="10"/>
        <v>0</v>
      </c>
      <c r="E145" s="5">
        <f t="shared" si="8"/>
        <v>28</v>
      </c>
      <c r="F145" s="5" t="str">
        <f t="shared" si="11"/>
        <v/>
      </c>
      <c r="H145" s="3" t="s">
        <v>144</v>
      </c>
      <c r="I145" s="24">
        <f t="shared" si="9"/>
        <v>0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</row>
    <row r="146" spans="1:34" x14ac:dyDescent="0.4">
      <c r="A146" s="45">
        <v>31</v>
      </c>
      <c r="B146" s="5">
        <v>29</v>
      </c>
      <c r="C146" s="5">
        <v>29</v>
      </c>
      <c r="D146" s="24">
        <f t="shared" si="10"/>
        <v>0</v>
      </c>
      <c r="E146" s="5">
        <f t="shared" si="8"/>
        <v>31</v>
      </c>
      <c r="F146" s="5" t="str">
        <f t="shared" si="11"/>
        <v/>
      </c>
      <c r="H146" s="3" t="s">
        <v>145</v>
      </c>
      <c r="I146" s="24">
        <f t="shared" si="9"/>
        <v>0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</row>
    <row r="147" spans="1:34" x14ac:dyDescent="0.4">
      <c r="A147" s="45">
        <v>8</v>
      </c>
      <c r="B147" s="5">
        <v>8</v>
      </c>
      <c r="C147" s="5">
        <v>8</v>
      </c>
      <c r="D147" s="24">
        <f t="shared" si="10"/>
        <v>0</v>
      </c>
      <c r="E147" s="5">
        <f t="shared" si="8"/>
        <v>8</v>
      </c>
      <c r="F147" s="5" t="str">
        <f t="shared" si="11"/>
        <v/>
      </c>
      <c r="H147" s="3" t="s">
        <v>146</v>
      </c>
      <c r="I147" s="24">
        <f t="shared" si="9"/>
        <v>0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</row>
    <row r="148" spans="1:34" x14ac:dyDescent="0.4">
      <c r="A148" s="45">
        <v>39</v>
      </c>
      <c r="B148" s="5">
        <v>39</v>
      </c>
      <c r="C148" s="5">
        <v>39</v>
      </c>
      <c r="D148" s="24">
        <f t="shared" si="10"/>
        <v>0</v>
      </c>
      <c r="E148" s="5">
        <f t="shared" si="8"/>
        <v>39</v>
      </c>
      <c r="F148" s="5" t="str">
        <f t="shared" si="11"/>
        <v/>
      </c>
      <c r="H148" s="3" t="s">
        <v>147</v>
      </c>
      <c r="I148" s="24">
        <f t="shared" si="9"/>
        <v>0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</row>
    <row r="149" spans="1:34" x14ac:dyDescent="0.4">
      <c r="A149" s="45">
        <v>32</v>
      </c>
      <c r="B149" s="5">
        <v>32</v>
      </c>
      <c r="C149" s="5">
        <v>32</v>
      </c>
      <c r="D149" s="24">
        <f t="shared" si="10"/>
        <v>0</v>
      </c>
      <c r="E149" s="5">
        <f t="shared" si="8"/>
        <v>32</v>
      </c>
      <c r="F149" s="5" t="str">
        <f t="shared" si="11"/>
        <v/>
      </c>
      <c r="H149" s="3" t="s">
        <v>148</v>
      </c>
      <c r="I149" s="24">
        <f t="shared" si="9"/>
        <v>0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</row>
    <row r="150" spans="1:34" x14ac:dyDescent="0.4">
      <c r="A150" s="45">
        <v>32</v>
      </c>
      <c r="B150" s="5">
        <v>34</v>
      </c>
      <c r="C150" s="5">
        <v>29</v>
      </c>
      <c r="D150" s="24">
        <f t="shared" si="10"/>
        <v>0</v>
      </c>
      <c r="E150" s="5">
        <f t="shared" si="8"/>
        <v>32</v>
      </c>
      <c r="F150" s="5" t="str">
        <f t="shared" si="11"/>
        <v/>
      </c>
      <c r="H150" s="3" t="s">
        <v>149</v>
      </c>
      <c r="I150" s="24">
        <f t="shared" si="9"/>
        <v>0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</row>
    <row r="151" spans="1:34" x14ac:dyDescent="0.4">
      <c r="A151" s="45">
        <v>34</v>
      </c>
      <c r="B151" s="5">
        <v>23</v>
      </c>
      <c r="C151" s="5">
        <v>23</v>
      </c>
      <c r="D151" s="24">
        <f t="shared" si="10"/>
        <v>1</v>
      </c>
      <c r="E151" s="5">
        <f t="shared" si="8"/>
        <v>33</v>
      </c>
      <c r="F151" s="5" t="str">
        <f t="shared" si="11"/>
        <v/>
      </c>
      <c r="H151" s="3" t="s">
        <v>150</v>
      </c>
      <c r="I151" s="24">
        <f t="shared" si="9"/>
        <v>1</v>
      </c>
      <c r="J151" s="20" t="s">
        <v>278</v>
      </c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</row>
    <row r="152" spans="1:34" x14ac:dyDescent="0.4">
      <c r="A152" s="45">
        <v>42</v>
      </c>
      <c r="B152" s="5">
        <v>42</v>
      </c>
      <c r="C152" s="5">
        <v>42</v>
      </c>
      <c r="D152" s="24">
        <f t="shared" si="10"/>
        <v>0</v>
      </c>
      <c r="E152" s="5">
        <f t="shared" si="8"/>
        <v>42</v>
      </c>
      <c r="F152" s="5" t="str">
        <f t="shared" si="11"/>
        <v/>
      </c>
      <c r="H152" s="3" t="s">
        <v>151</v>
      </c>
      <c r="I152" s="24">
        <f t="shared" si="9"/>
        <v>0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</row>
    <row r="153" spans="1:34" x14ac:dyDescent="0.4">
      <c r="A153" s="45">
        <v>34</v>
      </c>
      <c r="B153" s="5">
        <v>46</v>
      </c>
      <c r="C153" s="5">
        <v>34</v>
      </c>
      <c r="D153" s="24">
        <f t="shared" si="10"/>
        <v>0</v>
      </c>
      <c r="E153" s="5">
        <f t="shared" ref="E153:E216" si="12">A153-D153</f>
        <v>34</v>
      </c>
      <c r="F153" s="5" t="str">
        <f t="shared" si="11"/>
        <v/>
      </c>
      <c r="H153" s="3" t="s">
        <v>152</v>
      </c>
      <c r="I153" s="24">
        <f t="shared" si="9"/>
        <v>0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</row>
    <row r="154" spans="1:34" x14ac:dyDescent="0.4">
      <c r="A154" s="45">
        <v>22</v>
      </c>
      <c r="B154" s="5">
        <v>19</v>
      </c>
      <c r="C154" s="5">
        <v>18</v>
      </c>
      <c r="D154" s="24">
        <f t="shared" si="10"/>
        <v>17</v>
      </c>
      <c r="E154" s="5">
        <f t="shared" si="12"/>
        <v>5</v>
      </c>
      <c r="F154" s="5" t="str">
        <f t="shared" si="11"/>
        <v/>
      </c>
      <c r="H154" s="3" t="s">
        <v>153</v>
      </c>
      <c r="I154" s="24">
        <f t="shared" si="9"/>
        <v>17</v>
      </c>
      <c r="J154" s="20" t="s">
        <v>259</v>
      </c>
      <c r="K154" s="20" t="s">
        <v>261</v>
      </c>
      <c r="L154" s="20" t="s">
        <v>264</v>
      </c>
      <c r="M154" s="20" t="s">
        <v>265</v>
      </c>
      <c r="N154" s="20" t="s">
        <v>282</v>
      </c>
      <c r="O154" s="20" t="s">
        <v>266</v>
      </c>
      <c r="P154" s="20" t="s">
        <v>267</v>
      </c>
      <c r="Q154" s="20" t="s">
        <v>256</v>
      </c>
      <c r="R154" s="20" t="s">
        <v>268</v>
      </c>
      <c r="S154" s="20" t="s">
        <v>269</v>
      </c>
      <c r="T154" s="20" t="s">
        <v>277</v>
      </c>
      <c r="U154" s="20" t="s">
        <v>270</v>
      </c>
      <c r="V154" s="20" t="s">
        <v>257</v>
      </c>
      <c r="W154" s="20" t="s">
        <v>271</v>
      </c>
      <c r="X154" s="20" t="s">
        <v>291</v>
      </c>
      <c r="Y154" s="20" t="s">
        <v>258</v>
      </c>
      <c r="Z154" s="20" t="s">
        <v>278</v>
      </c>
      <c r="AA154" s="2"/>
      <c r="AB154" s="2"/>
      <c r="AC154" s="2"/>
      <c r="AD154" s="2"/>
      <c r="AE154" s="2"/>
      <c r="AF154" s="2"/>
      <c r="AG154" s="2"/>
      <c r="AH154" s="2"/>
    </row>
    <row r="155" spans="1:34" x14ac:dyDescent="0.4">
      <c r="A155" s="45">
        <v>38</v>
      </c>
      <c r="B155" s="5">
        <v>37</v>
      </c>
      <c r="C155" s="5">
        <v>37</v>
      </c>
      <c r="D155" s="24">
        <f t="shared" si="10"/>
        <v>11</v>
      </c>
      <c r="E155" s="5">
        <f t="shared" si="12"/>
        <v>27</v>
      </c>
      <c r="F155" s="5" t="str">
        <f t="shared" si="11"/>
        <v/>
      </c>
      <c r="H155" s="3" t="s">
        <v>154</v>
      </c>
      <c r="I155" s="24">
        <f t="shared" si="9"/>
        <v>11</v>
      </c>
      <c r="J155" s="20" t="s">
        <v>259</v>
      </c>
      <c r="K155" s="20" t="s">
        <v>261</v>
      </c>
      <c r="L155" s="20" t="s">
        <v>263</v>
      </c>
      <c r="M155" s="20" t="s">
        <v>264</v>
      </c>
      <c r="N155" s="20" t="s">
        <v>266</v>
      </c>
      <c r="O155" s="20" t="s">
        <v>267</v>
      </c>
      <c r="P155" s="20" t="s">
        <v>256</v>
      </c>
      <c r="Q155" s="20" t="s">
        <v>268</v>
      </c>
      <c r="R155" s="20" t="s">
        <v>280</v>
      </c>
      <c r="S155" s="20" t="s">
        <v>271</v>
      </c>
      <c r="T155" s="20" t="s">
        <v>274</v>
      </c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</row>
    <row r="156" spans="1:34" x14ac:dyDescent="0.4">
      <c r="A156" s="45">
        <v>37</v>
      </c>
      <c r="B156" s="5">
        <v>38</v>
      </c>
      <c r="C156" s="5">
        <v>38</v>
      </c>
      <c r="D156" s="24">
        <f t="shared" si="10"/>
        <v>0</v>
      </c>
      <c r="E156" s="5">
        <f t="shared" si="12"/>
        <v>37</v>
      </c>
      <c r="F156" s="5" t="str">
        <f t="shared" si="11"/>
        <v/>
      </c>
      <c r="H156" s="3" t="s">
        <v>155</v>
      </c>
      <c r="I156" s="24">
        <f t="shared" si="9"/>
        <v>0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</row>
    <row r="157" spans="1:34" x14ac:dyDescent="0.4">
      <c r="A157" s="45">
        <v>36</v>
      </c>
      <c r="B157" s="5">
        <v>37</v>
      </c>
      <c r="C157" s="5">
        <v>36</v>
      </c>
      <c r="D157" s="24">
        <f t="shared" si="10"/>
        <v>0</v>
      </c>
      <c r="E157" s="5">
        <f t="shared" si="12"/>
        <v>36</v>
      </c>
      <c r="F157" s="5" t="str">
        <f t="shared" si="11"/>
        <v/>
      </c>
      <c r="H157" s="3" t="s">
        <v>156</v>
      </c>
      <c r="I157" s="24">
        <f t="shared" si="9"/>
        <v>0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</row>
    <row r="158" spans="1:34" x14ac:dyDescent="0.4">
      <c r="A158" s="45">
        <v>39</v>
      </c>
      <c r="B158" s="5">
        <v>43</v>
      </c>
      <c r="C158" s="5">
        <v>39</v>
      </c>
      <c r="D158" s="24">
        <f t="shared" si="10"/>
        <v>0</v>
      </c>
      <c r="E158" s="5">
        <f t="shared" si="12"/>
        <v>39</v>
      </c>
      <c r="F158" s="5" t="str">
        <f t="shared" si="11"/>
        <v/>
      </c>
      <c r="H158" s="3" t="s">
        <v>157</v>
      </c>
      <c r="I158" s="24">
        <f t="shared" si="9"/>
        <v>0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</row>
    <row r="159" spans="1:34" x14ac:dyDescent="0.4">
      <c r="A159" s="45">
        <v>34</v>
      </c>
      <c r="B159" s="5">
        <v>34</v>
      </c>
      <c r="C159" s="5">
        <v>33</v>
      </c>
      <c r="D159" s="24">
        <f t="shared" si="10"/>
        <v>0</v>
      </c>
      <c r="E159" s="5">
        <f t="shared" si="12"/>
        <v>34</v>
      </c>
      <c r="F159" s="5" t="str">
        <f t="shared" si="11"/>
        <v/>
      </c>
      <c r="H159" s="3" t="s">
        <v>158</v>
      </c>
      <c r="I159" s="24">
        <f t="shared" si="9"/>
        <v>0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</row>
    <row r="160" spans="1:34" x14ac:dyDescent="0.4">
      <c r="A160" s="45">
        <v>36</v>
      </c>
      <c r="B160" s="5">
        <v>36</v>
      </c>
      <c r="C160" s="5">
        <v>36</v>
      </c>
      <c r="D160" s="24">
        <f t="shared" si="10"/>
        <v>0</v>
      </c>
      <c r="E160" s="5">
        <f t="shared" si="12"/>
        <v>36</v>
      </c>
      <c r="F160" s="5" t="str">
        <f t="shared" si="11"/>
        <v/>
      </c>
      <c r="H160" s="3" t="s">
        <v>159</v>
      </c>
      <c r="I160" s="24">
        <f t="shared" si="9"/>
        <v>0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</row>
    <row r="161" spans="1:34" x14ac:dyDescent="0.4">
      <c r="A161" s="45">
        <v>40</v>
      </c>
      <c r="B161" s="5">
        <v>39</v>
      </c>
      <c r="C161" s="5">
        <v>39</v>
      </c>
      <c r="D161" s="24">
        <f t="shared" si="10"/>
        <v>2</v>
      </c>
      <c r="E161" s="5">
        <f t="shared" si="12"/>
        <v>38</v>
      </c>
      <c r="F161" s="5" t="str">
        <f t="shared" si="11"/>
        <v/>
      </c>
      <c r="H161" s="3" t="s">
        <v>160</v>
      </c>
      <c r="I161" s="24">
        <f t="shared" si="9"/>
        <v>2</v>
      </c>
      <c r="J161" s="20" t="s">
        <v>277</v>
      </c>
      <c r="K161" s="20" t="s">
        <v>257</v>
      </c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</row>
    <row r="162" spans="1:34" x14ac:dyDescent="0.4">
      <c r="A162" s="45">
        <v>38</v>
      </c>
      <c r="B162" s="5">
        <v>39</v>
      </c>
      <c r="C162" s="5">
        <v>38</v>
      </c>
      <c r="D162" s="24">
        <f t="shared" si="10"/>
        <v>21</v>
      </c>
      <c r="E162" s="5">
        <f t="shared" si="12"/>
        <v>17</v>
      </c>
      <c r="F162" s="5" t="str">
        <f t="shared" si="11"/>
        <v/>
      </c>
      <c r="H162" s="3" t="s">
        <v>161</v>
      </c>
      <c r="I162" s="24">
        <f t="shared" si="9"/>
        <v>21</v>
      </c>
      <c r="J162" s="20" t="s">
        <v>259</v>
      </c>
      <c r="K162" s="20" t="s">
        <v>260</v>
      </c>
      <c r="L162" s="20" t="s">
        <v>261</v>
      </c>
      <c r="M162" s="20" t="s">
        <v>262</v>
      </c>
      <c r="N162" s="20" t="s">
        <v>265</v>
      </c>
      <c r="O162" s="20" t="s">
        <v>282</v>
      </c>
      <c r="P162" s="20" t="s">
        <v>283</v>
      </c>
      <c r="Q162" s="20" t="s">
        <v>266</v>
      </c>
      <c r="R162" s="20" t="s">
        <v>267</v>
      </c>
      <c r="S162" s="20" t="s">
        <v>256</v>
      </c>
      <c r="T162" s="20" t="s">
        <v>268</v>
      </c>
      <c r="U162" s="20" t="s">
        <v>269</v>
      </c>
      <c r="V162" s="20" t="s">
        <v>277</v>
      </c>
      <c r="W162" s="20" t="s">
        <v>257</v>
      </c>
      <c r="X162" s="20" t="s">
        <v>280</v>
      </c>
      <c r="Y162" s="20" t="s">
        <v>271</v>
      </c>
      <c r="Z162" s="20" t="s">
        <v>258</v>
      </c>
      <c r="AA162" s="20" t="s">
        <v>278</v>
      </c>
      <c r="AB162" s="20" t="s">
        <v>273</v>
      </c>
      <c r="AC162" s="20" t="s">
        <v>293</v>
      </c>
      <c r="AD162" s="20" t="s">
        <v>274</v>
      </c>
      <c r="AE162" s="2"/>
      <c r="AF162" s="2"/>
      <c r="AG162" s="2"/>
      <c r="AH162" s="2"/>
    </row>
    <row r="163" spans="1:34" x14ac:dyDescent="0.4">
      <c r="A163" s="45">
        <v>9</v>
      </c>
      <c r="B163" s="5">
        <v>9</v>
      </c>
      <c r="C163" s="5">
        <v>9</v>
      </c>
      <c r="D163" s="24">
        <f t="shared" si="10"/>
        <v>0</v>
      </c>
      <c r="E163" s="5">
        <f t="shared" si="12"/>
        <v>9</v>
      </c>
      <c r="F163" s="5" t="str">
        <f t="shared" si="11"/>
        <v/>
      </c>
      <c r="H163" s="3" t="s">
        <v>162</v>
      </c>
      <c r="I163" s="24">
        <f t="shared" si="9"/>
        <v>0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</row>
    <row r="164" spans="1:34" x14ac:dyDescent="0.4">
      <c r="A164" s="45">
        <v>34</v>
      </c>
      <c r="B164" s="5">
        <v>43</v>
      </c>
      <c r="C164" s="5">
        <v>34</v>
      </c>
      <c r="D164" s="24">
        <f t="shared" si="10"/>
        <v>0</v>
      </c>
      <c r="E164" s="5">
        <f t="shared" si="12"/>
        <v>34</v>
      </c>
      <c r="F164" s="5" t="str">
        <f t="shared" si="11"/>
        <v/>
      </c>
      <c r="H164" s="3" t="s">
        <v>163</v>
      </c>
      <c r="I164" s="24">
        <f t="shared" si="9"/>
        <v>0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</row>
    <row r="165" spans="1:34" x14ac:dyDescent="0.4">
      <c r="A165" s="45">
        <v>42</v>
      </c>
      <c r="B165" s="5">
        <v>45</v>
      </c>
      <c r="C165" s="5">
        <v>42</v>
      </c>
      <c r="D165" s="24">
        <f t="shared" si="10"/>
        <v>0</v>
      </c>
      <c r="E165" s="5">
        <f t="shared" si="12"/>
        <v>42</v>
      </c>
      <c r="F165" s="5" t="str">
        <f t="shared" si="11"/>
        <v/>
      </c>
      <c r="H165" s="3" t="s">
        <v>164</v>
      </c>
      <c r="I165" s="24">
        <f t="shared" si="9"/>
        <v>0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</row>
    <row r="166" spans="1:34" x14ac:dyDescent="0.4">
      <c r="A166" s="45">
        <v>42</v>
      </c>
      <c r="B166" s="5">
        <v>42</v>
      </c>
      <c r="C166" s="5">
        <v>42</v>
      </c>
      <c r="D166" s="24">
        <f t="shared" si="10"/>
        <v>0</v>
      </c>
      <c r="E166" s="5">
        <f t="shared" si="12"/>
        <v>42</v>
      </c>
      <c r="F166" s="5" t="str">
        <f t="shared" si="11"/>
        <v/>
      </c>
      <c r="H166" s="3" t="s">
        <v>165</v>
      </c>
      <c r="I166" s="24">
        <f t="shared" si="9"/>
        <v>0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</row>
    <row r="167" spans="1:34" x14ac:dyDescent="0.4">
      <c r="A167" s="45">
        <v>35</v>
      </c>
      <c r="B167" s="5">
        <v>35</v>
      </c>
      <c r="C167" s="5">
        <v>35</v>
      </c>
      <c r="D167" s="24">
        <f t="shared" si="10"/>
        <v>0</v>
      </c>
      <c r="E167" s="5">
        <f t="shared" si="12"/>
        <v>35</v>
      </c>
      <c r="F167" s="5" t="str">
        <f t="shared" si="11"/>
        <v/>
      </c>
      <c r="H167" s="3" t="s">
        <v>166</v>
      </c>
      <c r="I167" s="24">
        <f t="shared" si="9"/>
        <v>0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</row>
    <row r="168" spans="1:34" x14ac:dyDescent="0.4">
      <c r="A168" s="45">
        <v>37</v>
      </c>
      <c r="B168" s="5">
        <v>44</v>
      </c>
      <c r="C168" s="5">
        <v>35</v>
      </c>
      <c r="D168" s="24">
        <f t="shared" si="10"/>
        <v>1</v>
      </c>
      <c r="E168" s="5">
        <f t="shared" si="12"/>
        <v>36</v>
      </c>
      <c r="F168" s="5" t="str">
        <f t="shared" si="11"/>
        <v/>
      </c>
      <c r="H168" s="3" t="s">
        <v>167</v>
      </c>
      <c r="I168" s="24">
        <f t="shared" si="9"/>
        <v>1</v>
      </c>
      <c r="J168" s="20" t="s">
        <v>262</v>
      </c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</row>
    <row r="169" spans="1:34" x14ac:dyDescent="0.4">
      <c r="A169" s="45">
        <v>26</v>
      </c>
      <c r="B169" s="5">
        <v>14</v>
      </c>
      <c r="C169" s="5">
        <v>14</v>
      </c>
      <c r="D169" s="24">
        <f t="shared" si="10"/>
        <v>16</v>
      </c>
      <c r="E169" s="5">
        <f t="shared" si="12"/>
        <v>10</v>
      </c>
      <c r="F169" s="5" t="str">
        <f t="shared" si="11"/>
        <v/>
      </c>
      <c r="H169" s="3" t="s">
        <v>168</v>
      </c>
      <c r="I169" s="24">
        <f t="shared" si="9"/>
        <v>16</v>
      </c>
      <c r="J169" s="20" t="s">
        <v>259</v>
      </c>
      <c r="K169" s="20" t="s">
        <v>260</v>
      </c>
      <c r="L169" s="20" t="s">
        <v>261</v>
      </c>
      <c r="M169" s="20" t="s">
        <v>262</v>
      </c>
      <c r="N169" s="20" t="s">
        <v>263</v>
      </c>
      <c r="O169" s="20" t="s">
        <v>264</v>
      </c>
      <c r="P169" s="20" t="s">
        <v>265</v>
      </c>
      <c r="Q169" s="20" t="s">
        <v>282</v>
      </c>
      <c r="R169" s="20" t="s">
        <v>266</v>
      </c>
      <c r="S169" s="20" t="s">
        <v>267</v>
      </c>
      <c r="T169" s="20" t="s">
        <v>256</v>
      </c>
      <c r="U169" s="20" t="s">
        <v>268</v>
      </c>
      <c r="V169" s="20" t="s">
        <v>269</v>
      </c>
      <c r="W169" s="20" t="s">
        <v>277</v>
      </c>
      <c r="X169" s="20" t="s">
        <v>289</v>
      </c>
      <c r="Y169" s="20" t="s">
        <v>278</v>
      </c>
      <c r="Z169" s="2"/>
      <c r="AA169" s="2"/>
      <c r="AB169" s="2"/>
      <c r="AC169" s="2"/>
      <c r="AD169" s="2"/>
      <c r="AE169" s="2"/>
      <c r="AF169" s="2"/>
      <c r="AG169" s="2"/>
      <c r="AH169" s="2"/>
    </row>
    <row r="170" spans="1:34" x14ac:dyDescent="0.4">
      <c r="A170" s="45">
        <v>36</v>
      </c>
      <c r="B170" s="5">
        <v>35</v>
      </c>
      <c r="C170" s="5">
        <v>35</v>
      </c>
      <c r="D170" s="24">
        <f t="shared" si="10"/>
        <v>0</v>
      </c>
      <c r="E170" s="5">
        <f t="shared" si="12"/>
        <v>36</v>
      </c>
      <c r="F170" s="5" t="str">
        <f t="shared" si="11"/>
        <v/>
      </c>
      <c r="H170" s="3" t="s">
        <v>169</v>
      </c>
      <c r="I170" s="24">
        <f t="shared" si="9"/>
        <v>0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</row>
    <row r="171" spans="1:34" x14ac:dyDescent="0.4">
      <c r="A171" s="45">
        <v>38</v>
      </c>
      <c r="B171" s="5">
        <v>39</v>
      </c>
      <c r="C171" s="5">
        <v>38</v>
      </c>
      <c r="D171" s="24">
        <f t="shared" si="10"/>
        <v>0</v>
      </c>
      <c r="E171" s="5">
        <f t="shared" si="12"/>
        <v>38</v>
      </c>
      <c r="F171" s="5" t="str">
        <f t="shared" si="11"/>
        <v/>
      </c>
      <c r="H171" s="3" t="s">
        <v>170</v>
      </c>
      <c r="I171" s="24">
        <f t="shared" si="9"/>
        <v>0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</row>
    <row r="172" spans="1:34" x14ac:dyDescent="0.4">
      <c r="A172" s="45">
        <v>32</v>
      </c>
      <c r="B172" s="5">
        <v>40</v>
      </c>
      <c r="C172" s="5">
        <v>32</v>
      </c>
      <c r="D172" s="24">
        <f t="shared" si="10"/>
        <v>0</v>
      </c>
      <c r="E172" s="5">
        <f t="shared" si="12"/>
        <v>32</v>
      </c>
      <c r="F172" s="5" t="str">
        <f t="shared" si="11"/>
        <v/>
      </c>
      <c r="H172" s="3" t="s">
        <v>171</v>
      </c>
      <c r="I172" s="24">
        <f t="shared" si="9"/>
        <v>0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</row>
    <row r="173" spans="1:34" x14ac:dyDescent="0.4">
      <c r="A173" s="45">
        <v>32</v>
      </c>
      <c r="B173" s="5">
        <v>32</v>
      </c>
      <c r="C173" s="5">
        <v>32</v>
      </c>
      <c r="D173" s="24">
        <f t="shared" si="10"/>
        <v>0</v>
      </c>
      <c r="E173" s="5">
        <f t="shared" si="12"/>
        <v>32</v>
      </c>
      <c r="F173" s="5" t="str">
        <f t="shared" si="11"/>
        <v/>
      </c>
      <c r="H173" s="3" t="s">
        <v>172</v>
      </c>
      <c r="I173" s="24">
        <f t="shared" si="9"/>
        <v>0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</row>
    <row r="174" spans="1:34" x14ac:dyDescent="0.4">
      <c r="A174" s="45">
        <v>26</v>
      </c>
      <c r="B174" s="5">
        <v>26</v>
      </c>
      <c r="C174" s="5">
        <v>26</v>
      </c>
      <c r="D174" s="24">
        <f t="shared" si="10"/>
        <v>0</v>
      </c>
      <c r="E174" s="5">
        <f t="shared" si="12"/>
        <v>26</v>
      </c>
      <c r="F174" s="5" t="str">
        <f t="shared" si="11"/>
        <v/>
      </c>
      <c r="H174" s="3" t="s">
        <v>173</v>
      </c>
      <c r="I174" s="24">
        <f t="shared" si="9"/>
        <v>0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</row>
    <row r="175" spans="1:34" x14ac:dyDescent="0.4">
      <c r="A175" s="45">
        <v>33</v>
      </c>
      <c r="B175" s="5">
        <v>42</v>
      </c>
      <c r="C175" s="5">
        <v>33</v>
      </c>
      <c r="D175" s="24">
        <f t="shared" si="10"/>
        <v>0</v>
      </c>
      <c r="E175" s="5">
        <f t="shared" si="12"/>
        <v>33</v>
      </c>
      <c r="F175" s="5" t="str">
        <f t="shared" si="11"/>
        <v/>
      </c>
      <c r="H175" s="3" t="s">
        <v>174</v>
      </c>
      <c r="I175" s="24">
        <f t="shared" si="9"/>
        <v>0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</row>
    <row r="176" spans="1:34" x14ac:dyDescent="0.4">
      <c r="A176" s="45">
        <v>34</v>
      </c>
      <c r="B176" s="5">
        <v>45</v>
      </c>
      <c r="C176" s="5">
        <v>34</v>
      </c>
      <c r="D176" s="24">
        <f t="shared" si="10"/>
        <v>19</v>
      </c>
      <c r="E176" s="5">
        <f t="shared" si="12"/>
        <v>15</v>
      </c>
      <c r="F176" s="5" t="str">
        <f t="shared" si="11"/>
        <v/>
      </c>
      <c r="H176" s="3" t="s">
        <v>175</v>
      </c>
      <c r="I176" s="24">
        <f t="shared" si="9"/>
        <v>19</v>
      </c>
      <c r="J176" s="20" t="s">
        <v>259</v>
      </c>
      <c r="K176" s="20" t="s">
        <v>260</v>
      </c>
      <c r="L176" s="20" t="s">
        <v>261</v>
      </c>
      <c r="M176" s="20" t="s">
        <v>262</v>
      </c>
      <c r="N176" s="20" t="s">
        <v>263</v>
      </c>
      <c r="O176" s="20" t="s">
        <v>264</v>
      </c>
      <c r="P176" s="20" t="s">
        <v>265</v>
      </c>
      <c r="Q176" s="20" t="s">
        <v>282</v>
      </c>
      <c r="R176" s="20" t="s">
        <v>267</v>
      </c>
      <c r="S176" s="20" t="s">
        <v>256</v>
      </c>
      <c r="T176" s="20" t="s">
        <v>268</v>
      </c>
      <c r="U176" s="20" t="s">
        <v>269</v>
      </c>
      <c r="V176" s="20" t="s">
        <v>277</v>
      </c>
      <c r="W176" s="20" t="s">
        <v>280</v>
      </c>
      <c r="X176" s="20" t="s">
        <v>258</v>
      </c>
      <c r="Y176" s="20" t="s">
        <v>278</v>
      </c>
      <c r="Z176" s="20" t="s">
        <v>272</v>
      </c>
      <c r="AA176" s="20" t="s">
        <v>273</v>
      </c>
      <c r="AB176" s="20" t="s">
        <v>274</v>
      </c>
      <c r="AC176" s="2"/>
      <c r="AD176" s="2"/>
      <c r="AE176" s="2"/>
      <c r="AF176" s="2"/>
      <c r="AG176" s="2"/>
      <c r="AH176" s="2"/>
    </row>
    <row r="177" spans="1:34" x14ac:dyDescent="0.4">
      <c r="A177" s="45">
        <v>32</v>
      </c>
      <c r="B177" s="5">
        <v>32</v>
      </c>
      <c r="C177" s="5">
        <v>32</v>
      </c>
      <c r="D177" s="24">
        <f t="shared" si="10"/>
        <v>0</v>
      </c>
      <c r="E177" s="5">
        <f t="shared" si="12"/>
        <v>32</v>
      </c>
      <c r="F177" s="5" t="str">
        <f t="shared" si="11"/>
        <v/>
      </c>
      <c r="H177" s="3" t="s">
        <v>176</v>
      </c>
      <c r="I177" s="24">
        <f t="shared" si="9"/>
        <v>0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</row>
    <row r="178" spans="1:34" x14ac:dyDescent="0.4">
      <c r="A178" s="45">
        <v>9</v>
      </c>
      <c r="B178" s="5">
        <v>10</v>
      </c>
      <c r="C178" s="5">
        <v>2</v>
      </c>
      <c r="D178" s="24">
        <f t="shared" si="10"/>
        <v>0</v>
      </c>
      <c r="E178" s="5">
        <f t="shared" si="12"/>
        <v>9</v>
      </c>
      <c r="F178" s="5" t="str">
        <f t="shared" si="11"/>
        <v/>
      </c>
      <c r="H178" s="3" t="s">
        <v>177</v>
      </c>
      <c r="I178" s="24">
        <f t="shared" si="9"/>
        <v>0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</row>
    <row r="179" spans="1:34" x14ac:dyDescent="0.4">
      <c r="A179" s="45">
        <v>38</v>
      </c>
      <c r="B179" s="5">
        <v>40</v>
      </c>
      <c r="C179" s="5">
        <v>35</v>
      </c>
      <c r="D179" s="24">
        <f t="shared" si="10"/>
        <v>0</v>
      </c>
      <c r="E179" s="5">
        <f t="shared" si="12"/>
        <v>38</v>
      </c>
      <c r="F179" s="5" t="str">
        <f t="shared" si="11"/>
        <v/>
      </c>
      <c r="H179" s="3" t="s">
        <v>178</v>
      </c>
      <c r="I179" s="24">
        <f t="shared" si="9"/>
        <v>0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</row>
    <row r="180" spans="1:34" x14ac:dyDescent="0.4">
      <c r="A180" s="45">
        <v>47</v>
      </c>
      <c r="B180" s="5">
        <v>47</v>
      </c>
      <c r="C180" s="5">
        <v>47</v>
      </c>
      <c r="D180" s="24">
        <f t="shared" si="10"/>
        <v>20</v>
      </c>
      <c r="E180" s="5">
        <f t="shared" si="12"/>
        <v>27</v>
      </c>
      <c r="F180" s="5" t="str">
        <f t="shared" si="11"/>
        <v/>
      </c>
      <c r="H180" s="3" t="s">
        <v>179</v>
      </c>
      <c r="I180" s="24">
        <f t="shared" si="9"/>
        <v>20</v>
      </c>
      <c r="J180" s="20" t="s">
        <v>259</v>
      </c>
      <c r="K180" s="20" t="s">
        <v>261</v>
      </c>
      <c r="L180" s="20" t="s">
        <v>262</v>
      </c>
      <c r="M180" s="20" t="s">
        <v>263</v>
      </c>
      <c r="N180" s="20" t="s">
        <v>264</v>
      </c>
      <c r="O180" s="20" t="s">
        <v>282</v>
      </c>
      <c r="P180" s="20" t="s">
        <v>283</v>
      </c>
      <c r="Q180" s="20" t="s">
        <v>266</v>
      </c>
      <c r="R180" s="20" t="s">
        <v>267</v>
      </c>
      <c r="S180" s="20" t="s">
        <v>256</v>
      </c>
      <c r="T180" s="20" t="s">
        <v>268</v>
      </c>
      <c r="U180" s="20" t="s">
        <v>277</v>
      </c>
      <c r="V180" s="20" t="s">
        <v>270</v>
      </c>
      <c r="W180" s="20" t="s">
        <v>280</v>
      </c>
      <c r="X180" s="20" t="s">
        <v>275</v>
      </c>
      <c r="Y180" s="20" t="s">
        <v>278</v>
      </c>
      <c r="Z180" s="20" t="s">
        <v>272</v>
      </c>
      <c r="AA180" s="20" t="s">
        <v>276</v>
      </c>
      <c r="AB180" s="20" t="s">
        <v>274</v>
      </c>
      <c r="AC180" s="20" t="s">
        <v>281</v>
      </c>
      <c r="AD180" s="2"/>
      <c r="AE180" s="2"/>
      <c r="AF180" s="2"/>
      <c r="AG180" s="2"/>
      <c r="AH180" s="2"/>
    </row>
    <row r="181" spans="1:34" x14ac:dyDescent="0.4">
      <c r="A181" s="45">
        <v>47</v>
      </c>
      <c r="B181" s="5">
        <v>49</v>
      </c>
      <c r="C181" s="5">
        <v>47</v>
      </c>
      <c r="D181" s="24">
        <f t="shared" si="10"/>
        <v>0</v>
      </c>
      <c r="E181" s="5">
        <f t="shared" si="12"/>
        <v>47</v>
      </c>
      <c r="F181" s="5" t="str">
        <f t="shared" si="11"/>
        <v/>
      </c>
      <c r="H181" s="3" t="s">
        <v>180</v>
      </c>
      <c r="I181" s="24">
        <f t="shared" si="9"/>
        <v>0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</row>
    <row r="182" spans="1:34" x14ac:dyDescent="0.4">
      <c r="A182" s="45">
        <v>22</v>
      </c>
      <c r="B182" s="5">
        <v>0</v>
      </c>
      <c r="C182" s="5">
        <v>0</v>
      </c>
      <c r="D182" s="24">
        <f t="shared" si="10"/>
        <v>10</v>
      </c>
      <c r="E182" s="5">
        <f t="shared" si="12"/>
        <v>12</v>
      </c>
      <c r="F182" s="5" t="str">
        <f t="shared" si="11"/>
        <v/>
      </c>
      <c r="H182" s="3" t="s">
        <v>199</v>
      </c>
      <c r="I182" s="24">
        <f t="shared" si="9"/>
        <v>10</v>
      </c>
      <c r="J182" s="20" t="s">
        <v>259</v>
      </c>
      <c r="K182" s="20" t="s">
        <v>260</v>
      </c>
      <c r="L182" s="20" t="s">
        <v>264</v>
      </c>
      <c r="M182" s="20" t="s">
        <v>265</v>
      </c>
      <c r="N182" s="20" t="s">
        <v>282</v>
      </c>
      <c r="O182" s="20" t="s">
        <v>269</v>
      </c>
      <c r="P182" s="20" t="s">
        <v>270</v>
      </c>
      <c r="Q182" s="20" t="s">
        <v>279</v>
      </c>
      <c r="R182" s="20" t="s">
        <v>271</v>
      </c>
      <c r="S182" s="20" t="s">
        <v>289</v>
      </c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</row>
    <row r="183" spans="1:34" x14ac:dyDescent="0.4">
      <c r="A183" s="45">
        <v>40</v>
      </c>
      <c r="B183" s="5">
        <v>44</v>
      </c>
      <c r="C183" s="5">
        <v>40</v>
      </c>
      <c r="D183" s="24">
        <f t="shared" si="10"/>
        <v>0</v>
      </c>
      <c r="E183" s="5">
        <f t="shared" si="12"/>
        <v>40</v>
      </c>
      <c r="F183" s="5" t="str">
        <f t="shared" si="11"/>
        <v/>
      </c>
      <c r="H183" s="3" t="s">
        <v>181</v>
      </c>
      <c r="I183" s="24">
        <f t="shared" si="9"/>
        <v>0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</row>
    <row r="184" spans="1:34" x14ac:dyDescent="0.4">
      <c r="A184" s="45">
        <v>36</v>
      </c>
      <c r="B184" s="5">
        <v>40</v>
      </c>
      <c r="C184" s="5">
        <v>36</v>
      </c>
      <c r="D184" s="24">
        <f t="shared" si="10"/>
        <v>0</v>
      </c>
      <c r="E184" s="5">
        <f t="shared" si="12"/>
        <v>36</v>
      </c>
      <c r="F184" s="5" t="str">
        <f t="shared" si="11"/>
        <v/>
      </c>
      <c r="H184" s="3" t="s">
        <v>182</v>
      </c>
      <c r="I184" s="24">
        <f t="shared" si="9"/>
        <v>0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</row>
    <row r="185" spans="1:34" x14ac:dyDescent="0.4">
      <c r="A185" s="45">
        <v>39</v>
      </c>
      <c r="B185" s="5">
        <v>37</v>
      </c>
      <c r="C185" s="5">
        <v>36</v>
      </c>
      <c r="D185" s="24">
        <f t="shared" si="10"/>
        <v>3</v>
      </c>
      <c r="E185" s="5">
        <f t="shared" si="12"/>
        <v>36</v>
      </c>
      <c r="F185" s="5" t="str">
        <f t="shared" si="11"/>
        <v>삭제시 맞음</v>
      </c>
      <c r="H185" s="3" t="s">
        <v>183</v>
      </c>
      <c r="I185" s="24">
        <f t="shared" si="9"/>
        <v>3</v>
      </c>
      <c r="J185" s="20" t="s">
        <v>289</v>
      </c>
      <c r="K185" s="20" t="s">
        <v>291</v>
      </c>
      <c r="L185" s="20" t="s">
        <v>281</v>
      </c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</row>
    <row r="186" spans="1:34" x14ac:dyDescent="0.4">
      <c r="A186" s="45">
        <v>36</v>
      </c>
      <c r="B186" s="5">
        <v>35</v>
      </c>
      <c r="C186" s="5">
        <v>29</v>
      </c>
      <c r="D186" s="24">
        <f t="shared" si="10"/>
        <v>25</v>
      </c>
      <c r="E186" s="5">
        <f t="shared" si="12"/>
        <v>11</v>
      </c>
      <c r="F186" s="5" t="str">
        <f t="shared" si="11"/>
        <v/>
      </c>
      <c r="H186" s="3" t="s">
        <v>184</v>
      </c>
      <c r="I186" s="24">
        <f t="shared" si="9"/>
        <v>25</v>
      </c>
      <c r="J186" s="20" t="s">
        <v>259</v>
      </c>
      <c r="K186" s="20" t="s">
        <v>260</v>
      </c>
      <c r="L186" s="20" t="s">
        <v>261</v>
      </c>
      <c r="M186" s="20" t="s">
        <v>262</v>
      </c>
      <c r="N186" s="20" t="s">
        <v>263</v>
      </c>
      <c r="O186" s="20" t="s">
        <v>264</v>
      </c>
      <c r="P186" s="20" t="s">
        <v>265</v>
      </c>
      <c r="Q186" s="20" t="s">
        <v>282</v>
      </c>
      <c r="R186" s="20" t="s">
        <v>283</v>
      </c>
      <c r="S186" s="20" t="s">
        <v>266</v>
      </c>
      <c r="T186" s="20" t="s">
        <v>267</v>
      </c>
      <c r="U186" s="20" t="s">
        <v>256</v>
      </c>
      <c r="V186" s="20" t="s">
        <v>268</v>
      </c>
      <c r="W186" s="20" t="s">
        <v>269</v>
      </c>
      <c r="X186" s="20" t="s">
        <v>277</v>
      </c>
      <c r="Y186" s="20" t="s">
        <v>294</v>
      </c>
      <c r="Z186" s="20" t="s">
        <v>270</v>
      </c>
      <c r="AA186" s="20" t="s">
        <v>257</v>
      </c>
      <c r="AB186" s="20" t="s">
        <v>295</v>
      </c>
      <c r="AC186" s="20" t="s">
        <v>279</v>
      </c>
      <c r="AD186" s="20" t="s">
        <v>280</v>
      </c>
      <c r="AE186" s="20" t="s">
        <v>278</v>
      </c>
      <c r="AF186" s="20" t="s">
        <v>272</v>
      </c>
      <c r="AG186" s="20" t="s">
        <v>276</v>
      </c>
      <c r="AH186" s="20" t="s">
        <v>274</v>
      </c>
    </row>
    <row r="187" spans="1:34" x14ac:dyDescent="0.4">
      <c r="A187" s="45">
        <v>27</v>
      </c>
      <c r="B187" s="5">
        <v>27</v>
      </c>
      <c r="C187" s="5">
        <v>27</v>
      </c>
      <c r="D187" s="24">
        <f t="shared" si="10"/>
        <v>12</v>
      </c>
      <c r="E187" s="5">
        <f t="shared" si="12"/>
        <v>15</v>
      </c>
      <c r="F187" s="5" t="str">
        <f t="shared" si="11"/>
        <v/>
      </c>
      <c r="H187" s="3" t="s">
        <v>185</v>
      </c>
      <c r="I187" s="24">
        <f t="shared" si="9"/>
        <v>12</v>
      </c>
      <c r="J187" s="20" t="s">
        <v>259</v>
      </c>
      <c r="K187" s="20" t="s">
        <v>261</v>
      </c>
      <c r="L187" s="20" t="s">
        <v>262</v>
      </c>
      <c r="M187" s="20" t="s">
        <v>263</v>
      </c>
      <c r="N187" s="20" t="s">
        <v>283</v>
      </c>
      <c r="O187" s="20" t="s">
        <v>266</v>
      </c>
      <c r="P187" s="20" t="s">
        <v>269</v>
      </c>
      <c r="Q187" s="20" t="s">
        <v>277</v>
      </c>
      <c r="R187" s="20" t="s">
        <v>270</v>
      </c>
      <c r="S187" s="20" t="s">
        <v>280</v>
      </c>
      <c r="T187" s="20" t="s">
        <v>271</v>
      </c>
      <c r="U187" s="20" t="s">
        <v>278</v>
      </c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</row>
    <row r="188" spans="1:34" x14ac:dyDescent="0.4">
      <c r="A188" s="45">
        <v>26</v>
      </c>
      <c r="B188" s="5">
        <v>29</v>
      </c>
      <c r="C188" s="5">
        <v>26</v>
      </c>
      <c r="D188" s="24">
        <f t="shared" si="10"/>
        <v>0</v>
      </c>
      <c r="E188" s="5">
        <f t="shared" si="12"/>
        <v>26</v>
      </c>
      <c r="F188" s="5" t="str">
        <f t="shared" si="11"/>
        <v/>
      </c>
      <c r="H188" s="3" t="s">
        <v>186</v>
      </c>
      <c r="I188" s="24">
        <f t="shared" si="9"/>
        <v>0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</row>
    <row r="189" spans="1:34" x14ac:dyDescent="0.4">
      <c r="A189" s="45">
        <v>39</v>
      </c>
      <c r="B189" s="5">
        <v>39</v>
      </c>
      <c r="C189" s="5">
        <v>39</v>
      </c>
      <c r="D189" s="24">
        <f t="shared" si="10"/>
        <v>1</v>
      </c>
      <c r="E189" s="5">
        <f t="shared" si="12"/>
        <v>38</v>
      </c>
      <c r="F189" s="5" t="str">
        <f t="shared" si="11"/>
        <v/>
      </c>
      <c r="H189" s="3" t="s">
        <v>187</v>
      </c>
      <c r="I189" s="24">
        <f t="shared" si="9"/>
        <v>1</v>
      </c>
      <c r="J189" s="20" t="s">
        <v>277</v>
      </c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</row>
    <row r="190" spans="1:34" x14ac:dyDescent="0.4">
      <c r="A190" s="45">
        <v>17</v>
      </c>
      <c r="B190" s="5">
        <v>22</v>
      </c>
      <c r="C190" s="5">
        <v>20</v>
      </c>
      <c r="D190" s="24">
        <f t="shared" si="10"/>
        <v>0</v>
      </c>
      <c r="E190" s="5">
        <f t="shared" si="12"/>
        <v>17</v>
      </c>
      <c r="F190" s="5" t="str">
        <f t="shared" si="11"/>
        <v/>
      </c>
      <c r="H190" s="3" t="s">
        <v>188</v>
      </c>
      <c r="I190" s="24">
        <f t="shared" si="9"/>
        <v>0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</row>
    <row r="191" spans="1:34" x14ac:dyDescent="0.4">
      <c r="A191" s="45">
        <v>34</v>
      </c>
      <c r="B191" s="5">
        <v>35</v>
      </c>
      <c r="C191" s="5">
        <v>33</v>
      </c>
      <c r="D191" s="24">
        <f t="shared" si="10"/>
        <v>4</v>
      </c>
      <c r="E191" s="5">
        <f t="shared" si="12"/>
        <v>30</v>
      </c>
      <c r="F191" s="5" t="str">
        <f t="shared" si="11"/>
        <v/>
      </c>
      <c r="H191" s="3" t="s">
        <v>189</v>
      </c>
      <c r="I191" s="24">
        <f t="shared" si="9"/>
        <v>4</v>
      </c>
      <c r="J191" s="20" t="s">
        <v>262</v>
      </c>
      <c r="K191" s="20" t="s">
        <v>268</v>
      </c>
      <c r="L191" s="20" t="s">
        <v>269</v>
      </c>
      <c r="M191" s="20" t="s">
        <v>277</v>
      </c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</row>
    <row r="192" spans="1:34" x14ac:dyDescent="0.4">
      <c r="A192" s="45">
        <v>36</v>
      </c>
      <c r="B192" s="5">
        <v>35</v>
      </c>
      <c r="C192" s="5">
        <v>35</v>
      </c>
      <c r="D192" s="24">
        <f t="shared" si="10"/>
        <v>0</v>
      </c>
      <c r="E192" s="5">
        <f t="shared" si="12"/>
        <v>36</v>
      </c>
      <c r="F192" s="5" t="str">
        <f t="shared" si="11"/>
        <v/>
      </c>
      <c r="H192" s="3" t="s">
        <v>190</v>
      </c>
      <c r="I192" s="24">
        <f t="shared" si="9"/>
        <v>0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</row>
    <row r="193" spans="1:34" x14ac:dyDescent="0.4">
      <c r="A193" s="45">
        <v>32</v>
      </c>
      <c r="B193" s="5">
        <v>38</v>
      </c>
      <c r="C193" s="5">
        <v>33</v>
      </c>
      <c r="D193" s="24">
        <f t="shared" si="10"/>
        <v>0</v>
      </c>
      <c r="E193" s="5">
        <f t="shared" si="12"/>
        <v>32</v>
      </c>
      <c r="F193" s="5" t="str">
        <f t="shared" si="11"/>
        <v/>
      </c>
      <c r="H193" s="3" t="s">
        <v>191</v>
      </c>
      <c r="I193" s="24">
        <f t="shared" si="9"/>
        <v>0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</row>
    <row r="194" spans="1:34" x14ac:dyDescent="0.4">
      <c r="A194" s="45">
        <v>31</v>
      </c>
      <c r="B194" s="5">
        <v>60</v>
      </c>
      <c r="C194" s="5">
        <v>32</v>
      </c>
      <c r="D194" s="24">
        <f t="shared" si="10"/>
        <v>0</v>
      </c>
      <c r="E194" s="5">
        <f t="shared" si="12"/>
        <v>31</v>
      </c>
      <c r="F194" s="5" t="str">
        <f t="shared" si="11"/>
        <v/>
      </c>
      <c r="H194" s="3" t="s">
        <v>192</v>
      </c>
      <c r="I194" s="24">
        <f t="shared" ref="I194:I246" si="13">COUNTA(J194:XFD194)</f>
        <v>0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</row>
    <row r="195" spans="1:34" x14ac:dyDescent="0.4">
      <c r="A195" s="45">
        <v>39</v>
      </c>
      <c r="B195" s="5">
        <v>42</v>
      </c>
      <c r="C195" s="5">
        <v>39</v>
      </c>
      <c r="D195" s="24">
        <f t="shared" ref="D195:D246" si="14">I195</f>
        <v>1</v>
      </c>
      <c r="E195" s="5">
        <f t="shared" si="12"/>
        <v>38</v>
      </c>
      <c r="F195" s="5" t="str">
        <f t="shared" ref="F195:F246" si="15">IF(C195=A195,"",IF(A195-D195=C195,"삭제시 맞음",""))</f>
        <v/>
      </c>
      <c r="H195" s="3" t="s">
        <v>193</v>
      </c>
      <c r="I195" s="24">
        <f t="shared" si="13"/>
        <v>1</v>
      </c>
      <c r="J195" s="20" t="s">
        <v>281</v>
      </c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</row>
    <row r="196" spans="1:34" x14ac:dyDescent="0.4">
      <c r="A196" s="45">
        <v>38</v>
      </c>
      <c r="B196" s="5">
        <v>40</v>
      </c>
      <c r="C196" s="5">
        <v>38</v>
      </c>
      <c r="D196" s="24">
        <f t="shared" si="14"/>
        <v>1</v>
      </c>
      <c r="E196" s="5">
        <f t="shared" si="12"/>
        <v>37</v>
      </c>
      <c r="F196" s="5" t="str">
        <f t="shared" si="15"/>
        <v/>
      </c>
      <c r="H196" s="3" t="s">
        <v>194</v>
      </c>
      <c r="I196" s="24">
        <f t="shared" si="13"/>
        <v>1</v>
      </c>
      <c r="J196" s="20" t="s">
        <v>268</v>
      </c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</row>
    <row r="197" spans="1:34" x14ac:dyDescent="0.4">
      <c r="A197" s="45">
        <v>36</v>
      </c>
      <c r="B197" s="5">
        <v>39</v>
      </c>
      <c r="C197" s="5">
        <v>35</v>
      </c>
      <c r="D197" s="24">
        <f t="shared" si="14"/>
        <v>0</v>
      </c>
      <c r="E197" s="5">
        <f t="shared" si="12"/>
        <v>36</v>
      </c>
      <c r="F197" s="5" t="str">
        <f t="shared" si="15"/>
        <v/>
      </c>
      <c r="H197" s="3" t="s">
        <v>195</v>
      </c>
      <c r="I197" s="24">
        <f t="shared" si="13"/>
        <v>0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</row>
    <row r="198" spans="1:34" x14ac:dyDescent="0.4">
      <c r="A198" s="45">
        <v>34</v>
      </c>
      <c r="B198" s="5">
        <v>34</v>
      </c>
      <c r="C198" s="5">
        <v>34</v>
      </c>
      <c r="D198" s="24">
        <f t="shared" si="14"/>
        <v>1</v>
      </c>
      <c r="E198" s="5">
        <f t="shared" si="12"/>
        <v>33</v>
      </c>
      <c r="F198" s="5" t="str">
        <f t="shared" si="15"/>
        <v/>
      </c>
      <c r="H198" s="3" t="s">
        <v>196</v>
      </c>
      <c r="I198" s="24">
        <f t="shared" si="13"/>
        <v>1</v>
      </c>
      <c r="J198" s="20" t="s">
        <v>263</v>
      </c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</row>
    <row r="199" spans="1:34" x14ac:dyDescent="0.4">
      <c r="A199" s="45">
        <v>23</v>
      </c>
      <c r="B199" s="5">
        <v>23</v>
      </c>
      <c r="C199" s="5">
        <v>23</v>
      </c>
      <c r="D199" s="24">
        <f t="shared" si="14"/>
        <v>1</v>
      </c>
      <c r="E199" s="5">
        <f t="shared" si="12"/>
        <v>22</v>
      </c>
      <c r="F199" s="5" t="str">
        <f t="shared" si="15"/>
        <v/>
      </c>
      <c r="H199" s="3" t="s">
        <v>197</v>
      </c>
      <c r="I199" s="24">
        <f t="shared" si="13"/>
        <v>1</v>
      </c>
      <c r="J199" s="20" t="s">
        <v>281</v>
      </c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</row>
    <row r="200" spans="1:34" x14ac:dyDescent="0.4">
      <c r="A200" s="45">
        <v>23</v>
      </c>
      <c r="B200" s="5">
        <v>33</v>
      </c>
      <c r="C200" s="5">
        <v>23</v>
      </c>
      <c r="D200" s="24">
        <f t="shared" si="14"/>
        <v>2</v>
      </c>
      <c r="E200" s="5">
        <f t="shared" si="12"/>
        <v>21</v>
      </c>
      <c r="F200" s="5" t="str">
        <f t="shared" si="15"/>
        <v/>
      </c>
      <c r="H200" s="3" t="s">
        <v>198</v>
      </c>
      <c r="I200" s="24">
        <f t="shared" si="13"/>
        <v>2</v>
      </c>
      <c r="J200" s="20" t="s">
        <v>262</v>
      </c>
      <c r="K200" s="20" t="s">
        <v>266</v>
      </c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</row>
    <row r="201" spans="1:34" x14ac:dyDescent="0.4">
      <c r="A201" s="45">
        <v>8</v>
      </c>
      <c r="B201" s="5">
        <v>8</v>
      </c>
      <c r="C201" s="5">
        <v>8</v>
      </c>
      <c r="D201" s="24">
        <f t="shared" si="14"/>
        <v>0</v>
      </c>
      <c r="E201" s="5">
        <f t="shared" si="12"/>
        <v>8</v>
      </c>
      <c r="F201" s="5" t="str">
        <f t="shared" si="15"/>
        <v/>
      </c>
      <c r="H201" s="3" t="s">
        <v>200</v>
      </c>
      <c r="I201" s="24">
        <f t="shared" si="13"/>
        <v>0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</row>
    <row r="202" spans="1:34" x14ac:dyDescent="0.4">
      <c r="A202" s="45">
        <v>43</v>
      </c>
      <c r="B202" s="5">
        <v>43</v>
      </c>
      <c r="C202" s="5">
        <v>43</v>
      </c>
      <c r="D202" s="24">
        <f t="shared" si="14"/>
        <v>0</v>
      </c>
      <c r="E202" s="5">
        <f t="shared" si="12"/>
        <v>43</v>
      </c>
      <c r="F202" s="5" t="str">
        <f t="shared" si="15"/>
        <v/>
      </c>
      <c r="H202" s="3" t="s">
        <v>201</v>
      </c>
      <c r="I202" s="24">
        <f t="shared" si="13"/>
        <v>0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</row>
    <row r="203" spans="1:34" x14ac:dyDescent="0.4">
      <c r="A203" s="45">
        <v>34</v>
      </c>
      <c r="B203" s="5">
        <v>34</v>
      </c>
      <c r="C203" s="5">
        <v>34</v>
      </c>
      <c r="D203" s="24">
        <f t="shared" si="14"/>
        <v>0</v>
      </c>
      <c r="E203" s="5">
        <f t="shared" si="12"/>
        <v>34</v>
      </c>
      <c r="F203" s="5" t="str">
        <f t="shared" si="15"/>
        <v/>
      </c>
      <c r="H203" s="3" t="s">
        <v>202</v>
      </c>
      <c r="I203" s="24">
        <f t="shared" si="13"/>
        <v>0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</row>
    <row r="204" spans="1:34" x14ac:dyDescent="0.4">
      <c r="A204" s="45">
        <v>36</v>
      </c>
      <c r="B204" s="5">
        <v>33</v>
      </c>
      <c r="C204" s="5">
        <v>33</v>
      </c>
      <c r="D204" s="24">
        <f t="shared" si="14"/>
        <v>22</v>
      </c>
      <c r="E204" s="5">
        <f t="shared" si="12"/>
        <v>14</v>
      </c>
      <c r="F204" s="5" t="str">
        <f t="shared" si="15"/>
        <v/>
      </c>
      <c r="H204" s="3" t="s">
        <v>203</v>
      </c>
      <c r="I204" s="24">
        <f t="shared" si="13"/>
        <v>22</v>
      </c>
      <c r="J204" s="20" t="s">
        <v>259</v>
      </c>
      <c r="K204" s="20" t="s">
        <v>261</v>
      </c>
      <c r="L204" s="20" t="s">
        <v>262</v>
      </c>
      <c r="M204" s="20" t="s">
        <v>263</v>
      </c>
      <c r="N204" s="20" t="s">
        <v>264</v>
      </c>
      <c r="O204" s="20" t="s">
        <v>282</v>
      </c>
      <c r="P204" s="20" t="s">
        <v>283</v>
      </c>
      <c r="Q204" s="20" t="s">
        <v>266</v>
      </c>
      <c r="R204" s="20" t="s">
        <v>267</v>
      </c>
      <c r="S204" s="20" t="s">
        <v>268</v>
      </c>
      <c r="T204" s="20" t="s">
        <v>269</v>
      </c>
      <c r="U204" s="20" t="s">
        <v>277</v>
      </c>
      <c r="V204" s="20" t="s">
        <v>270</v>
      </c>
      <c r="W204" s="20" t="s">
        <v>279</v>
      </c>
      <c r="X204" s="20" t="s">
        <v>280</v>
      </c>
      <c r="Y204" s="20" t="s">
        <v>271</v>
      </c>
      <c r="Z204" s="20" t="s">
        <v>289</v>
      </c>
      <c r="AA204" s="20" t="s">
        <v>258</v>
      </c>
      <c r="AB204" s="20" t="s">
        <v>278</v>
      </c>
      <c r="AC204" s="20" t="s">
        <v>293</v>
      </c>
      <c r="AD204" s="20" t="s">
        <v>276</v>
      </c>
      <c r="AE204" s="20" t="s">
        <v>274</v>
      </c>
      <c r="AF204" s="2"/>
      <c r="AG204" s="2"/>
      <c r="AH204" s="2"/>
    </row>
    <row r="205" spans="1:34" x14ac:dyDescent="0.4">
      <c r="A205" s="45">
        <v>30</v>
      </c>
      <c r="B205" s="5">
        <v>36</v>
      </c>
      <c r="C205" s="5">
        <v>30</v>
      </c>
      <c r="D205" s="24">
        <f t="shared" si="14"/>
        <v>0</v>
      </c>
      <c r="E205" s="5">
        <f t="shared" si="12"/>
        <v>30</v>
      </c>
      <c r="F205" s="5" t="str">
        <f t="shared" si="15"/>
        <v/>
      </c>
      <c r="H205" s="3" t="s">
        <v>204</v>
      </c>
      <c r="I205" s="24">
        <f t="shared" si="13"/>
        <v>0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</row>
    <row r="206" spans="1:34" x14ac:dyDescent="0.4">
      <c r="A206" s="45">
        <v>37</v>
      </c>
      <c r="B206" s="5">
        <v>0</v>
      </c>
      <c r="C206" s="5">
        <v>0</v>
      </c>
      <c r="D206" s="24">
        <f t="shared" si="14"/>
        <v>0</v>
      </c>
      <c r="E206" s="5">
        <f t="shared" si="12"/>
        <v>37</v>
      </c>
      <c r="F206" s="5" t="str">
        <f t="shared" si="15"/>
        <v/>
      </c>
      <c r="H206" s="3" t="s">
        <v>216</v>
      </c>
      <c r="I206" s="24">
        <f t="shared" si="13"/>
        <v>0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</row>
    <row r="207" spans="1:34" x14ac:dyDescent="0.4">
      <c r="A207" s="45">
        <v>35</v>
      </c>
      <c r="B207" s="5">
        <v>0</v>
      </c>
      <c r="C207" s="5">
        <v>0</v>
      </c>
      <c r="D207" s="24">
        <f t="shared" si="14"/>
        <v>0</v>
      </c>
      <c r="E207" s="5">
        <f t="shared" si="12"/>
        <v>35</v>
      </c>
      <c r="F207" s="5" t="str">
        <f t="shared" si="15"/>
        <v/>
      </c>
      <c r="H207" s="3" t="s">
        <v>217</v>
      </c>
      <c r="I207" s="24">
        <f t="shared" si="13"/>
        <v>0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</row>
    <row r="208" spans="1:34" x14ac:dyDescent="0.4">
      <c r="A208" s="45">
        <v>33</v>
      </c>
      <c r="B208" s="5">
        <v>37</v>
      </c>
      <c r="C208" s="5">
        <v>33</v>
      </c>
      <c r="D208" s="24">
        <f t="shared" si="14"/>
        <v>1</v>
      </c>
      <c r="E208" s="5">
        <f t="shared" si="12"/>
        <v>32</v>
      </c>
      <c r="F208" s="5" t="str">
        <f t="shared" si="15"/>
        <v/>
      </c>
      <c r="H208" s="3" t="s">
        <v>205</v>
      </c>
      <c r="I208" s="24">
        <f t="shared" si="13"/>
        <v>1</v>
      </c>
      <c r="J208" s="20" t="s">
        <v>281</v>
      </c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</row>
    <row r="209" spans="1:34" x14ac:dyDescent="0.4">
      <c r="A209" s="45">
        <v>40</v>
      </c>
      <c r="B209" s="5">
        <v>0</v>
      </c>
      <c r="C209" s="5">
        <v>0</v>
      </c>
      <c r="D209" s="24">
        <f t="shared" si="14"/>
        <v>2</v>
      </c>
      <c r="E209" s="5">
        <f t="shared" si="12"/>
        <v>38</v>
      </c>
      <c r="F209" s="5" t="str">
        <f t="shared" si="15"/>
        <v/>
      </c>
      <c r="H209" s="3" t="s">
        <v>218</v>
      </c>
      <c r="I209" s="24">
        <f t="shared" si="13"/>
        <v>2</v>
      </c>
      <c r="J209" s="20" t="s">
        <v>260</v>
      </c>
      <c r="K209" s="20" t="s">
        <v>282</v>
      </c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</row>
    <row r="210" spans="1:34" x14ac:dyDescent="0.4">
      <c r="A210" s="45">
        <v>36</v>
      </c>
      <c r="B210" s="5">
        <v>38</v>
      </c>
      <c r="C210" s="5">
        <v>38</v>
      </c>
      <c r="D210" s="24">
        <f t="shared" si="14"/>
        <v>0</v>
      </c>
      <c r="E210" s="5">
        <f t="shared" si="12"/>
        <v>36</v>
      </c>
      <c r="F210" s="5" t="str">
        <f t="shared" si="15"/>
        <v/>
      </c>
      <c r="H210" s="3" t="s">
        <v>206</v>
      </c>
      <c r="I210" s="24">
        <f t="shared" si="13"/>
        <v>0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</row>
    <row r="211" spans="1:34" x14ac:dyDescent="0.4">
      <c r="A211" s="45">
        <v>32</v>
      </c>
      <c r="B211" s="5">
        <v>32</v>
      </c>
      <c r="C211" s="5">
        <v>32</v>
      </c>
      <c r="D211" s="24">
        <f t="shared" si="14"/>
        <v>0</v>
      </c>
      <c r="E211" s="5">
        <f t="shared" si="12"/>
        <v>32</v>
      </c>
      <c r="F211" s="5" t="str">
        <f t="shared" si="15"/>
        <v/>
      </c>
      <c r="H211" s="3" t="s">
        <v>207</v>
      </c>
      <c r="I211" s="24">
        <f t="shared" si="13"/>
        <v>0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</row>
    <row r="212" spans="1:34" x14ac:dyDescent="0.4">
      <c r="A212" s="45">
        <v>26</v>
      </c>
      <c r="B212" s="5">
        <v>27</v>
      </c>
      <c r="C212" s="5">
        <v>26</v>
      </c>
      <c r="D212" s="24">
        <f t="shared" si="14"/>
        <v>0</v>
      </c>
      <c r="E212" s="5">
        <f t="shared" si="12"/>
        <v>26</v>
      </c>
      <c r="F212" s="5" t="str">
        <f t="shared" si="15"/>
        <v/>
      </c>
      <c r="H212" s="3" t="s">
        <v>208</v>
      </c>
      <c r="I212" s="24">
        <f t="shared" si="13"/>
        <v>0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</row>
    <row r="213" spans="1:34" x14ac:dyDescent="0.4">
      <c r="A213" s="45">
        <v>30</v>
      </c>
      <c r="B213" s="5">
        <v>38</v>
      </c>
      <c r="C213" s="5">
        <v>30</v>
      </c>
      <c r="D213" s="24">
        <f t="shared" si="14"/>
        <v>18</v>
      </c>
      <c r="E213" s="5">
        <f t="shared" si="12"/>
        <v>12</v>
      </c>
      <c r="F213" s="5" t="str">
        <f t="shared" si="15"/>
        <v/>
      </c>
      <c r="H213" s="3" t="s">
        <v>209</v>
      </c>
      <c r="I213" s="24">
        <f t="shared" si="13"/>
        <v>18</v>
      </c>
      <c r="J213" s="20" t="s">
        <v>259</v>
      </c>
      <c r="K213" s="20" t="s">
        <v>260</v>
      </c>
      <c r="L213" s="20" t="s">
        <v>261</v>
      </c>
      <c r="M213" s="20" t="s">
        <v>262</v>
      </c>
      <c r="N213" s="20" t="s">
        <v>264</v>
      </c>
      <c r="O213" s="20" t="s">
        <v>265</v>
      </c>
      <c r="P213" s="20" t="s">
        <v>282</v>
      </c>
      <c r="Q213" s="20" t="s">
        <v>283</v>
      </c>
      <c r="R213" s="20" t="s">
        <v>266</v>
      </c>
      <c r="S213" s="20" t="s">
        <v>267</v>
      </c>
      <c r="T213" s="20" t="s">
        <v>256</v>
      </c>
      <c r="U213" s="20" t="s">
        <v>268</v>
      </c>
      <c r="V213" s="20" t="s">
        <v>270</v>
      </c>
      <c r="W213" s="20" t="s">
        <v>271</v>
      </c>
      <c r="X213" s="20" t="s">
        <v>258</v>
      </c>
      <c r="Y213" s="20" t="s">
        <v>278</v>
      </c>
      <c r="Z213" s="20" t="s">
        <v>272</v>
      </c>
      <c r="AA213" s="20" t="s">
        <v>276</v>
      </c>
      <c r="AB213" s="2"/>
      <c r="AC213" s="2"/>
      <c r="AD213" s="2"/>
      <c r="AE213" s="2"/>
      <c r="AF213" s="2"/>
      <c r="AG213" s="2"/>
      <c r="AH213" s="2"/>
    </row>
    <row r="214" spans="1:34" x14ac:dyDescent="0.4">
      <c r="A214" s="45">
        <v>27</v>
      </c>
      <c r="B214" s="5">
        <v>27</v>
      </c>
      <c r="C214" s="5">
        <v>27</v>
      </c>
      <c r="D214" s="24">
        <f t="shared" si="14"/>
        <v>0</v>
      </c>
      <c r="E214" s="5">
        <f t="shared" si="12"/>
        <v>27</v>
      </c>
      <c r="F214" s="5" t="str">
        <f t="shared" si="15"/>
        <v/>
      </c>
      <c r="H214" s="3" t="s">
        <v>210</v>
      </c>
      <c r="I214" s="24">
        <f t="shared" si="13"/>
        <v>0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</row>
    <row r="215" spans="1:34" x14ac:dyDescent="0.4">
      <c r="A215" s="45">
        <v>25</v>
      </c>
      <c r="B215" s="5">
        <v>25</v>
      </c>
      <c r="C215" s="5">
        <v>25</v>
      </c>
      <c r="D215" s="24">
        <f t="shared" si="14"/>
        <v>0</v>
      </c>
      <c r="E215" s="5">
        <f t="shared" si="12"/>
        <v>25</v>
      </c>
      <c r="F215" s="5" t="str">
        <f t="shared" si="15"/>
        <v/>
      </c>
      <c r="H215" s="3" t="s">
        <v>211</v>
      </c>
      <c r="I215" s="24">
        <f t="shared" si="13"/>
        <v>0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</row>
    <row r="216" spans="1:34" x14ac:dyDescent="0.4">
      <c r="A216" s="45">
        <v>34</v>
      </c>
      <c r="B216" s="5">
        <v>0</v>
      </c>
      <c r="C216" s="5">
        <v>0</v>
      </c>
      <c r="D216" s="24">
        <f t="shared" si="14"/>
        <v>1</v>
      </c>
      <c r="E216" s="5">
        <f t="shared" si="12"/>
        <v>33</v>
      </c>
      <c r="F216" s="5" t="str">
        <f t="shared" si="15"/>
        <v/>
      </c>
      <c r="H216" s="3" t="s">
        <v>219</v>
      </c>
      <c r="I216" s="24">
        <f t="shared" si="13"/>
        <v>1</v>
      </c>
      <c r="J216" s="20" t="s">
        <v>281</v>
      </c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</row>
    <row r="217" spans="1:34" x14ac:dyDescent="0.4">
      <c r="A217" s="45">
        <v>32</v>
      </c>
      <c r="B217" s="5">
        <v>34</v>
      </c>
      <c r="C217" s="5">
        <v>30</v>
      </c>
      <c r="D217" s="24">
        <f t="shared" si="14"/>
        <v>0</v>
      </c>
      <c r="E217" s="5">
        <f t="shared" ref="E217:E246" si="16">A217-D217</f>
        <v>32</v>
      </c>
      <c r="F217" s="5" t="str">
        <f t="shared" si="15"/>
        <v/>
      </c>
      <c r="H217" s="3" t="s">
        <v>214</v>
      </c>
      <c r="I217" s="24">
        <f t="shared" si="13"/>
        <v>0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</row>
    <row r="218" spans="1:34" x14ac:dyDescent="0.4">
      <c r="A218" s="45">
        <v>23</v>
      </c>
      <c r="B218" s="5">
        <v>0</v>
      </c>
      <c r="C218" s="5">
        <v>0</v>
      </c>
      <c r="D218" s="24">
        <f t="shared" si="14"/>
        <v>8</v>
      </c>
      <c r="E218" s="5">
        <f t="shared" si="16"/>
        <v>15</v>
      </c>
      <c r="F218" s="5" t="str">
        <f t="shared" si="15"/>
        <v/>
      </c>
      <c r="H218" s="3" t="s">
        <v>220</v>
      </c>
      <c r="I218" s="24">
        <f t="shared" si="13"/>
        <v>8</v>
      </c>
      <c r="J218" s="20" t="s">
        <v>260</v>
      </c>
      <c r="K218" s="20" t="s">
        <v>261</v>
      </c>
      <c r="L218" s="20" t="s">
        <v>265</v>
      </c>
      <c r="M218" s="20" t="s">
        <v>282</v>
      </c>
      <c r="N218" s="20" t="s">
        <v>266</v>
      </c>
      <c r="O218" s="20" t="s">
        <v>268</v>
      </c>
      <c r="P218" s="20" t="s">
        <v>270</v>
      </c>
      <c r="Q218" s="20" t="s">
        <v>280</v>
      </c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</row>
    <row r="219" spans="1:34" x14ac:dyDescent="0.4">
      <c r="A219" s="45">
        <v>29</v>
      </c>
      <c r="B219" s="5">
        <v>0</v>
      </c>
      <c r="C219" s="5">
        <v>0</v>
      </c>
      <c r="D219" s="24">
        <f t="shared" si="14"/>
        <v>21</v>
      </c>
      <c r="E219" s="5">
        <f t="shared" si="16"/>
        <v>8</v>
      </c>
      <c r="F219" s="5" t="str">
        <f t="shared" si="15"/>
        <v/>
      </c>
      <c r="H219" s="3" t="s">
        <v>221</v>
      </c>
      <c r="I219" s="24">
        <f t="shared" si="13"/>
        <v>21</v>
      </c>
      <c r="J219" s="20" t="s">
        <v>259</v>
      </c>
      <c r="K219" s="20" t="s">
        <v>260</v>
      </c>
      <c r="L219" s="20" t="s">
        <v>261</v>
      </c>
      <c r="M219" s="20" t="s">
        <v>262</v>
      </c>
      <c r="N219" s="20" t="s">
        <v>263</v>
      </c>
      <c r="O219" s="20" t="s">
        <v>264</v>
      </c>
      <c r="P219" s="20" t="s">
        <v>265</v>
      </c>
      <c r="Q219" s="20" t="s">
        <v>282</v>
      </c>
      <c r="R219" s="20" t="s">
        <v>283</v>
      </c>
      <c r="S219" s="20" t="s">
        <v>266</v>
      </c>
      <c r="T219" s="20" t="s">
        <v>267</v>
      </c>
      <c r="U219" s="20" t="s">
        <v>256</v>
      </c>
      <c r="V219" s="20" t="s">
        <v>268</v>
      </c>
      <c r="W219" s="20" t="s">
        <v>269</v>
      </c>
      <c r="X219" s="20" t="s">
        <v>277</v>
      </c>
      <c r="Y219" s="20" t="s">
        <v>257</v>
      </c>
      <c r="Z219" s="20" t="s">
        <v>280</v>
      </c>
      <c r="AA219" s="20" t="s">
        <v>271</v>
      </c>
      <c r="AB219" s="20" t="s">
        <v>258</v>
      </c>
      <c r="AC219" s="20" t="s">
        <v>278</v>
      </c>
      <c r="AD219" s="20" t="s">
        <v>274</v>
      </c>
      <c r="AE219" s="2"/>
      <c r="AF219" s="2"/>
      <c r="AG219" s="2"/>
      <c r="AH219" s="2"/>
    </row>
    <row r="220" spans="1:34" x14ac:dyDescent="0.4">
      <c r="A220" s="45">
        <v>31</v>
      </c>
      <c r="B220" s="5">
        <v>28</v>
      </c>
      <c r="C220" s="5">
        <v>28</v>
      </c>
      <c r="D220" s="24">
        <f t="shared" si="14"/>
        <v>1</v>
      </c>
      <c r="E220" s="5">
        <f t="shared" si="16"/>
        <v>30</v>
      </c>
      <c r="F220" s="5" t="str">
        <f t="shared" si="15"/>
        <v/>
      </c>
      <c r="H220" s="3" t="s">
        <v>213</v>
      </c>
      <c r="I220" s="24">
        <f t="shared" si="13"/>
        <v>1</v>
      </c>
      <c r="J220" s="20" t="s">
        <v>261</v>
      </c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</row>
    <row r="221" spans="1:34" x14ac:dyDescent="0.4">
      <c r="A221" s="45">
        <v>28</v>
      </c>
      <c r="B221" s="5">
        <v>28</v>
      </c>
      <c r="C221" s="5">
        <v>27</v>
      </c>
      <c r="D221" s="24">
        <f t="shared" si="14"/>
        <v>3</v>
      </c>
      <c r="E221" s="5">
        <f t="shared" si="16"/>
        <v>25</v>
      </c>
      <c r="F221" s="5" t="str">
        <f t="shared" si="15"/>
        <v/>
      </c>
      <c r="H221" s="3" t="s">
        <v>212</v>
      </c>
      <c r="I221" s="24">
        <f t="shared" si="13"/>
        <v>3</v>
      </c>
      <c r="J221" s="20" t="s">
        <v>277</v>
      </c>
      <c r="K221" s="20" t="s">
        <v>270</v>
      </c>
      <c r="L221" s="20" t="s">
        <v>258</v>
      </c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</row>
    <row r="222" spans="1:34" x14ac:dyDescent="0.4">
      <c r="A222" s="45">
        <v>28</v>
      </c>
      <c r="B222" s="5">
        <v>0</v>
      </c>
      <c r="C222" s="5">
        <v>0</v>
      </c>
      <c r="D222" s="24">
        <f t="shared" si="14"/>
        <v>0</v>
      </c>
      <c r="E222" s="5">
        <f t="shared" si="16"/>
        <v>28</v>
      </c>
      <c r="F222" s="5" t="str">
        <f t="shared" si="15"/>
        <v/>
      </c>
      <c r="H222" s="3" t="s">
        <v>222</v>
      </c>
      <c r="I222" s="24">
        <f t="shared" si="13"/>
        <v>0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</row>
    <row r="223" spans="1:34" x14ac:dyDescent="0.4">
      <c r="A223" s="45">
        <v>33</v>
      </c>
      <c r="B223" s="5">
        <v>31</v>
      </c>
      <c r="C223" s="5">
        <v>31</v>
      </c>
      <c r="D223" s="24">
        <f t="shared" si="14"/>
        <v>0</v>
      </c>
      <c r="E223" s="5">
        <f t="shared" si="16"/>
        <v>33</v>
      </c>
      <c r="F223" s="5" t="str">
        <f t="shared" si="15"/>
        <v/>
      </c>
      <c r="H223" s="3" t="s">
        <v>223</v>
      </c>
      <c r="I223" s="24">
        <f t="shared" si="13"/>
        <v>0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</row>
    <row r="224" spans="1:34" x14ac:dyDescent="0.4">
      <c r="A224" s="45">
        <v>17</v>
      </c>
      <c r="B224" s="5">
        <v>13</v>
      </c>
      <c r="C224" s="5">
        <v>13</v>
      </c>
      <c r="D224" s="24">
        <f t="shared" si="14"/>
        <v>1</v>
      </c>
      <c r="E224" s="5">
        <f t="shared" si="16"/>
        <v>16</v>
      </c>
      <c r="F224" s="5" t="str">
        <f t="shared" si="15"/>
        <v/>
      </c>
      <c r="H224" s="3" t="s">
        <v>215</v>
      </c>
      <c r="I224" s="24">
        <f t="shared" si="13"/>
        <v>1</v>
      </c>
      <c r="J224" s="20" t="s">
        <v>266</v>
      </c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</row>
    <row r="225" spans="1:34" x14ac:dyDescent="0.4">
      <c r="A225" s="45">
        <v>13</v>
      </c>
      <c r="B225" s="5">
        <v>14</v>
      </c>
      <c r="C225" s="5">
        <v>12</v>
      </c>
      <c r="D225" s="24">
        <f t="shared" si="14"/>
        <v>9</v>
      </c>
      <c r="E225" s="5">
        <f t="shared" si="16"/>
        <v>4</v>
      </c>
      <c r="F225" s="5" t="str">
        <f t="shared" si="15"/>
        <v/>
      </c>
      <c r="H225" s="3" t="s">
        <v>224</v>
      </c>
      <c r="I225" s="24">
        <f t="shared" si="13"/>
        <v>9</v>
      </c>
      <c r="J225" s="20" t="s">
        <v>261</v>
      </c>
      <c r="K225" s="20" t="s">
        <v>263</v>
      </c>
      <c r="L225" s="20" t="s">
        <v>264</v>
      </c>
      <c r="M225" s="20" t="s">
        <v>282</v>
      </c>
      <c r="N225" s="20" t="s">
        <v>267</v>
      </c>
      <c r="O225" s="20" t="s">
        <v>277</v>
      </c>
      <c r="P225" s="20" t="s">
        <v>280</v>
      </c>
      <c r="Q225" s="20" t="s">
        <v>273</v>
      </c>
      <c r="R225" s="20" t="s">
        <v>276</v>
      </c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</row>
    <row r="226" spans="1:34" x14ac:dyDescent="0.4">
      <c r="A226" s="45">
        <v>44</v>
      </c>
      <c r="B226" s="5">
        <v>44</v>
      </c>
      <c r="C226" s="5">
        <v>44</v>
      </c>
      <c r="D226" s="24">
        <f t="shared" si="14"/>
        <v>0</v>
      </c>
      <c r="E226" s="5">
        <f t="shared" si="16"/>
        <v>44</v>
      </c>
      <c r="F226" s="5" t="str">
        <f t="shared" si="15"/>
        <v/>
      </c>
      <c r="H226" s="3" t="s">
        <v>225</v>
      </c>
      <c r="I226" s="24">
        <f t="shared" si="13"/>
        <v>0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</row>
    <row r="227" spans="1:34" x14ac:dyDescent="0.4">
      <c r="A227" s="45">
        <v>36</v>
      </c>
      <c r="B227" s="5">
        <v>36</v>
      </c>
      <c r="C227" s="5">
        <v>36</v>
      </c>
      <c r="D227" s="24">
        <f t="shared" si="14"/>
        <v>0</v>
      </c>
      <c r="E227" s="5">
        <f t="shared" si="16"/>
        <v>36</v>
      </c>
      <c r="F227" s="5" t="str">
        <f t="shared" si="15"/>
        <v/>
      </c>
      <c r="H227" s="3" t="s">
        <v>226</v>
      </c>
      <c r="I227" s="24">
        <f t="shared" si="13"/>
        <v>0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</row>
    <row r="228" spans="1:34" x14ac:dyDescent="0.4">
      <c r="A228" s="45">
        <v>33</v>
      </c>
      <c r="B228" s="5">
        <v>35</v>
      </c>
      <c r="C228" s="5">
        <v>35</v>
      </c>
      <c r="D228" s="24">
        <f t="shared" si="14"/>
        <v>0</v>
      </c>
      <c r="E228" s="5">
        <f t="shared" si="16"/>
        <v>33</v>
      </c>
      <c r="F228" s="5" t="str">
        <f t="shared" si="15"/>
        <v/>
      </c>
      <c r="H228" s="3" t="s">
        <v>227</v>
      </c>
      <c r="I228" s="24">
        <f t="shared" si="13"/>
        <v>0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</row>
    <row r="229" spans="1:34" x14ac:dyDescent="0.4">
      <c r="A229" s="45">
        <v>33</v>
      </c>
      <c r="B229" s="5">
        <v>33</v>
      </c>
      <c r="C229" s="5">
        <v>33</v>
      </c>
      <c r="D229" s="24">
        <f t="shared" si="14"/>
        <v>0</v>
      </c>
      <c r="E229" s="5">
        <f t="shared" si="16"/>
        <v>33</v>
      </c>
      <c r="F229" s="5" t="str">
        <f t="shared" si="15"/>
        <v/>
      </c>
      <c r="H229" s="3" t="s">
        <v>228</v>
      </c>
      <c r="I229" s="24">
        <f t="shared" si="13"/>
        <v>0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</row>
    <row r="230" spans="1:34" x14ac:dyDescent="0.4">
      <c r="A230" s="45">
        <v>44</v>
      </c>
      <c r="B230" s="5">
        <v>46</v>
      </c>
      <c r="C230" s="5">
        <v>43</v>
      </c>
      <c r="D230" s="24">
        <f t="shared" si="14"/>
        <v>0</v>
      </c>
      <c r="E230" s="5">
        <f t="shared" si="16"/>
        <v>44</v>
      </c>
      <c r="F230" s="5" t="str">
        <f t="shared" si="15"/>
        <v/>
      </c>
      <c r="H230" s="3" t="s">
        <v>229</v>
      </c>
      <c r="I230" s="24">
        <f t="shared" si="13"/>
        <v>0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</row>
    <row r="231" spans="1:34" x14ac:dyDescent="0.4">
      <c r="A231" s="45">
        <v>33</v>
      </c>
      <c r="B231" s="5">
        <v>34</v>
      </c>
      <c r="C231" s="5">
        <v>34</v>
      </c>
      <c r="D231" s="24">
        <f t="shared" si="14"/>
        <v>0</v>
      </c>
      <c r="E231" s="5">
        <f t="shared" si="16"/>
        <v>33</v>
      </c>
      <c r="F231" s="5" t="str">
        <f t="shared" si="15"/>
        <v/>
      </c>
      <c r="H231" s="3" t="s">
        <v>230</v>
      </c>
      <c r="I231" s="24">
        <f t="shared" si="13"/>
        <v>0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</row>
    <row r="232" spans="1:34" x14ac:dyDescent="0.4">
      <c r="A232" s="45">
        <v>41</v>
      </c>
      <c r="B232" s="5">
        <v>43</v>
      </c>
      <c r="C232" s="5">
        <v>41</v>
      </c>
      <c r="D232" s="24">
        <f t="shared" si="14"/>
        <v>0</v>
      </c>
      <c r="E232" s="5">
        <f t="shared" si="16"/>
        <v>41</v>
      </c>
      <c r="F232" s="5" t="str">
        <f t="shared" si="15"/>
        <v/>
      </c>
      <c r="H232" s="3" t="s">
        <v>231</v>
      </c>
      <c r="I232" s="24">
        <f t="shared" si="13"/>
        <v>0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</row>
    <row r="233" spans="1:34" x14ac:dyDescent="0.4">
      <c r="A233" s="45">
        <v>44</v>
      </c>
      <c r="B233" s="5">
        <v>44</v>
      </c>
      <c r="C233" s="5">
        <v>44</v>
      </c>
      <c r="D233" s="24">
        <f t="shared" si="14"/>
        <v>0</v>
      </c>
      <c r="E233" s="5">
        <f t="shared" si="16"/>
        <v>44</v>
      </c>
      <c r="F233" s="5" t="str">
        <f t="shared" si="15"/>
        <v/>
      </c>
      <c r="H233" s="3" t="s">
        <v>232</v>
      </c>
      <c r="I233" s="24">
        <f t="shared" si="13"/>
        <v>0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</row>
    <row r="234" spans="1:34" x14ac:dyDescent="0.4">
      <c r="A234" s="45">
        <v>33</v>
      </c>
      <c r="B234" s="5">
        <v>40</v>
      </c>
      <c r="C234" s="5">
        <v>33</v>
      </c>
      <c r="D234" s="24">
        <f t="shared" si="14"/>
        <v>0</v>
      </c>
      <c r="E234" s="5">
        <f t="shared" si="16"/>
        <v>33</v>
      </c>
      <c r="F234" s="5" t="str">
        <f t="shared" si="15"/>
        <v/>
      </c>
      <c r="H234" s="3" t="s">
        <v>233</v>
      </c>
      <c r="I234" s="24">
        <f t="shared" si="13"/>
        <v>0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</row>
    <row r="235" spans="1:34" x14ac:dyDescent="0.4">
      <c r="A235" s="45">
        <v>21</v>
      </c>
      <c r="B235" s="5">
        <v>0</v>
      </c>
      <c r="C235" s="5">
        <v>0</v>
      </c>
      <c r="D235" s="24">
        <f t="shared" si="14"/>
        <v>1</v>
      </c>
      <c r="E235" s="5">
        <f t="shared" si="16"/>
        <v>20</v>
      </c>
      <c r="F235" s="5" t="str">
        <f t="shared" si="15"/>
        <v/>
      </c>
      <c r="H235" s="3" t="s">
        <v>243</v>
      </c>
      <c r="I235" s="24">
        <f t="shared" si="13"/>
        <v>1</v>
      </c>
      <c r="J235" s="20" t="s">
        <v>274</v>
      </c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</row>
    <row r="236" spans="1:34" x14ac:dyDescent="0.4">
      <c r="A236" s="45">
        <v>31</v>
      </c>
      <c r="B236" s="5">
        <v>44</v>
      </c>
      <c r="C236" s="5">
        <v>35</v>
      </c>
      <c r="D236" s="24">
        <f t="shared" si="14"/>
        <v>0</v>
      </c>
      <c r="E236" s="5">
        <f t="shared" si="16"/>
        <v>31</v>
      </c>
      <c r="F236" s="5" t="str">
        <f t="shared" si="15"/>
        <v/>
      </c>
      <c r="H236" s="3" t="s">
        <v>234</v>
      </c>
      <c r="I236" s="24">
        <f t="shared" si="13"/>
        <v>0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</row>
    <row r="237" spans="1:34" x14ac:dyDescent="0.4">
      <c r="A237" s="45">
        <v>25</v>
      </c>
      <c r="B237" s="5">
        <v>25</v>
      </c>
      <c r="C237" s="5">
        <v>25</v>
      </c>
      <c r="D237" s="24">
        <f t="shared" si="14"/>
        <v>0</v>
      </c>
      <c r="E237" s="5">
        <f t="shared" si="16"/>
        <v>25</v>
      </c>
      <c r="F237" s="5" t="str">
        <f t="shared" si="15"/>
        <v/>
      </c>
      <c r="H237" s="3" t="s">
        <v>235</v>
      </c>
      <c r="I237" s="24">
        <f t="shared" si="13"/>
        <v>0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</row>
    <row r="238" spans="1:34" x14ac:dyDescent="0.4">
      <c r="A238" s="45">
        <v>41</v>
      </c>
      <c r="B238" s="5">
        <v>42</v>
      </c>
      <c r="C238" s="5">
        <v>39</v>
      </c>
      <c r="D238" s="24">
        <f t="shared" si="14"/>
        <v>0</v>
      </c>
      <c r="E238" s="5">
        <f t="shared" si="16"/>
        <v>41</v>
      </c>
      <c r="F238" s="5" t="str">
        <f t="shared" si="15"/>
        <v/>
      </c>
      <c r="H238" s="3" t="s">
        <v>236</v>
      </c>
      <c r="I238" s="24">
        <f t="shared" si="13"/>
        <v>0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</row>
    <row r="239" spans="1:34" x14ac:dyDescent="0.4">
      <c r="A239" s="45">
        <v>24</v>
      </c>
      <c r="B239" s="5">
        <v>45</v>
      </c>
      <c r="C239" s="5">
        <v>20</v>
      </c>
      <c r="D239" s="24">
        <f t="shared" si="14"/>
        <v>1</v>
      </c>
      <c r="E239" s="5">
        <f t="shared" si="16"/>
        <v>23</v>
      </c>
      <c r="F239" s="5" t="str">
        <f t="shared" si="15"/>
        <v/>
      </c>
      <c r="H239" s="3" t="s">
        <v>237</v>
      </c>
      <c r="I239" s="24">
        <f t="shared" si="13"/>
        <v>1</v>
      </c>
      <c r="J239" s="20" t="s">
        <v>267</v>
      </c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</row>
    <row r="240" spans="1:34" x14ac:dyDescent="0.4">
      <c r="A240" s="45">
        <v>30</v>
      </c>
      <c r="B240" s="5">
        <v>35</v>
      </c>
      <c r="C240" s="5">
        <v>31</v>
      </c>
      <c r="D240" s="24">
        <f t="shared" si="14"/>
        <v>0</v>
      </c>
      <c r="E240" s="5">
        <f t="shared" si="16"/>
        <v>30</v>
      </c>
      <c r="F240" s="5" t="str">
        <f t="shared" si="15"/>
        <v/>
      </c>
      <c r="H240" s="3" t="s">
        <v>238</v>
      </c>
      <c r="I240" s="24">
        <f t="shared" si="13"/>
        <v>0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</row>
    <row r="241" spans="1:34" x14ac:dyDescent="0.4">
      <c r="A241" s="45">
        <v>28</v>
      </c>
      <c r="B241" s="5">
        <v>37</v>
      </c>
      <c r="C241" s="5">
        <v>28</v>
      </c>
      <c r="D241" s="24">
        <f t="shared" si="14"/>
        <v>0</v>
      </c>
      <c r="E241" s="5">
        <f t="shared" si="16"/>
        <v>28</v>
      </c>
      <c r="F241" s="5" t="str">
        <f t="shared" si="15"/>
        <v/>
      </c>
      <c r="H241" s="3" t="s">
        <v>239</v>
      </c>
      <c r="I241" s="24">
        <f t="shared" si="13"/>
        <v>0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</row>
    <row r="242" spans="1:34" x14ac:dyDescent="0.4">
      <c r="A242" s="45">
        <v>34</v>
      </c>
      <c r="B242" s="5">
        <v>36</v>
      </c>
      <c r="C242" s="5">
        <v>34</v>
      </c>
      <c r="D242" s="24">
        <f t="shared" si="14"/>
        <v>0</v>
      </c>
      <c r="E242" s="5">
        <f t="shared" si="16"/>
        <v>34</v>
      </c>
      <c r="F242" s="5" t="str">
        <f t="shared" si="15"/>
        <v/>
      </c>
      <c r="H242" s="3" t="s">
        <v>240</v>
      </c>
      <c r="I242" s="24">
        <f t="shared" si="13"/>
        <v>0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</row>
    <row r="243" spans="1:34" x14ac:dyDescent="0.4">
      <c r="A243" s="45">
        <v>39</v>
      </c>
      <c r="B243" s="5">
        <v>39</v>
      </c>
      <c r="C243" s="5">
        <v>39</v>
      </c>
      <c r="D243" s="24">
        <f t="shared" si="14"/>
        <v>0</v>
      </c>
      <c r="E243" s="5">
        <f t="shared" si="16"/>
        <v>39</v>
      </c>
      <c r="F243" s="5" t="str">
        <f t="shared" si="15"/>
        <v/>
      </c>
      <c r="H243" s="3" t="s">
        <v>241</v>
      </c>
      <c r="I243" s="24">
        <f t="shared" si="13"/>
        <v>0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</row>
    <row r="244" spans="1:34" x14ac:dyDescent="0.4">
      <c r="A244" s="45">
        <v>21</v>
      </c>
      <c r="B244" s="5">
        <v>23</v>
      </c>
      <c r="C244" s="5">
        <v>21</v>
      </c>
      <c r="D244" s="24">
        <f t="shared" si="14"/>
        <v>0</v>
      </c>
      <c r="E244" s="5">
        <f t="shared" si="16"/>
        <v>21</v>
      </c>
      <c r="F244" s="5" t="str">
        <f t="shared" si="15"/>
        <v/>
      </c>
      <c r="H244" s="3" t="s">
        <v>242</v>
      </c>
      <c r="I244" s="24">
        <f t="shared" si="13"/>
        <v>0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</row>
    <row r="245" spans="1:34" x14ac:dyDescent="0.4">
      <c r="A245" s="45">
        <v>24</v>
      </c>
      <c r="B245" s="5">
        <v>0</v>
      </c>
      <c r="C245" s="5">
        <v>0</v>
      </c>
      <c r="D245" s="24">
        <f t="shared" si="14"/>
        <v>0</v>
      </c>
      <c r="E245" s="5">
        <f t="shared" si="16"/>
        <v>24</v>
      </c>
      <c r="F245" s="5" t="str">
        <f t="shared" si="15"/>
        <v/>
      </c>
      <c r="H245" s="3" t="s">
        <v>244</v>
      </c>
      <c r="I245" s="24">
        <f t="shared" si="13"/>
        <v>0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</row>
    <row r="246" spans="1:34" ht="18" thickBot="1" x14ac:dyDescent="0.45">
      <c r="A246" s="45">
        <v>29</v>
      </c>
      <c r="B246" s="5">
        <v>0</v>
      </c>
      <c r="C246" s="5">
        <v>0</v>
      </c>
      <c r="D246" s="24">
        <f t="shared" si="14"/>
        <v>0</v>
      </c>
      <c r="E246" s="5">
        <f t="shared" si="16"/>
        <v>29</v>
      </c>
      <c r="F246" s="5" t="str">
        <f t="shared" si="15"/>
        <v/>
      </c>
      <c r="H246" s="1" t="s">
        <v>245</v>
      </c>
      <c r="I246" s="24">
        <f t="shared" si="13"/>
        <v>0</v>
      </c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</row>
  </sheetData>
  <phoneticPr fontId="8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기관별_요약</vt:lpstr>
      <vt:lpstr>데이터별_요약</vt:lpstr>
      <vt:lpstr>갱신주기_요약</vt:lpstr>
      <vt:lpstr>올데이터_데이터</vt:lpstr>
      <vt:lpstr>로컬_데이터</vt:lpstr>
      <vt:lpstr>중앙_데이터1</vt:lpstr>
      <vt:lpstr>중앙_데이터2</vt:lpstr>
      <vt:lpstr>갱신주기_데이터</vt:lpstr>
      <vt:lpstr>비표준_데이터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2021-11-10T00:39:44Z</dcterms:modified>
</cp:coreProperties>
</file>